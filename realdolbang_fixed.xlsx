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'Sheet1'!$A$1:$Z$1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\ hh:mm:mm"/>
  </numFmts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1"/>
    </font>
    <font>
      <name val="맑은 고딕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164" fontId="2" fillId="0" borderId="0"/>
    <xf numFmtId="0" fontId="3" fillId="0" borderId="0"/>
  </cellStyleXfs>
  <cellXfs count="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pivotButton="0" quotePrefix="0" xfId="1"/>
    <xf numFmtId="0" fontId="3" fillId="0" borderId="0" pivotButton="0" quotePrefix="0" xfId="2"/>
    <xf numFmtId="4" fontId="0" fillId="0" borderId="0" pivotButton="0" quotePrefix="0" xfId="0"/>
    <xf numFmtId="3" fontId="0" fillId="0" borderId="0" pivotButton="0" quotePrefix="0" xfId="0"/>
    <xf numFmtId="164" fontId="2" fillId="0" borderId="0" pivotButton="0" quotePrefix="0" xfId="1"/>
  </cellXfs>
  <cellStyles count="3">
    <cellStyle name="표준" xfId="0" builtinId="0"/>
    <cellStyle name="datetime" xfId="1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39f65a6e38bd11f1aac33674f39f5e10" displayName="Table_39f65a6e38bd11f1aac33674f39f5e10" ref="A1:R1205" headerRowCount="1">
  <autoFilter ref="A1:R1205"/>
  <tableColumns count="18">
    <tableColumn id="1" name="symbol"/>
    <tableColumn id="2" name="name"/>
    <tableColumn id="3" name="ceo"/>
    <tableColumn id="4" name="tel"/>
    <tableColumn id="5" name="fax"/>
    <tableColumn id="6" name="website"/>
    <tableColumn id="7" name="사업자번호"/>
    <tableColumn id="8" name="company_rid"/>
    <tableColumn id="9" name="market_id"/>
    <tableColumn id="10" name="company_type_l1"/>
    <tableColumn id="11" name="company_type_size"/>
    <tableColumn id="12" name="audit_type"/>
    <tableColumn id="13" name="date of establishment"/>
    <tableColumn id="14" name="industry_id"/>
    <tableColumn id="15" name="industry_name"/>
    <tableColumn id="16" name="business_area"/>
    <tableColumn id="17" name="address_land_lot"/>
    <tableColumn id="18" name="address_road_name"/>
  </tableColumns>
  <tableStyleInfo name="TableStyleLight9" showFirstColumn="0" showLastColumn="0" showRowStripes="1" showColumnStripes="1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7"/>
  <sheetViews>
    <sheetView workbookViewId="0">
      <selection activeCell="C15" sqref="C15"/>
    </sheetView>
  </sheetViews>
  <sheetFormatPr baseColWidth="8" defaultRowHeight="17.4"/>
  <cols>
    <col width="13" bestFit="1" customWidth="1" style="1" min="1" max="1"/>
    <col width="41.796875" bestFit="1" customWidth="1" style="1" min="2" max="2"/>
    <col width="15" bestFit="1" customWidth="1" style="1" min="3" max="5"/>
    <col width="16.5" bestFit="1" customWidth="1" style="1" min="6" max="6"/>
    <col width="15" bestFit="1" customWidth="1" style="1" min="7" max="7"/>
    <col width="16.5" bestFit="1" customWidth="1" style="1" min="8" max="8"/>
    <col width="15" bestFit="1" customWidth="1" style="1" min="9" max="9"/>
    <col width="6.796875" bestFit="1" customWidth="1" style="1" min="10" max="11"/>
    <col width="4.796875" bestFit="1" customWidth="1" style="1" min="12" max="12"/>
    <col width="61.69921875" bestFit="1" customWidth="1" style="1" min="13" max="13"/>
    <col width="16" bestFit="1" customWidth="1" style="1" min="14" max="14"/>
    <col width="15.19921875" bestFit="1" customWidth="1" style="1" min="15" max="15"/>
    <col width="50.5" bestFit="1" customWidth="1" style="1" min="16" max="16"/>
    <col width="11.5" bestFit="1" customWidth="1" style="1" min="17" max="17"/>
    <col width="14.796875" bestFit="1" customWidth="1" style="1" min="18" max="18"/>
    <col width="8.59765625" bestFit="1" customWidth="1" style="1" min="19" max="19"/>
    <col width="10.3984375" bestFit="1" customWidth="1" style="1" min="20" max="20"/>
    <col width="8.59765625" bestFit="1" customWidth="1" style="1" min="21" max="21"/>
    <col width="14.3984375" bestFit="1" customWidth="1" style="1" min="22" max="22"/>
    <col width="10.8984375" bestFit="1" customWidth="1" style="1" min="23" max="23"/>
    <col width="15.69921875" bestFit="1" customWidth="1" style="1" min="24" max="24"/>
    <col width="48.8984375" bestFit="1" customWidth="1" style="1" min="25" max="25"/>
    <col width="139.296875" bestFit="1" customWidth="1" style="1" min="26" max="26"/>
  </cols>
  <sheetData>
    <row r="1">
      <c r="A1" t="inlineStr">
        <is>
          <t>symbol</t>
        </is>
      </c>
      <c r="B1" t="inlineStr">
        <is>
          <t>entity_name</t>
        </is>
      </c>
      <c r="C1" t="inlineStr">
        <is>
          <t>자산 2025</t>
        </is>
      </c>
      <c r="D1" t="inlineStr">
        <is>
          <t>부채 2025</t>
        </is>
      </c>
      <c r="E1" t="inlineStr">
        <is>
          <t>자본 2025</t>
        </is>
      </c>
      <c r="F1" t="inlineStr">
        <is>
          <t>매출 2025</t>
        </is>
      </c>
      <c r="G1" t="inlineStr">
        <is>
          <t>영업이익 2025</t>
        </is>
      </c>
      <c r="H1" t="inlineStr">
        <is>
          <t>매출 2024</t>
        </is>
      </c>
      <c r="I1" t="inlineStr">
        <is>
          <t>영업이익 2024</t>
        </is>
      </c>
      <c r="J1" t="inlineStr">
        <is>
          <t>유동비율 2025</t>
        </is>
      </c>
      <c r="K1" t="inlineStr">
        <is>
          <t>부채비율 2025</t>
        </is>
      </c>
      <c r="L1" t="inlineStr">
        <is>
          <t>영업이익률 2025</t>
        </is>
      </c>
      <c r="M1" t="inlineStr">
        <is>
          <t>ceo</t>
        </is>
      </c>
      <c r="N1" t="inlineStr">
        <is>
          <t>tel</t>
        </is>
      </c>
      <c r="O1" t="inlineStr">
        <is>
          <t>fax</t>
        </is>
      </c>
      <c r="P1" t="inlineStr">
        <is>
          <t>website</t>
        </is>
      </c>
      <c r="Q1" t="inlineStr">
        <is>
          <t>사업자번호</t>
        </is>
      </c>
      <c r="R1" t="inlineStr">
        <is>
          <t>company_rid</t>
        </is>
      </c>
      <c r="S1" t="inlineStr">
        <is>
          <t>market_id</t>
        </is>
      </c>
      <c r="T1" t="inlineStr">
        <is>
          <t>company_type_l1</t>
        </is>
      </c>
      <c r="U1" t="inlineStr">
        <is>
          <t>company_type_size</t>
        </is>
      </c>
      <c r="V1" t="inlineStr">
        <is>
          <t>audit_type</t>
        </is>
      </c>
      <c r="W1" t="inlineStr">
        <is>
          <t>date of establishment</t>
        </is>
      </c>
      <c r="X1" t="inlineStr">
        <is>
          <t>industry_id</t>
        </is>
      </c>
      <c r="Y1" t="inlineStr">
        <is>
          <t>업종명</t>
        </is>
      </c>
      <c r="Z1" t="inlineStr">
        <is>
          <t>사업영역</t>
        </is>
      </c>
      <c r="AA1" t="inlineStr">
        <is>
          <t>지번주소</t>
        </is>
      </c>
      <c r="AB1" t="inlineStr">
        <is>
          <t>도로명주소</t>
        </is>
      </c>
    </row>
    <row r="2" ht="19.2" customHeight="1" s="1">
      <c r="A2" t="inlineStr">
        <is>
          <t>NICE:C81382</t>
        </is>
      </c>
      <c r="B2" t="inlineStr">
        <is>
          <t>창억</t>
        </is>
      </c>
      <c r="C2" s="5" t="n">
        <v>44011020000</v>
      </c>
      <c r="D2" s="5" t="n">
        <v>18474338000</v>
      </c>
      <c r="E2" s="5" t="n">
        <v>25536682000</v>
      </c>
      <c r="F2" s="5" t="n">
        <v>45750030000</v>
      </c>
      <c r="G2" s="5" t="n">
        <v>7598793000</v>
      </c>
      <c r="H2" s="5" t="n">
        <v>40056817000</v>
      </c>
      <c r="I2" s="5" t="n">
        <v>4238662000</v>
      </c>
      <c r="J2" s="4" t="n">
        <v>0.9116999506950378</v>
      </c>
      <c r="K2" s="4" t="n">
        <v>0.7233999371528625</v>
      </c>
      <c r="L2" s="4" t="n">
        <v>0.1660999953746796</v>
      </c>
      <c r="M2" t="inlineStr">
        <is>
          <t>임철한</t>
        </is>
      </c>
      <c r="N2" t="inlineStr">
        <is>
          <t>062-520-6032</t>
        </is>
      </c>
      <c r="O2" t="inlineStr">
        <is>
          <t>0507-514-6000</t>
        </is>
      </c>
      <c r="P2" s="3">
        <f>HYPERLINK("http://www.changeok.co.kr", "http://www.changeok.co.kr")</f>
        <v/>
      </c>
      <c r="Q2" t="inlineStr">
        <is>
          <t>4098196570</t>
        </is>
      </c>
      <c r="R2" t="inlineStr">
        <is>
          <t>2001110243116</t>
        </is>
      </c>
      <c r="S2" t="inlineStr">
        <is>
          <t>대상아님</t>
        </is>
      </c>
      <c r="T2" t="inlineStr">
        <is>
          <t>일반법인</t>
        </is>
      </c>
      <c r="U2" t="inlineStr">
        <is>
          <t>중소기업</t>
        </is>
      </c>
      <c r="V2" t="inlineStr">
        <is>
          <t>외부감사대상</t>
        </is>
      </c>
      <c r="W2" s="6" t="inlineStr">
        <is>
          <t>2007-05-29</t>
        </is>
      </c>
      <c r="X2" t="inlineStr">
        <is>
          <t>KRI:10C1071100</t>
        </is>
      </c>
      <c r="Y2" t="inlineStr">
        <is>
          <t>떡류 제조업</t>
        </is>
      </c>
      <c r="Z2" t="inlineStr">
        <is>
          <t>전통식품(떡류) 제조/프랜차이즈/비주거용건물 임대</t>
        </is>
      </c>
      <c r="AA2" t="inlineStr">
        <is>
          <t>광주 북구 중흥동 722-4번지</t>
        </is>
      </c>
      <c r="AB2" t="inlineStr">
        <is>
          <t>광주 북구 경열로 242</t>
        </is>
      </c>
    </row>
    <row r="3" ht="19.2" customHeight="1" s="1">
      <c r="A3" t="inlineStr">
        <is>
          <t>NICE:391956</t>
        </is>
      </c>
      <c r="B3" t="inlineStr">
        <is>
          <t>일진에이테크</t>
        </is>
      </c>
      <c r="C3" s="5" t="n">
        <v>116377066000</v>
      </c>
      <c r="D3" s="5" t="n">
        <v>54378910000</v>
      </c>
      <c r="E3" s="5" t="n">
        <v>61998156000</v>
      </c>
      <c r="F3" s="5" t="n">
        <v>62163526000</v>
      </c>
      <c r="G3" s="5" t="n">
        <v>7746779000</v>
      </c>
      <c r="H3" s="5" t="n">
        <v>39140795000</v>
      </c>
      <c r="I3" s="5" t="n">
        <v>3222767000</v>
      </c>
      <c r="J3" s="4" t="n">
        <v>0.7407000064849854</v>
      </c>
      <c r="K3" s="4" t="n">
        <v>0.8770999908447266</v>
      </c>
      <c r="L3" s="4" t="n">
        <v>0.124600000679493</v>
      </c>
      <c r="M3" t="inlineStr">
        <is>
          <t>손의원/전광우</t>
        </is>
      </c>
      <c r="N3" t="inlineStr">
        <is>
          <t>052-260-9300</t>
        </is>
      </c>
      <c r="O3" t="inlineStr">
        <is>
          <t>052-275-0717</t>
        </is>
      </c>
      <c r="P3" s="3">
        <f>HYPERLINK("http://www.iljinat.co.kr", "http://www.iljinat.co.kr")</f>
        <v/>
      </c>
      <c r="Q3" t="inlineStr">
        <is>
          <t>6108113882</t>
        </is>
      </c>
      <c r="R3" t="inlineStr">
        <is>
          <t>1812110019428</t>
        </is>
      </c>
      <c r="S3" t="inlineStr">
        <is>
          <t>대상아님</t>
        </is>
      </c>
      <c r="T3" t="inlineStr">
        <is>
          <t>일반법인</t>
        </is>
      </c>
      <c r="U3" t="inlineStr">
        <is>
          <t>중소기업</t>
        </is>
      </c>
      <c r="V3" t="inlineStr">
        <is>
          <t>외부감사대상</t>
        </is>
      </c>
      <c r="W3" s="6" t="inlineStr">
        <is>
          <t>1991-11-18</t>
        </is>
      </c>
      <c r="X3" t="inlineStr">
        <is>
          <t>KRI:10C2926900</t>
        </is>
      </c>
      <c r="Y3" t="inlineStr">
        <is>
          <t>기타 섬유, 의복 및 가죽 가공 기계 제조업</t>
        </is>
      </c>
      <c r="Z3" t="inlineStr">
        <is>
          <t>원사,섬유 기계,산업기계,부품 제조,판매</t>
        </is>
      </c>
      <c r="AA3" t="inlineStr">
        <is>
          <t>울산 남구 여천동 756-1번지</t>
        </is>
      </c>
      <c r="AB3" t="inlineStr">
        <is>
          <t>울산 남구 산업로382번길 49</t>
        </is>
      </c>
    </row>
    <row r="4" ht="19.2" customHeight="1" s="1">
      <c r="A4" t="inlineStr">
        <is>
          <t>NICE:E79863</t>
        </is>
      </c>
      <c r="B4" t="inlineStr">
        <is>
          <t>씨에이이플라이트앤시뮬레이터서비시즈코리아</t>
        </is>
      </c>
      <c r="C4" s="5" t="n">
        <v>42556563000</v>
      </c>
      <c r="D4" s="5" t="n">
        <v>16694596000</v>
      </c>
      <c r="E4" s="5" t="n">
        <v>25861967000</v>
      </c>
      <c r="F4" s="5" t="n">
        <v>28448091000</v>
      </c>
      <c r="G4" s="5" t="n">
        <v>7840692000</v>
      </c>
      <c r="H4" s="5" t="n">
        <v>26465570000</v>
      </c>
      <c r="I4" s="5" t="n">
        <v>5283522000</v>
      </c>
      <c r="J4" s="4" t="n">
        <v>1.128099918365479</v>
      </c>
      <c r="K4" s="4" t="n">
        <v>0.6455000042915344</v>
      </c>
      <c r="L4" s="4" t="n">
        <v>0.2755999863147736</v>
      </c>
      <c r="M4" t="inlineStr">
        <is>
          <t>미쉘아싸라함뮤다</t>
        </is>
      </c>
      <c r="N4" t="inlineStr">
        <is>
          <t>02-2630-6014</t>
        </is>
      </c>
      <c r="O4" t="inlineStr">
        <is>
          <t>02-2630-6014</t>
        </is>
      </c>
      <c r="P4" s="3" t="n"/>
      <c r="Q4" t="inlineStr">
        <is>
          <t>1378628492</t>
        </is>
      </c>
      <c r="R4" t="inlineStr">
        <is>
          <t>1244110126244</t>
        </is>
      </c>
      <c r="S4" t="inlineStr">
        <is>
          <t>대상아님</t>
        </is>
      </c>
      <c r="T4" t="inlineStr">
        <is>
          <t>일반법인</t>
        </is>
      </c>
      <c r="U4" t="inlineStr">
        <is>
          <t>중소기업</t>
        </is>
      </c>
      <c r="V4" t="inlineStr">
        <is>
          <t>외부감사대상</t>
        </is>
      </c>
      <c r="W4" s="6" t="inlineStr">
        <is>
          <t>2012-09-04</t>
        </is>
      </c>
      <c r="X4" t="inlineStr">
        <is>
          <t>KRI:10H5293900</t>
        </is>
      </c>
      <c r="Y4" t="inlineStr">
        <is>
          <t>기타 항공 운송지원 서비스업</t>
        </is>
      </c>
      <c r="Z4" t="inlineStr">
        <is>
          <t>민간항공훈련교육</t>
        </is>
      </c>
      <c r="AA4" t="inlineStr">
        <is>
          <t>서울 강서구 공항동 1373-5번지 화물터미널 게이트8</t>
        </is>
      </c>
      <c r="AB4" t="inlineStr">
        <is>
          <t>서울 강서구 하늘길 210 (공항동,화물터미널 게이트8)</t>
        </is>
      </c>
    </row>
    <row r="5" s="1">
      <c r="A5" t="inlineStr">
        <is>
          <t>NICE:C34913</t>
        </is>
      </c>
      <c r="B5" t="inlineStr">
        <is>
          <t>태광후지킨</t>
        </is>
      </c>
      <c r="C5" s="5" t="n">
        <v>654598576000</v>
      </c>
      <c r="D5" s="5" t="n">
        <v>115431486000</v>
      </c>
      <c r="E5" s="5" t="n">
        <v>539167090000</v>
      </c>
      <c r="F5" s="5" t="n">
        <v>683345222000</v>
      </c>
      <c r="G5" s="5" t="n">
        <v>76713162000</v>
      </c>
      <c r="H5" s="5" t="n">
        <v>642731675000</v>
      </c>
      <c r="I5" s="5" t="n">
        <v>88327522000</v>
      </c>
      <c r="J5" s="4" t="n">
        <v>5.339000225067139</v>
      </c>
      <c r="K5" s="4" t="n">
        <v>0.2140999883413315</v>
      </c>
      <c r="L5" s="4" t="n">
        <v>0.1122999936342239</v>
      </c>
      <c r="M5" t="inlineStr">
        <is>
          <t>카미오세이지</t>
        </is>
      </c>
      <c r="N5" t="inlineStr">
        <is>
          <t>051-608-6500</t>
        </is>
      </c>
      <c r="O5" t="inlineStr">
        <is>
          <t>051-608-6599</t>
        </is>
      </c>
      <c r="P5">
        <f>HYPERLINK("http://www.tk-fujikin.com", "http://www.tk-fujikin.com")</f>
        <v/>
      </c>
      <c r="Q5" t="inlineStr">
        <is>
          <t>1358192203</t>
        </is>
      </c>
      <c r="R5" t="inlineStr">
        <is>
          <t>1358110141233</t>
        </is>
      </c>
      <c r="S5" t="inlineStr">
        <is>
          <t>대상아님</t>
        </is>
      </c>
      <c r="T5" t="inlineStr">
        <is>
          <t>일반법인</t>
        </is>
      </c>
      <c r="U5" t="inlineStr">
        <is>
          <t>중견기업</t>
        </is>
      </c>
      <c r="V5" t="inlineStr">
        <is>
          <t>외부감사대상</t>
        </is>
      </c>
      <c r="W5" s="6" t="inlineStr">
        <is>
          <t>2007-06-26</t>
        </is>
      </c>
      <c r="X5" t="inlineStr">
        <is>
          <t>KRI:10C2913300</t>
        </is>
      </c>
      <c r="Y5" t="inlineStr">
        <is>
          <t>탭, 밸브 및 유사장치 제조업</t>
        </is>
      </c>
      <c r="Z5" t="inlineStr">
        <is>
          <t>탭,밸브유사 장치 제조,도매/각종기계,부품 관리유지 보수</t>
        </is>
      </c>
      <c r="AA5" t="inlineStr">
        <is>
          <t>부산 강서구 화전동 579-8번지</t>
        </is>
      </c>
      <c r="AB5" t="inlineStr">
        <is>
          <t>부산 강서구 화전산단3로 32</t>
        </is>
      </c>
    </row>
    <row r="6" ht="19.2" customHeight="1" s="1">
      <c r="A6" t="inlineStr">
        <is>
          <t>NICE:910716</t>
        </is>
      </c>
      <c r="B6" t="inlineStr">
        <is>
          <t>엘비젼</t>
        </is>
      </c>
      <c r="C6" s="5" t="n">
        <v>336788602000</v>
      </c>
      <c r="D6" s="5" t="n">
        <v>185341520000</v>
      </c>
      <c r="E6" s="5" t="n">
        <v>151447082000</v>
      </c>
      <c r="F6" s="5" t="n">
        <v>74790856000</v>
      </c>
      <c r="G6" s="5" t="n">
        <v>15412414000</v>
      </c>
      <c r="H6" s="5" t="n">
        <v>67917862000</v>
      </c>
      <c r="I6" s="5" t="n">
        <v>11289033000</v>
      </c>
      <c r="J6" s="4" t="n">
        <v>0.3608999848365784</v>
      </c>
      <c r="K6" s="4" t="n">
        <v>1.22379994392395</v>
      </c>
      <c r="L6" s="4" t="n">
        <v>0.2061000019311905</v>
      </c>
      <c r="M6" t="inlineStr">
        <is>
          <t>이강인</t>
        </is>
      </c>
      <c r="N6" t="inlineStr">
        <is>
          <t>02-526-0386</t>
        </is>
      </c>
      <c r="O6" t="inlineStr">
        <is>
          <t>02-526-0399</t>
        </is>
      </c>
      <c r="P6" s="3">
        <f>HYPERLINK("http://www.eltower.co.kr", "http://www.eltower.co.kr")</f>
        <v/>
      </c>
      <c r="Q6" t="inlineStr">
        <is>
          <t>2298111811</t>
        </is>
      </c>
      <c r="R6" t="inlineStr">
        <is>
          <t>1101110287163</t>
        </is>
      </c>
      <c r="S6" t="inlineStr">
        <is>
          <t>대상아님</t>
        </is>
      </c>
      <c r="T6" t="inlineStr">
        <is>
          <t>일반법인</t>
        </is>
      </c>
      <c r="U6" t="inlineStr">
        <is>
          <t>중견기업</t>
        </is>
      </c>
      <c r="V6" t="inlineStr">
        <is>
          <t>외부감사대상</t>
        </is>
      </c>
      <c r="W6" s="6" t="inlineStr">
        <is>
          <t>1981-01-12</t>
        </is>
      </c>
      <c r="X6" t="inlineStr">
        <is>
          <t>KRI:10I5611100</t>
        </is>
      </c>
      <c r="Y6" t="inlineStr">
        <is>
          <t>한식 일반 음식점업</t>
        </is>
      </c>
      <c r="Z6" t="inlineStr">
        <is>
          <t>음식점/연회행사,예식업/회원제스포츠센터</t>
        </is>
      </c>
      <c r="AA6" t="inlineStr">
        <is>
          <t>서울 서초구 양재동 24번지</t>
        </is>
      </c>
      <c r="AB6" t="inlineStr">
        <is>
          <t>서울 서초구 강남대로 213</t>
        </is>
      </c>
    </row>
    <row r="7" s="1">
      <c r="A7" t="inlineStr">
        <is>
          <t>NICE:382306</t>
        </is>
      </c>
      <c r="B7" t="inlineStr">
        <is>
          <t>에프알엘코리아</t>
        </is>
      </c>
      <c r="C7" s="5" t="n">
        <v>817917055000</v>
      </c>
      <c r="D7" s="5" t="n">
        <v>434568638000</v>
      </c>
      <c r="E7" s="5" t="n">
        <v>383348417000</v>
      </c>
      <c r="F7" s="5" t="n">
        <v>1352387419000</v>
      </c>
      <c r="G7" s="5" t="n">
        <v>270428481000</v>
      </c>
      <c r="H7" s="5" t="n">
        <v>1060171104000</v>
      </c>
      <c r="I7" s="5" t="n">
        <v>148918910000</v>
      </c>
      <c r="J7" s="4" t="n">
        <v>1.747599959373474</v>
      </c>
      <c r="K7" s="4" t="n">
        <v>1.133599996566772</v>
      </c>
      <c r="L7" s="4" t="n">
        <v>0.199999988079071</v>
      </c>
      <c r="M7" t="inlineStr">
        <is>
          <t>쿠와하라타카오/최우제</t>
        </is>
      </c>
      <c r="N7" t="inlineStr">
        <is>
          <t>080-722-3300</t>
        </is>
      </c>
      <c r="O7" t="inlineStr">
        <is>
          <t>02-3213-7960</t>
        </is>
      </c>
      <c r="P7">
        <f>HYPERLINK("http://www.uniqlo.com", "http://www.uniqlo.com")</f>
        <v/>
      </c>
      <c r="Q7" t="inlineStr">
        <is>
          <t>1048191189</t>
        </is>
      </c>
      <c r="R7" t="inlineStr">
        <is>
          <t>1101113133298</t>
        </is>
      </c>
      <c r="S7" t="inlineStr">
        <is>
          <t>대상아님</t>
        </is>
      </c>
      <c r="T7" t="inlineStr">
        <is>
          <t>일반법인</t>
        </is>
      </c>
      <c r="U7" t="inlineStr">
        <is>
          <t>대기업</t>
        </is>
      </c>
      <c r="V7" t="inlineStr">
        <is>
          <t>외부감사대상</t>
        </is>
      </c>
      <c r="W7" s="6" t="inlineStr">
        <is>
          <t>2004-12-16</t>
        </is>
      </c>
      <c r="X7" t="inlineStr">
        <is>
          <t>KRI:10G4641300</t>
        </is>
      </c>
      <c r="Y7" t="inlineStr">
        <is>
          <t>남녀용 겉옷 및 셔츠 도매업</t>
        </is>
      </c>
      <c r="Z7" t="inlineStr">
        <is>
          <t>셔츠,외의,가죽,모피,의복악세사리,가발,여행용품 도소매</t>
        </is>
      </c>
      <c r="AA7" t="inlineStr">
        <is>
          <t>서울 송파구 신천동 29번지 롯데월드타워 24층</t>
        </is>
      </c>
      <c r="AB7" t="inlineStr">
        <is>
          <t>서울 송파구 올림픽로 300, 24층 (신천동,롯데월드타워)</t>
        </is>
      </c>
    </row>
    <row r="8" s="1">
      <c r="A8" t="inlineStr">
        <is>
          <t>NICE:I96808</t>
        </is>
      </c>
      <c r="B8" t="inlineStr">
        <is>
          <t>코크렙청진18호위탁관리부동산투자회사</t>
        </is>
      </c>
      <c r="C8" s="5" t="n">
        <v>643716006000</v>
      </c>
      <c r="D8" s="5" t="n">
        <v>61637031000</v>
      </c>
      <c r="E8" s="5" t="n">
        <v>582078975000</v>
      </c>
      <c r="F8" s="5" t="n">
        <v>29352629000</v>
      </c>
      <c r="G8" s="5" t="n">
        <v>12744488000</v>
      </c>
      <c r="H8" s="5" t="n">
        <v>25176048000</v>
      </c>
      <c r="I8" s="5" t="n">
        <v>11239026000</v>
      </c>
      <c r="J8" s="4" t="n">
        <v>0.6898999810218811</v>
      </c>
      <c r="K8" s="4" t="n">
        <v>0.1058999970555305</v>
      </c>
      <c r="L8" s="4" t="n">
        <v>0.4341999590396881</v>
      </c>
      <c r="M8" t="inlineStr">
        <is>
          <t>최동현</t>
        </is>
      </c>
      <c r="N8" t="inlineStr">
        <is>
          <t>02-787-0065</t>
        </is>
      </c>
      <c r="O8" t="inlineStr">
        <is>
          <t>02-088-6622</t>
        </is>
      </c>
      <c r="Q8" t="inlineStr">
        <is>
          <t>2208827426</t>
        </is>
      </c>
      <c r="R8" t="inlineStr">
        <is>
          <t>1101114725515</t>
        </is>
      </c>
      <c r="S8" t="inlineStr">
        <is>
          <t>대상아님</t>
        </is>
      </c>
      <c r="T8" t="inlineStr">
        <is>
          <t>일반법인</t>
        </is>
      </c>
      <c r="U8" t="inlineStr">
        <is>
          <t>중소기업</t>
        </is>
      </c>
      <c r="V8" t="inlineStr">
        <is>
          <t>외부감사대상</t>
        </is>
      </c>
      <c r="W8" s="6" t="inlineStr">
        <is>
          <t>2011-11-09</t>
        </is>
      </c>
      <c r="X8" t="inlineStr">
        <is>
          <t>KRI:10L6811200</t>
        </is>
      </c>
      <c r="Y8" t="inlineStr">
        <is>
          <t>비주거용 건물 임대업</t>
        </is>
      </c>
      <c r="Z8" t="inlineStr">
        <is>
          <t>부동산 임대,취득,관리,개량,처분,개발</t>
        </is>
      </c>
      <c r="AA8" t="inlineStr">
        <is>
          <t>서울 강남구 삼성동 144-17번지 골든타워 (주)코람코자산신탁 내</t>
        </is>
      </c>
      <c r="AB8" t="inlineStr">
        <is>
          <t>서울 강남구 삼성로 511, (주)코람코자산신탁 내 (삼성동,골든타워)</t>
        </is>
      </c>
    </row>
    <row r="9" s="1">
      <c r="A9" t="inlineStr">
        <is>
          <t>NICE:I92114</t>
        </is>
      </c>
      <c r="B9" t="inlineStr">
        <is>
          <t>에스비아이비에프</t>
        </is>
      </c>
      <c r="C9" s="5" t="n">
        <v>506667394000</v>
      </c>
      <c r="D9" s="5" t="n">
        <v>6548377000</v>
      </c>
      <c r="E9" s="5" t="n">
        <v>500119018000</v>
      </c>
      <c r="F9" s="5" t="n">
        <v>27414758000</v>
      </c>
      <c r="G9" s="5" t="n">
        <v>27310088000</v>
      </c>
      <c r="H9" s="5" t="n">
        <v>22171595000</v>
      </c>
      <c r="I9" s="5" t="n">
        <v>22008839000</v>
      </c>
      <c r="J9" s="4" t="n">
        <v>64.07529449462891</v>
      </c>
      <c r="K9" s="4" t="n">
        <v>0.01309999916702509</v>
      </c>
      <c r="L9" s="4" t="n">
        <v>0.9962000250816345</v>
      </c>
      <c r="M9" t="inlineStr">
        <is>
          <t>고지은</t>
        </is>
      </c>
      <c r="N9" t="inlineStr">
        <is>
          <t>02-3416-4082</t>
        </is>
      </c>
      <c r="O9" t="inlineStr">
        <is>
          <t>02-2136-0428</t>
        </is>
      </c>
      <c r="Q9" t="inlineStr">
        <is>
          <t>2208852226</t>
        </is>
      </c>
      <c r="R9" t="inlineStr">
        <is>
          <t>1101115055929</t>
        </is>
      </c>
      <c r="S9" t="inlineStr">
        <is>
          <t>대상아님</t>
        </is>
      </c>
      <c r="T9" t="inlineStr">
        <is>
          <t>일반법인</t>
        </is>
      </c>
      <c r="U9" t="inlineStr">
        <is>
          <t>중소기업</t>
        </is>
      </c>
      <c r="V9" t="inlineStr">
        <is>
          <t>외부감사대상</t>
        </is>
      </c>
      <c r="W9" s="6" t="inlineStr">
        <is>
          <t>2013-01-29</t>
        </is>
      </c>
      <c r="X9" t="inlineStr">
        <is>
          <t>KRI:10M7153100</t>
        </is>
      </c>
      <c r="Y9" t="inlineStr">
        <is>
          <t>경영 컨설팅업</t>
        </is>
      </c>
      <c r="Z9" t="inlineStr">
        <is>
          <t>경영 컨설팅</t>
        </is>
      </c>
      <c r="AA9" t="inlineStr">
        <is>
          <t>서울 중구 수하동 67번지 미래에셋센터원빌딩 동관 9층</t>
        </is>
      </c>
      <c r="AB9" t="inlineStr">
        <is>
          <t>서울 중구 을지로5길 26, 동관 9층 (수하동,미래에셋센터원빌딩)</t>
        </is>
      </c>
    </row>
    <row r="10" ht="19.2" customHeight="1" s="1">
      <c r="A10" t="inlineStr">
        <is>
          <t>NICE:048820</t>
        </is>
      </c>
      <c r="B10" t="inlineStr">
        <is>
          <t>국제엘렉트릭코리아</t>
        </is>
      </c>
      <c r="C10" s="5" t="n">
        <v>286357973000</v>
      </c>
      <c r="D10" s="5" t="n">
        <v>113830227000</v>
      </c>
      <c r="E10" s="5" t="n">
        <v>172527746000</v>
      </c>
      <c r="F10" s="5" t="n">
        <v>321288935000</v>
      </c>
      <c r="G10" s="5" t="n">
        <v>53814479000</v>
      </c>
      <c r="H10" s="5" t="n">
        <v>386181182000</v>
      </c>
      <c r="I10" s="5" t="n">
        <v>48108645000</v>
      </c>
      <c r="J10" s="4" t="n">
        <v>1.821399927139282</v>
      </c>
      <c r="K10" s="4" t="n">
        <v>0.6597999930381775</v>
      </c>
      <c r="L10" s="4" t="n">
        <v>0.1674999892711639</v>
      </c>
      <c r="M10" t="inlineStr">
        <is>
          <t>박용성</t>
        </is>
      </c>
      <c r="N10" t="inlineStr">
        <is>
          <t>041-559-1705</t>
        </is>
      </c>
      <c r="O10" t="inlineStr">
        <is>
          <t>041-621-3279</t>
        </is>
      </c>
      <c r="P10" s="3">
        <f>HYPERLINK("http://www.kekorea.co.kr", "http://www.kekorea.co.kr")</f>
        <v/>
      </c>
      <c r="Q10" t="inlineStr">
        <is>
          <t>3128114634</t>
        </is>
      </c>
      <c r="R10" t="inlineStr">
        <is>
          <t>1615110012389</t>
        </is>
      </c>
      <c r="S10" t="inlineStr">
        <is>
          <t>대상아님</t>
        </is>
      </c>
      <c r="T10" t="inlineStr">
        <is>
          <t>일반법인</t>
        </is>
      </c>
      <c r="U10" t="inlineStr">
        <is>
          <t>중견기업</t>
        </is>
      </c>
      <c r="V10" t="inlineStr">
        <is>
          <t>외부감사대상</t>
        </is>
      </c>
      <c r="W10" s="6" t="inlineStr">
        <is>
          <t>1993-05-24</t>
        </is>
      </c>
      <c r="X10" t="inlineStr">
        <is>
          <t>KRI:10C2927100</t>
        </is>
      </c>
      <c r="Y10" t="inlineStr">
        <is>
          <t>반도체 제조용 기계 제조업</t>
        </is>
      </c>
      <c r="Z10" t="inlineStr">
        <is>
          <t>반도체제조장비 제조,판매,보수</t>
        </is>
      </c>
      <c r="AA10" t="inlineStr">
        <is>
          <t>충남 천안시 서북구 차암동 4-2번지</t>
        </is>
      </c>
      <c r="AB10" t="inlineStr">
        <is>
          <t>충남 천안시 서북구 2공단8길 46</t>
        </is>
      </c>
    </row>
    <row r="11" ht="19.2" customHeight="1" s="1">
      <c r="A11" t="inlineStr">
        <is>
          <t>NICE:390953</t>
        </is>
      </c>
      <c r="B11" t="inlineStr">
        <is>
          <t>북항아이브리지</t>
        </is>
      </c>
      <c r="C11" s="5" t="n">
        <v>228761915000</v>
      </c>
      <c r="D11" s="5" t="n">
        <v>81259759000</v>
      </c>
      <c r="E11" s="5" t="n">
        <v>147502156000</v>
      </c>
      <c r="F11" s="5" t="n">
        <v>38069019000</v>
      </c>
      <c r="G11" s="5" t="n">
        <v>21010917000</v>
      </c>
      <c r="H11" s="5" t="n">
        <v>36651529000</v>
      </c>
      <c r="I11" s="5" t="n">
        <v>19677444000</v>
      </c>
      <c r="J11" s="4" t="n">
        <v>1.037099957466125</v>
      </c>
      <c r="K11" s="4" t="n">
        <v>0.5508999824523926</v>
      </c>
      <c r="L11" s="4" t="n">
        <v>0.5518999695777893</v>
      </c>
      <c r="M11" t="inlineStr">
        <is>
          <t>박경신</t>
        </is>
      </c>
      <c r="N11" t="inlineStr">
        <is>
          <t>1544-3888</t>
        </is>
      </c>
      <c r="O11" t="inlineStr">
        <is>
          <t>051-631-1944</t>
        </is>
      </c>
      <c r="P11" s="3">
        <f>HYPERLINK("http://www.bukhangbr.com", "http://www.bukhangbr.com")</f>
        <v/>
      </c>
      <c r="Q11" t="inlineStr">
        <is>
          <t>6058178302</t>
        </is>
      </c>
      <c r="R11" t="inlineStr">
        <is>
          <t>1801110560979</t>
        </is>
      </c>
      <c r="S11" t="inlineStr">
        <is>
          <t>대상아님</t>
        </is>
      </c>
      <c r="T11" t="inlineStr">
        <is>
          <t>일반법인</t>
        </is>
      </c>
      <c r="U11" t="inlineStr">
        <is>
          <t>대기업</t>
        </is>
      </c>
      <c r="V11" t="inlineStr">
        <is>
          <t>외부감사대상</t>
        </is>
      </c>
      <c r="W11" s="6" t="inlineStr">
        <is>
          <t>2006-07-06</t>
        </is>
      </c>
      <c r="X11" t="inlineStr">
        <is>
          <t>KRI:10H5291400</t>
        </is>
      </c>
      <c r="Y11" t="inlineStr">
        <is>
          <t>도로 및 관련시설 운영업</t>
        </is>
      </c>
      <c r="Z11" t="inlineStr">
        <is>
          <t>북항대교(부산시해안순환도로) 운영,관리,건설</t>
        </is>
      </c>
      <c r="AA11" t="inlineStr">
        <is>
          <t>부산 남구 감만동 254-16번지</t>
        </is>
      </c>
      <c r="AB11" t="inlineStr">
        <is>
          <t>부산 남구 북항로 176</t>
        </is>
      </c>
    </row>
    <row r="12" s="1">
      <c r="A12" t="inlineStr">
        <is>
          <t>NICE:T40292</t>
        </is>
      </c>
      <c r="B12" t="inlineStr">
        <is>
          <t>신화로직스</t>
        </is>
      </c>
      <c r="C12" s="5" t="n">
        <v>172743508000</v>
      </c>
      <c r="D12" s="5" t="n">
        <v>79538597000</v>
      </c>
      <c r="E12" s="5" t="n">
        <v>93204911000</v>
      </c>
      <c r="F12" s="5" t="n">
        <v>84230959000</v>
      </c>
      <c r="G12" s="5" t="n">
        <v>25208366000</v>
      </c>
      <c r="H12" s="5" t="n">
        <v>78851888000</v>
      </c>
      <c r="I12" s="5" t="n">
        <v>18887819000</v>
      </c>
      <c r="J12" s="4" t="n">
        <v>0.7434999942779541</v>
      </c>
      <c r="K12" s="4" t="n">
        <v>0.853399932384491</v>
      </c>
      <c r="L12" s="4" t="n">
        <v>0.2992999851703644</v>
      </c>
      <c r="M12" t="inlineStr">
        <is>
          <t>박해광</t>
        </is>
      </c>
      <c r="N12" t="inlineStr">
        <is>
          <t>031-686-5739</t>
        </is>
      </c>
      <c r="O12" t="inlineStr">
        <is>
          <t>031-686-5730</t>
        </is>
      </c>
      <c r="Q12" t="inlineStr">
        <is>
          <t>1248183835</t>
        </is>
      </c>
      <c r="R12" t="inlineStr">
        <is>
          <t>1348110052332</t>
        </is>
      </c>
      <c r="S12" t="inlineStr">
        <is>
          <t>대상아님</t>
        </is>
      </c>
      <c r="T12" t="inlineStr">
        <is>
          <t>일반법인</t>
        </is>
      </c>
      <c r="U12" t="inlineStr">
        <is>
          <t>중견기업</t>
        </is>
      </c>
      <c r="V12" t="inlineStr">
        <is>
          <t>외부감사대상</t>
        </is>
      </c>
      <c r="W12" s="6" t="inlineStr">
        <is>
          <t>2000-07-28</t>
        </is>
      </c>
      <c r="X12" t="inlineStr">
        <is>
          <t>KRI:10S9521100</t>
        </is>
      </c>
      <c r="Y12" t="inlineStr">
        <is>
          <t>자동차 종합 수리업</t>
        </is>
      </c>
      <c r="Z12" t="inlineStr">
        <is>
          <t>자동차 종합정비/화물운송,보관,창고,화물 취급,운송 주선,국제물류 주선/철강 도소매/부동산 임대</t>
        </is>
      </c>
      <c r="AA12" t="inlineStr">
        <is>
          <t>경기 평택시 포승읍 신영리 944번지</t>
        </is>
      </c>
      <c r="AB12" t="inlineStr">
        <is>
          <t>경기 평택시 포승읍 서동대로 437-207</t>
        </is>
      </c>
    </row>
    <row r="13" ht="19.2" customHeight="1" s="1">
      <c r="A13" t="inlineStr">
        <is>
          <t>NICE:MP2426</t>
        </is>
      </c>
      <c r="B13" t="inlineStr">
        <is>
          <t>휴온스바이오파마</t>
        </is>
      </c>
      <c r="C13" s="5" t="n">
        <v>158531963000</v>
      </c>
      <c r="D13" s="5" t="n">
        <v>10282230000</v>
      </c>
      <c r="E13" s="5" t="n">
        <v>148249732000</v>
      </c>
      <c r="F13" s="5" t="n">
        <v>37263700000</v>
      </c>
      <c r="G13" s="5" t="n">
        <v>4806080000</v>
      </c>
      <c r="H13" s="5" t="n">
        <v>39733231000</v>
      </c>
      <c r="I13" s="5" t="n">
        <v>11760903000</v>
      </c>
      <c r="J13" s="4" t="n">
        <v>11.43959903717041</v>
      </c>
      <c r="K13" s="4" t="n">
        <v>0.06939999759197235</v>
      </c>
      <c r="L13" s="4" t="n">
        <v>0.1289999932050705</v>
      </c>
      <c r="M13" t="inlineStr">
        <is>
          <t>김영목</t>
        </is>
      </c>
      <c r="N13" t="inlineStr">
        <is>
          <t>070-7492-5891</t>
        </is>
      </c>
      <c r="O13" t="inlineStr">
        <is>
          <t>031-624-7880</t>
        </is>
      </c>
      <c r="P13" s="3">
        <f>HYPERLINK("http://huonsbiopharma.com", "http://huonsbiopharma.com")</f>
        <v/>
      </c>
      <c r="Q13" t="inlineStr">
        <is>
          <t>1818602034</t>
        </is>
      </c>
      <c r="R13" t="inlineStr">
        <is>
          <t>1311110626704</t>
        </is>
      </c>
      <c r="S13" t="inlineStr">
        <is>
          <t>대상아님</t>
        </is>
      </c>
      <c r="T13" t="inlineStr">
        <is>
          <t>일반법인</t>
        </is>
      </c>
      <c r="U13" t="inlineStr">
        <is>
          <t>중소기업</t>
        </is>
      </c>
      <c r="V13" t="inlineStr">
        <is>
          <t>외부감사대상</t>
        </is>
      </c>
      <c r="W13" s="6" t="inlineStr">
        <is>
          <t>2021-04-02</t>
        </is>
      </c>
      <c r="X13" t="inlineStr">
        <is>
          <t>KRI:10C2121000</t>
        </is>
      </c>
      <c r="Y13" t="inlineStr">
        <is>
          <t>완제 의약품 제조업</t>
        </is>
      </c>
      <c r="Z13" t="inlineStr">
        <is>
          <t>의약품,의약외품,합성수지가공,동물용의약품,생물학적제제,의료기기,이산화탄소저감장치 제조</t>
        </is>
      </c>
      <c r="AA13" t="inlineStr">
        <is>
          <t>경기 성남시 수정구 시흥동 339번지 판교아이스퀘어 A동 7층</t>
        </is>
      </c>
      <c r="AB13" t="inlineStr">
        <is>
          <t>경기 성남시 수정구 창업로 17, A동 7층 (시흥동,판교 아이스퀘어)</t>
        </is>
      </c>
    </row>
    <row r="14" ht="19.2" customHeight="1" s="1">
      <c r="A14" t="inlineStr">
        <is>
          <t>NICE:C16918</t>
        </is>
      </c>
      <c r="B14" t="inlineStr">
        <is>
          <t>한경엘앤디</t>
        </is>
      </c>
      <c r="C14" s="5" t="n">
        <v>157154190000</v>
      </c>
      <c r="D14" s="5" t="n">
        <v>55698068000</v>
      </c>
      <c r="E14" s="5" t="n">
        <v>101456122000</v>
      </c>
      <c r="F14" s="5" t="n">
        <v>22590672000</v>
      </c>
      <c r="G14" s="5" t="n">
        <v>6907258000</v>
      </c>
      <c r="H14" s="5" t="n">
        <v>24902192000</v>
      </c>
      <c r="I14" s="5" t="n">
        <v>10618370000</v>
      </c>
      <c r="J14" s="4" t="n">
        <v>0.09609999507665634</v>
      </c>
      <c r="K14" s="4" t="n">
        <v>0.5490000247955322</v>
      </c>
      <c r="L14" s="4" t="n">
        <v>0.3057999908924103</v>
      </c>
      <c r="M14" t="inlineStr">
        <is>
          <t>송광림</t>
        </is>
      </c>
      <c r="N14" t="inlineStr">
        <is>
          <t>031-538-7000</t>
        </is>
      </c>
      <c r="O14" t="inlineStr">
        <is>
          <t>031-543-1272</t>
        </is>
      </c>
      <c r="P14" s="3">
        <f>HYPERLINK("http://www.fortunehills.co.kr", "http://www.fortunehills.co.kr")</f>
        <v/>
      </c>
      <c r="Q14" t="inlineStr">
        <is>
          <t>1278602118</t>
        </is>
      </c>
      <c r="R14" t="inlineStr">
        <is>
          <t>1345110094611</t>
        </is>
      </c>
      <c r="S14" t="inlineStr">
        <is>
          <t>대상아님</t>
        </is>
      </c>
      <c r="T14" t="inlineStr">
        <is>
          <t>일반법인</t>
        </is>
      </c>
      <c r="U14" t="inlineStr">
        <is>
          <t>중견기업</t>
        </is>
      </c>
      <c r="V14" t="inlineStr">
        <is>
          <t>외부감사대상</t>
        </is>
      </c>
      <c r="W14" s="6" t="inlineStr">
        <is>
          <t>2005-10-11</t>
        </is>
      </c>
      <c r="X14" t="inlineStr">
        <is>
          <t>KRI:10R9112100</t>
        </is>
      </c>
      <c r="Y14" t="inlineStr">
        <is>
          <t>골프장 운영업</t>
        </is>
      </c>
      <c r="Z14" t="inlineStr">
        <is>
          <t>골프장 운영</t>
        </is>
      </c>
      <c r="AA14" t="inlineStr">
        <is>
          <t>경기 포천시 군내면 상성북리 420-1번지</t>
        </is>
      </c>
      <c r="AB14" t="inlineStr">
        <is>
          <t>경기 포천시 군내면 반월산성로375번길 34</t>
        </is>
      </c>
    </row>
    <row r="15" ht="19.2" customHeight="1" s="1">
      <c r="A15" t="inlineStr">
        <is>
          <t>NICE:380165</t>
        </is>
      </c>
      <c r="B15" t="inlineStr">
        <is>
          <t>히타치하이테크코리아</t>
        </is>
      </c>
      <c r="C15" s="5" t="n">
        <v>153075038000</v>
      </c>
      <c r="D15" s="5" t="n">
        <v>41525487000</v>
      </c>
      <c r="E15" s="5" t="n">
        <v>111549550000</v>
      </c>
      <c r="F15" s="5" t="n">
        <v>184032399000</v>
      </c>
      <c r="G15" s="5" t="n">
        <v>48055782000</v>
      </c>
      <c r="H15" s="5" t="n">
        <v>158192553000</v>
      </c>
      <c r="I15" s="5" t="n">
        <v>42773322000</v>
      </c>
      <c r="J15" s="4" t="n">
        <v>3.122699737548828</v>
      </c>
      <c r="K15" s="4" t="n">
        <v>0.372299998998642</v>
      </c>
      <c r="L15" s="4" t="n">
        <v>0.2610999941825867</v>
      </c>
      <c r="M15" t="inlineStr">
        <is>
          <t>마츠오카에이지</t>
        </is>
      </c>
      <c r="N15" t="inlineStr">
        <is>
          <t>031-725-4201</t>
        </is>
      </c>
      <c r="O15" t="inlineStr">
        <is>
          <t>031-725-4209</t>
        </is>
      </c>
      <c r="P15" s="3">
        <f>HYPERLINK("http://www.hitachi-hightech.com/kr/?version=ko", "http://www.hitachi-hightech.com/kr/?version=ko")</f>
        <v/>
      </c>
      <c r="Q15" t="inlineStr">
        <is>
          <t>1018613592</t>
        </is>
      </c>
      <c r="R15" t="inlineStr">
        <is>
          <t>1101113194018</t>
        </is>
      </c>
      <c r="S15" t="inlineStr">
        <is>
          <t>대상아님</t>
        </is>
      </c>
      <c r="T15" t="inlineStr">
        <is>
          <t>일반법인</t>
        </is>
      </c>
      <c r="U15" t="inlineStr">
        <is>
          <t>중소기업</t>
        </is>
      </c>
      <c r="V15" t="inlineStr">
        <is>
          <t>외부감사대상</t>
        </is>
      </c>
      <c r="W15" s="6" t="inlineStr">
        <is>
          <t>2005-03-24</t>
        </is>
      </c>
      <c r="X15" t="inlineStr">
        <is>
          <t>KRI:10G4680000</t>
        </is>
      </c>
      <c r="Y15" t="inlineStr">
        <is>
          <t>상품 종합 도매업</t>
        </is>
      </c>
      <c r="Z15" t="inlineStr">
        <is>
          <t>무역(어플리케이션,관련부품,반도체제조장치,계측기부품 상품연쇄화)</t>
        </is>
      </c>
      <c r="AA15" t="inlineStr">
        <is>
          <t>경기 성남시 분당구 백현동 541번지 오피스에이치 9층</t>
        </is>
      </c>
      <c r="AB15" t="inlineStr">
        <is>
          <t>경기 성남시 분당구 판교역로146번길 20, 9층 (백현동,오피스에이치)</t>
        </is>
      </c>
    </row>
    <row r="16" ht="19.2" customHeight="1" s="1">
      <c r="A16" t="inlineStr">
        <is>
          <t>NICE:682713</t>
        </is>
      </c>
      <c r="B16" t="inlineStr">
        <is>
          <t>제원인터내쇼날</t>
        </is>
      </c>
      <c r="C16" s="5" t="n">
        <v>144494755000</v>
      </c>
      <c r="D16" s="5" t="n">
        <v>34485418000</v>
      </c>
      <c r="E16" s="5" t="n">
        <v>110009337000</v>
      </c>
      <c r="F16" s="5" t="n">
        <v>124439895000</v>
      </c>
      <c r="G16" s="5" t="n">
        <v>18141059000</v>
      </c>
      <c r="H16" s="5" t="n">
        <v>109953144000</v>
      </c>
      <c r="I16" s="5" t="n">
        <v>17393420000</v>
      </c>
      <c r="J16" s="4" t="n">
        <v>2.550699949264526</v>
      </c>
      <c r="K16" s="4" t="n">
        <v>0.3134999871253967</v>
      </c>
      <c r="L16" s="4" t="n">
        <v>0.145799994468689</v>
      </c>
      <c r="M16" t="inlineStr">
        <is>
          <t>최수호/최훈학</t>
        </is>
      </c>
      <c r="N16" t="inlineStr">
        <is>
          <t>02-998-9672</t>
        </is>
      </c>
      <c r="O16" t="inlineStr">
        <is>
          <t>02-998-9077</t>
        </is>
      </c>
      <c r="P16" s="3">
        <f>HYPERLINK("http://www.jewon1986.com", "http://www.jewon1986.com")</f>
        <v/>
      </c>
      <c r="Q16" t="inlineStr">
        <is>
          <t>2108115981</t>
        </is>
      </c>
      <c r="R16" t="inlineStr">
        <is>
          <t>1101110782402</t>
        </is>
      </c>
      <c r="S16" t="inlineStr">
        <is>
          <t>대상아님</t>
        </is>
      </c>
      <c r="T16" t="inlineStr">
        <is>
          <t>일반법인</t>
        </is>
      </c>
      <c r="U16" t="inlineStr">
        <is>
          <t>중소기업</t>
        </is>
      </c>
      <c r="V16" t="inlineStr">
        <is>
          <t>외부감사대상</t>
        </is>
      </c>
      <c r="W16" s="6" t="inlineStr">
        <is>
          <t>1986-06-30</t>
        </is>
      </c>
      <c r="X16" t="inlineStr">
        <is>
          <t>KRI:10G4632300</t>
        </is>
      </c>
      <c r="Y16" t="inlineStr">
        <is>
          <t>빵류, 과자류, 당류, 초콜릿 도매업</t>
        </is>
      </c>
      <c r="Z16" t="inlineStr">
        <is>
          <t>제과제빵재료(커버춰 초콜릿,애프리코트 혼당,코팅 초콜릿) 도소매</t>
        </is>
      </c>
      <c r="AA16" t="inlineStr">
        <is>
          <t>서울 강남구 신사동 634-4번지</t>
        </is>
      </c>
      <c r="AB16" t="inlineStr">
        <is>
          <t>서울 강남구 언주로 848</t>
        </is>
      </c>
    </row>
    <row r="17" ht="19.2" customHeight="1" s="1">
      <c r="A17" t="inlineStr">
        <is>
          <t>NICE:C43445</t>
        </is>
      </c>
      <c r="B17" t="inlineStr">
        <is>
          <t>디앤티</t>
        </is>
      </c>
      <c r="C17" s="5" t="n">
        <v>114786047000</v>
      </c>
      <c r="D17" s="5" t="n">
        <v>33747276000</v>
      </c>
      <c r="E17" s="5" t="n">
        <v>81038771000</v>
      </c>
      <c r="F17" s="5" t="n">
        <v>130139416000</v>
      </c>
      <c r="G17" s="5" t="n">
        <v>26806562000</v>
      </c>
      <c r="H17" s="5" t="n">
        <v>123993425000</v>
      </c>
      <c r="I17" s="5" t="n">
        <v>19626915000</v>
      </c>
      <c r="J17" s="4" t="n">
        <v>3.113099813461304</v>
      </c>
      <c r="K17" s="4" t="n">
        <v>0.4163999855518341</v>
      </c>
      <c r="L17" s="4" t="n">
        <v>0.2060000002384186</v>
      </c>
      <c r="M17" t="inlineStr">
        <is>
          <t>박해일</t>
        </is>
      </c>
      <c r="N17" t="inlineStr">
        <is>
          <t>042-360-8000</t>
        </is>
      </c>
      <c r="O17" t="inlineStr">
        <is>
          <t>042-367-3510</t>
        </is>
      </c>
      <c r="P17" s="3">
        <f>HYPERLINK("http://www.dntinc.co.kr", "http://www.dntinc.co.kr")</f>
        <v/>
      </c>
      <c r="Q17" t="inlineStr">
        <is>
          <t>3148600432</t>
        </is>
      </c>
      <c r="R17" t="inlineStr">
        <is>
          <t>1601110247430</t>
        </is>
      </c>
      <c r="S17" t="inlineStr">
        <is>
          <t>대상아님</t>
        </is>
      </c>
      <c r="T17" t="inlineStr">
        <is>
          <t>일반법인</t>
        </is>
      </c>
      <c r="U17" t="inlineStr">
        <is>
          <t>중소기업</t>
        </is>
      </c>
      <c r="V17" t="inlineStr">
        <is>
          <t>외부감사대상</t>
        </is>
      </c>
      <c r="W17" s="6" t="inlineStr">
        <is>
          <t>2008-09-06</t>
        </is>
      </c>
      <c r="X17" t="inlineStr">
        <is>
          <t>KRI:10C2651900</t>
        </is>
      </c>
      <c r="Y17" t="inlineStr">
        <is>
          <t>비디오 및 기타 영상기기 제조업</t>
        </is>
      </c>
      <c r="Z17" t="inlineStr">
        <is>
          <t>디스플레이관련제품,반도체부품,통신부품 제조/정보통신공사/부동산 임대/시스템,응용 소프트웨어 개발,공급</t>
        </is>
      </c>
      <c r="AA17" t="inlineStr">
        <is>
          <t>대전 유성구 장동 59-9번지</t>
        </is>
      </c>
      <c r="AB17" t="inlineStr">
        <is>
          <t>대전 유성구 가정북로 26-121</t>
        </is>
      </c>
    </row>
    <row r="18" s="1">
      <c r="A18" t="inlineStr">
        <is>
          <t>NICE:372439</t>
        </is>
      </c>
      <c r="B18" t="inlineStr">
        <is>
          <t>동아알루미늄</t>
        </is>
      </c>
      <c r="C18" s="5" t="n">
        <v>100095908000</v>
      </c>
      <c r="D18" s="5" t="n">
        <v>40143912000</v>
      </c>
      <c r="E18" s="5" t="n">
        <v>59951997000</v>
      </c>
      <c r="F18" s="5" t="n">
        <v>40215190000</v>
      </c>
      <c r="G18" s="5" t="n">
        <v>4469276000</v>
      </c>
      <c r="H18" s="5" t="n">
        <v>43394498000</v>
      </c>
      <c r="I18" s="5" t="n">
        <v>4485284000</v>
      </c>
      <c r="J18" s="4" t="n">
        <v>0.9362000226974487</v>
      </c>
      <c r="K18" s="4" t="n">
        <v>0.6695999503135681</v>
      </c>
      <c r="L18" s="4" t="n">
        <v>0.1110999956727028</v>
      </c>
      <c r="M18" t="inlineStr">
        <is>
          <t>라제건</t>
        </is>
      </c>
      <c r="N18" t="inlineStr">
        <is>
          <t>032-577-8080</t>
        </is>
      </c>
      <c r="O18" t="inlineStr">
        <is>
          <t>032-578-3285</t>
        </is>
      </c>
      <c r="Q18" t="inlineStr">
        <is>
          <t>1378101839</t>
        </is>
      </c>
      <c r="R18" t="inlineStr">
        <is>
          <t>1201110046236</t>
        </is>
      </c>
      <c r="S18" t="inlineStr">
        <is>
          <t>대상아님</t>
        </is>
      </c>
      <c r="T18" t="inlineStr">
        <is>
          <t>일반법인</t>
        </is>
      </c>
      <c r="U18" t="inlineStr">
        <is>
          <t>중소기업</t>
        </is>
      </c>
      <c r="V18" t="inlineStr">
        <is>
          <t>외부감사대상</t>
        </is>
      </c>
      <c r="W18" s="6" t="inlineStr">
        <is>
          <t>1988-07-07</t>
        </is>
      </c>
      <c r="X18" t="inlineStr">
        <is>
          <t>KRI:10C2422200</t>
        </is>
      </c>
      <c r="Y18" t="inlineStr">
        <is>
          <t>알루미늄 압연, 압출 및 연신제품 제조업</t>
        </is>
      </c>
      <c r="Z18" t="inlineStr">
        <is>
          <t>알미늄제품 제조,도매,무역/태양광발전</t>
        </is>
      </c>
      <c r="AA18" t="inlineStr">
        <is>
          <t>인천 서구 가좌동 542-3번지</t>
        </is>
      </c>
      <c r="AB18" t="inlineStr">
        <is>
          <t>인천 서구 가재울로 54</t>
        </is>
      </c>
    </row>
    <row r="19" ht="19.2" customHeight="1" s="1">
      <c r="A19" t="inlineStr">
        <is>
          <t>NICE:E85748</t>
        </is>
      </c>
      <c r="B19" t="inlineStr">
        <is>
          <t>스위트스페이스</t>
        </is>
      </c>
      <c r="C19" s="5" t="n">
        <v>48374383000</v>
      </c>
      <c r="D19" s="5" t="n">
        <v>7578895000</v>
      </c>
      <c r="E19" s="5" t="n">
        <v>40795488000</v>
      </c>
      <c r="F19" s="5" t="n">
        <v>45226695000</v>
      </c>
      <c r="G19" s="5" t="n">
        <v>6240877000</v>
      </c>
      <c r="H19" s="5" t="n">
        <v>39954798000</v>
      </c>
      <c r="I19" s="5" t="n">
        <v>7041259000</v>
      </c>
      <c r="J19" s="4" t="n">
        <v>2.845299959182739</v>
      </c>
      <c r="K19" s="4" t="n">
        <v>0.1858000010251999</v>
      </c>
      <c r="L19" s="4" t="n">
        <v>0.1379999965429306</v>
      </c>
      <c r="M19" t="inlineStr">
        <is>
          <t>사공숙희</t>
        </is>
      </c>
      <c r="N19" t="inlineStr">
        <is>
          <t>02-2176-0317</t>
        </is>
      </c>
      <c r="O19" t="inlineStr">
        <is>
          <t>02-566-2779</t>
        </is>
      </c>
      <c r="P19" s="3">
        <f>HYPERLINK("http://www.sweetspace.co.kr", "http://www.sweetspace.co.kr")</f>
        <v/>
      </c>
      <c r="Q19" t="inlineStr">
        <is>
          <t>2208847010</t>
        </is>
      </c>
      <c r="R19" t="inlineStr">
        <is>
          <t>1101114988147</t>
        </is>
      </c>
      <c r="S19" t="inlineStr">
        <is>
          <t>대상아님</t>
        </is>
      </c>
      <c r="T19" t="inlineStr">
        <is>
          <t>일반법인</t>
        </is>
      </c>
      <c r="U19" t="inlineStr">
        <is>
          <t>중소기업</t>
        </is>
      </c>
      <c r="V19" t="inlineStr">
        <is>
          <t>외부감사대상</t>
        </is>
      </c>
      <c r="W19" s="6" t="inlineStr">
        <is>
          <t>2012-10-25</t>
        </is>
      </c>
      <c r="X19" t="inlineStr">
        <is>
          <t>KRI:10G4632900</t>
        </is>
      </c>
      <c r="Y19" t="inlineStr">
        <is>
          <t>기타 가공식품 도매업</t>
        </is>
      </c>
      <c r="Z19" t="inlineStr">
        <is>
          <t>식품,잡화 도소매,무역</t>
        </is>
      </c>
      <c r="AA19" t="inlineStr">
        <is>
          <t>서울 중구 신당동 333-79번지 성원빌딩</t>
        </is>
      </c>
      <c r="AB19" t="inlineStr">
        <is>
          <t>서울 중구 다산로 168 (신당동,성원빌딩)</t>
        </is>
      </c>
    </row>
    <row r="20" ht="19.2" customHeight="1" s="1">
      <c r="A20" t="inlineStr">
        <is>
          <t>NICE:117654</t>
        </is>
      </c>
      <c r="B20" t="inlineStr">
        <is>
          <t>길종합건축사사무소이엔지</t>
        </is>
      </c>
      <c r="C20" s="5" t="n">
        <v>48364476000</v>
      </c>
      <c r="D20" s="5" t="n">
        <v>8297951000</v>
      </c>
      <c r="E20" s="5" t="n">
        <v>40066525000</v>
      </c>
      <c r="F20" s="5" t="n">
        <v>67021770000</v>
      </c>
      <c r="G20" s="5" t="n">
        <v>6851493000</v>
      </c>
      <c r="H20" s="5" t="n">
        <v>48368092000</v>
      </c>
      <c r="I20" s="5" t="n">
        <v>3803533000</v>
      </c>
      <c r="J20" s="4" t="n">
        <v>5.194399833679199</v>
      </c>
      <c r="K20" s="4" t="n">
        <v>0.2070999890565872</v>
      </c>
      <c r="L20" s="4" t="n">
        <v>0.1022000014781952</v>
      </c>
      <c r="M20" t="inlineStr">
        <is>
          <t>이길환</t>
        </is>
      </c>
      <c r="N20" t="inlineStr">
        <is>
          <t>063-276-7200</t>
        </is>
      </c>
      <c r="O20" t="inlineStr">
        <is>
          <t>063-276-7201</t>
        </is>
      </c>
      <c r="P20" s="3">
        <f>HYPERLINK("http://www.gilgroup.co.kr", "http://www.gilgroup.co.kr")</f>
        <v/>
      </c>
      <c r="Q20" t="inlineStr">
        <is>
          <t>4038115360</t>
        </is>
      </c>
      <c r="R20" t="inlineStr">
        <is>
          <t>2149110010092</t>
        </is>
      </c>
      <c r="S20" t="inlineStr">
        <is>
          <t>대상아님</t>
        </is>
      </c>
      <c r="T20" t="inlineStr">
        <is>
          <t>일반법인</t>
        </is>
      </c>
      <c r="U20" t="inlineStr">
        <is>
          <t>중소기업</t>
        </is>
      </c>
      <c r="V20" t="inlineStr">
        <is>
          <t>외부감사대상</t>
        </is>
      </c>
      <c r="W20" s="6" t="inlineStr">
        <is>
          <t>1996-01-01</t>
        </is>
      </c>
      <c r="X20" t="inlineStr">
        <is>
          <t>KRI:10M7211100</t>
        </is>
      </c>
      <c r="Y20" t="inlineStr">
        <is>
          <t>건축설계 및 관련 서비스업</t>
        </is>
      </c>
      <c r="Z20" t="inlineStr">
        <is>
          <t>건축 설계</t>
        </is>
      </c>
      <c r="AA20" t="inlineStr">
        <is>
          <t>전북 전주시 완산구 효자동3가 703번지</t>
        </is>
      </c>
      <c r="AB20" t="inlineStr">
        <is>
          <t>전북 전주시 완산구 천잠로 531</t>
        </is>
      </c>
    </row>
    <row r="21" ht="19.2" customHeight="1" s="1">
      <c r="A21" t="inlineStr">
        <is>
          <t>NICE:HO5909</t>
        </is>
      </c>
      <c r="B21" t="inlineStr">
        <is>
          <t>더에스엠씨</t>
        </is>
      </c>
      <c r="C21" s="5" t="n">
        <v>46041059000</v>
      </c>
      <c r="D21" s="5" t="n">
        <v>34502784000</v>
      </c>
      <c r="E21" s="5" t="n">
        <v>11538275000</v>
      </c>
      <c r="F21" s="5" t="n">
        <v>68017967000</v>
      </c>
      <c r="G21" s="5" t="n">
        <v>7362719000</v>
      </c>
      <c r="H21" s="5" t="n">
        <v>31743918000</v>
      </c>
      <c r="I21" s="5" t="n">
        <v>2838451000</v>
      </c>
      <c r="J21" s="4" t="n">
        <v>0.928600013256073</v>
      </c>
      <c r="K21" s="4" t="n">
        <v>2.990299940109253</v>
      </c>
      <c r="L21" s="4" t="n">
        <v>0.1081999912858009</v>
      </c>
      <c r="M21" t="inlineStr">
        <is>
          <t>김용태</t>
        </is>
      </c>
      <c r="N21" t="inlineStr">
        <is>
          <t>070-5099-5359</t>
        </is>
      </c>
      <c r="O21" t="inlineStr">
        <is>
          <t>02-5727-0074</t>
        </is>
      </c>
      <c r="P21" s="3">
        <f>HYPERLINK("http://dadecomm.co.kr/", "http://dadecomm.co.kr/")</f>
        <v/>
      </c>
      <c r="Q21" t="inlineStr">
        <is>
          <t>3318700356</t>
        </is>
      </c>
      <c r="R21" t="inlineStr">
        <is>
          <t>1101116007896</t>
        </is>
      </c>
      <c r="S21" t="inlineStr">
        <is>
          <t>대상아님</t>
        </is>
      </c>
      <c r="T21" t="inlineStr">
        <is>
          <t>일반법인</t>
        </is>
      </c>
      <c r="U21" t="inlineStr">
        <is>
          <t>중소기업</t>
        </is>
      </c>
      <c r="V21" t="inlineStr">
        <is>
          <t>외부감사대상</t>
        </is>
      </c>
      <c r="W21" s="6" t="inlineStr">
        <is>
          <t>2016-03-22</t>
        </is>
      </c>
      <c r="X21" t="inlineStr">
        <is>
          <t>KRI:10M7131000</t>
        </is>
      </c>
      <c r="Y21" t="inlineStr">
        <is>
          <t>광고 대행업</t>
        </is>
      </c>
      <c r="Z21" t="inlineStr">
        <is>
          <t>온라인광고 대행,시스템통합 구축,마케팅 컨설팅,광고영화,비디오물 제작</t>
        </is>
      </c>
      <c r="AA21" t="inlineStr">
        <is>
          <t>서울 강남구 논현동 269-8번지 더에스엠씨빌딩 2층</t>
        </is>
      </c>
      <c r="AB21" t="inlineStr">
        <is>
          <t>서울 강남구 봉은사로49길 22, 2층 (논현동,더에스엠씨빌딩)</t>
        </is>
      </c>
    </row>
    <row r="22" ht="19.2" customHeight="1" s="1">
      <c r="A22" t="inlineStr">
        <is>
          <t>NICE:JQ3450</t>
        </is>
      </c>
      <c r="B22" t="inlineStr">
        <is>
          <t>위너스로직스</t>
        </is>
      </c>
      <c r="C22" s="5" t="n">
        <v>19239261000</v>
      </c>
      <c r="D22" s="5" t="n">
        <v>2774940000</v>
      </c>
      <c r="E22" s="5" t="n">
        <v>16464321000</v>
      </c>
      <c r="F22" s="5" t="n">
        <v>45415145000</v>
      </c>
      <c r="G22" s="5" t="n">
        <v>7872116000</v>
      </c>
      <c r="H22" s="5" t="n">
        <v>36251004000</v>
      </c>
      <c r="I22" s="5" t="n">
        <v>7503985000</v>
      </c>
      <c r="J22" s="4" t="n">
        <v>5.326900005340576</v>
      </c>
      <c r="K22" s="4" t="n">
        <v>0.1685000061988831</v>
      </c>
      <c r="L22" s="4" t="n">
        <v>0.1732999980449677</v>
      </c>
      <c r="M22" t="inlineStr">
        <is>
          <t>공면석/공영훈</t>
        </is>
      </c>
      <c r="N22" t="inlineStr">
        <is>
          <t>02-777-9290</t>
        </is>
      </c>
      <c r="O22" t="inlineStr">
        <is>
          <t>02-775-6177</t>
        </is>
      </c>
      <c r="P22" s="3">
        <f>HYPERLINK("http://www.winners-trans.co.kr", "http://www.winners-trans.co.kr")</f>
        <v/>
      </c>
      <c r="Q22" t="inlineStr">
        <is>
          <t>3298701556</t>
        </is>
      </c>
      <c r="R22" t="inlineStr">
        <is>
          <t>1101117143988</t>
        </is>
      </c>
      <c r="S22" t="inlineStr">
        <is>
          <t>대상아님</t>
        </is>
      </c>
      <c r="T22" t="inlineStr">
        <is>
          <t>일반법인</t>
        </is>
      </c>
      <c r="U22" t="inlineStr">
        <is>
          <t>중소기업</t>
        </is>
      </c>
      <c r="V22" t="inlineStr">
        <is>
          <t>외부감사대상</t>
        </is>
      </c>
      <c r="W22" s="6" t="inlineStr">
        <is>
          <t>2019-06-19</t>
        </is>
      </c>
      <c r="X22" t="inlineStr">
        <is>
          <t>KRI:10H5299200</t>
        </is>
      </c>
      <c r="Y22" t="inlineStr">
        <is>
          <t>화물운송 중개, 대리 및 관련 서비스업</t>
        </is>
      </c>
      <c r="Z22" t="inlineStr">
        <is>
          <t>해상,항공운송 주선/섬유,의복,신발,가죽제품,목재,건축자재,연료 도소매</t>
        </is>
      </c>
      <c r="AA22" t="inlineStr">
        <is>
          <t>서울 강남구 논현동 211-19번지 승석빌딩 지하1층</t>
        </is>
      </c>
      <c r="AB22" t="inlineStr">
        <is>
          <t>서울 강남구 언주로 645, 지하1층 (논현동,승석빌딩)</t>
        </is>
      </c>
    </row>
    <row r="23" ht="19.2" customHeight="1" s="1">
      <c r="A23" t="inlineStr">
        <is>
          <t>NICE:616010</t>
        </is>
      </c>
      <c r="B23" t="inlineStr">
        <is>
          <t>오션테크</t>
        </is>
      </c>
      <c r="C23" s="5" t="n">
        <v>17407269000</v>
      </c>
      <c r="D23" s="5" t="n">
        <v>3893839000</v>
      </c>
      <c r="E23" s="5" t="n">
        <v>13513430000</v>
      </c>
      <c r="F23" s="5" t="n">
        <v>21674142000</v>
      </c>
      <c r="G23" s="5" t="n">
        <v>3282491000</v>
      </c>
      <c r="H23" s="5" t="n">
        <v>26200322000</v>
      </c>
      <c r="I23" s="5" t="n">
        <v>2855954000</v>
      </c>
      <c r="J23" s="4" t="n">
        <v>4.032699584960938</v>
      </c>
      <c r="K23" s="4" t="n">
        <v>0.2880999743938446</v>
      </c>
      <c r="L23" s="4" t="n">
        <v>0.1513999998569489</v>
      </c>
      <c r="M23" t="inlineStr">
        <is>
          <t>문홍배/신용은/조혁만</t>
        </is>
      </c>
      <c r="N23" t="inlineStr">
        <is>
          <t>031-995-9000</t>
        </is>
      </c>
      <c r="O23" t="inlineStr">
        <is>
          <t>031-970-1459</t>
        </is>
      </c>
      <c r="P23" s="3">
        <f>HYPERLINK("http://www.oceantech.co.kr", "http://www.oceantech.co.kr")</f>
        <v/>
      </c>
      <c r="Q23" t="inlineStr">
        <is>
          <t>1058188464</t>
        </is>
      </c>
      <c r="R23" t="inlineStr">
        <is>
          <t>1101111447419</t>
        </is>
      </c>
      <c r="S23" t="inlineStr">
        <is>
          <t>대상아님</t>
        </is>
      </c>
      <c r="T23" t="inlineStr">
        <is>
          <t>일반법인</t>
        </is>
      </c>
      <c r="U23" t="inlineStr">
        <is>
          <t>중소기업</t>
        </is>
      </c>
      <c r="V23" t="inlineStr">
        <is>
          <t>외부감사대상</t>
        </is>
      </c>
      <c r="W23" s="6" t="inlineStr">
        <is>
          <t>1997-08-01</t>
        </is>
      </c>
      <c r="X23" t="inlineStr">
        <is>
          <t>KRI:10G4659300</t>
        </is>
      </c>
      <c r="Y23" t="inlineStr">
        <is>
          <t>정밀기기 및 과학기기 도매업</t>
        </is>
      </c>
      <c r="Z23" t="inlineStr">
        <is>
          <t>해양관측장비,전기,전자,기계부품 도매,무역/무인항공기,무인비행장치(드론) 제조/정보통신공사,수중공사</t>
        </is>
      </c>
      <c r="AA23" t="inlineStr">
        <is>
          <t>경기 고양시 덕양구 행주외동 196-2번지 오션빌딩</t>
        </is>
      </c>
      <c r="AB23" t="inlineStr">
        <is>
          <t>경기 고양시 덕양구 행주산성로144번길 57 (행주외동,오션빌딩)</t>
        </is>
      </c>
    </row>
    <row r="24" ht="19.2" customHeight="1" s="1">
      <c r="A24" t="inlineStr">
        <is>
          <t>NICE:H25790</t>
        </is>
      </c>
      <c r="B24" t="inlineStr">
        <is>
          <t>인흥산업</t>
        </is>
      </c>
      <c r="C24" s="5" t="n">
        <v>56637163000</v>
      </c>
      <c r="D24" s="5" t="n">
        <v>30682103000</v>
      </c>
      <c r="E24" s="5" t="n">
        <v>25955060000</v>
      </c>
      <c r="F24" s="5" t="n">
        <v>33129228000</v>
      </c>
      <c r="G24" s="5" t="n">
        <v>6020851000</v>
      </c>
      <c r="H24" s="5" t="n">
        <v>23489452000</v>
      </c>
      <c r="I24" s="5" t="n">
        <v>4182836000</v>
      </c>
      <c r="J24" s="4" t="n">
        <v>1.406099915504456</v>
      </c>
      <c r="K24" s="4" t="n">
        <v>1.182099938392639</v>
      </c>
      <c r="L24" s="4" t="n">
        <v>0.1816999912261963</v>
      </c>
      <c r="M24" t="inlineStr">
        <is>
          <t>이선재</t>
        </is>
      </c>
      <c r="N24" t="inlineStr">
        <is>
          <t>054-743-3520</t>
        </is>
      </c>
      <c r="O24" t="inlineStr">
        <is>
          <t>054-743-3529</t>
        </is>
      </c>
      <c r="P24" s="3">
        <f>HYPERLINK("http://www.inheung.co.kr", "http://www.inheung.co.kr")</f>
        <v/>
      </c>
      <c r="Q24" t="inlineStr">
        <is>
          <t>5058160220</t>
        </is>
      </c>
      <c r="R24" t="inlineStr">
        <is>
          <t>1712110059591</t>
        </is>
      </c>
      <c r="S24" t="inlineStr">
        <is>
          <t>대상아님</t>
        </is>
      </c>
      <c r="T24" t="inlineStr">
        <is>
          <t>일반법인</t>
        </is>
      </c>
      <c r="U24" t="inlineStr">
        <is>
          <t>중소기업</t>
        </is>
      </c>
      <c r="V24" t="inlineStr">
        <is>
          <t>외부감사대상</t>
        </is>
      </c>
      <c r="W24" s="6" t="inlineStr">
        <is>
          <t>2010-05-17</t>
        </is>
      </c>
      <c r="X24" t="inlineStr">
        <is>
          <t>KRI:10C2592300</t>
        </is>
      </c>
      <c r="Y24" t="inlineStr">
        <is>
          <t>도장 및 기타 피막처리업</t>
        </is>
      </c>
      <c r="Z24" t="inlineStr">
        <is>
          <t>산업기계,철구조물,해양장치 도장/제작</t>
        </is>
      </c>
      <c r="AA24" t="inlineStr">
        <is>
          <t>경북 경주시 외동읍 구어리 11-19번지</t>
        </is>
      </c>
      <c r="AB24" t="inlineStr">
        <is>
          <t>경북 경주시 외동읍 외동농공단지길 56</t>
        </is>
      </c>
    </row>
    <row r="25" ht="19.2" customHeight="1" s="1">
      <c r="A25" t="inlineStr">
        <is>
          <t>NICE:G94089</t>
        </is>
      </c>
      <c r="B25" t="inlineStr">
        <is>
          <t>지우개발</t>
        </is>
      </c>
      <c r="C25" s="5" t="n">
        <v>415765934000</v>
      </c>
      <c r="D25" s="5" t="n">
        <v>107262484000</v>
      </c>
      <c r="E25" s="5" t="n">
        <v>308503450000</v>
      </c>
      <c r="F25" s="5" t="n">
        <v>29822647000</v>
      </c>
      <c r="G25" s="5" t="n">
        <v>3134126000</v>
      </c>
      <c r="H25" s="5" t="n">
        <v>793387662000</v>
      </c>
      <c r="I25" s="5" t="n">
        <v>222026508000</v>
      </c>
      <c r="J25" s="4" t="n">
        <v>0.7997000217437744</v>
      </c>
      <c r="K25" s="4" t="n">
        <v>0.3476999998092651</v>
      </c>
      <c r="L25" s="4" t="n">
        <v>0.1050999984145164</v>
      </c>
      <c r="M25" t="inlineStr">
        <is>
          <t>유상우</t>
        </is>
      </c>
      <c r="N25" t="inlineStr">
        <is>
          <t>031-332-0072</t>
        </is>
      </c>
      <c r="O25" t="inlineStr">
        <is>
          <t>031-332-0072</t>
        </is>
      </c>
      <c r="P25" s="3" t="n"/>
      <c r="Q25" t="inlineStr">
        <is>
          <t>1298621300</t>
        </is>
      </c>
      <c r="R25" t="inlineStr">
        <is>
          <t>1311110209774</t>
        </is>
      </c>
      <c r="S25" t="inlineStr">
        <is>
          <t>대상아님</t>
        </is>
      </c>
      <c r="T25" t="inlineStr">
        <is>
          <t>일반법인</t>
        </is>
      </c>
      <c r="U25" t="inlineStr">
        <is>
          <t>중소기업</t>
        </is>
      </c>
      <c r="V25" t="inlineStr">
        <is>
          <t>외부감사대상</t>
        </is>
      </c>
      <c r="W25" s="6" t="inlineStr">
        <is>
          <t>2008-05-07</t>
        </is>
      </c>
      <c r="X25" t="inlineStr">
        <is>
          <t>KRI:10L6812200</t>
        </is>
      </c>
      <c r="Y25" t="inlineStr">
        <is>
          <t>비주거용 건물 개발 및 공급업</t>
        </is>
      </c>
      <c r="Z25" t="inlineStr">
        <is>
          <t>부동산 임대,컨설팅,개발/건물시설관리</t>
        </is>
      </c>
      <c r="AA25" t="inlineStr">
        <is>
          <t>경기 성남시 분당구 구미동 158번지 하나이지타워 309호</t>
        </is>
      </c>
      <c r="AB25" t="inlineStr">
        <is>
          <t>경기 성남시 분당구 성남대로43번길 10, 309호 (구미동,하나이지타워)</t>
        </is>
      </c>
    </row>
    <row r="26" s="1">
      <c r="A26" t="inlineStr">
        <is>
          <t>NICE:125614</t>
        </is>
      </c>
      <c r="B26" t="inlineStr">
        <is>
          <t>한무컨벤션</t>
        </is>
      </c>
      <c r="C26" s="5" t="n">
        <v>370704215000</v>
      </c>
      <c r="D26" s="5" t="n">
        <v>99430205000</v>
      </c>
      <c r="E26" s="5" t="n">
        <v>271274010000</v>
      </c>
      <c r="F26" s="5" t="n">
        <v>130810281000</v>
      </c>
      <c r="G26" s="5" t="n">
        <v>19214789000</v>
      </c>
      <c r="H26" s="5" t="n">
        <v>104673799000</v>
      </c>
      <c r="I26" s="5" t="n">
        <v>18569283000</v>
      </c>
      <c r="J26" s="4" t="n">
        <v>2.412499904632568</v>
      </c>
      <c r="K26" s="4" t="n">
        <v>0.3665000200271606</v>
      </c>
      <c r="L26" s="4" t="n">
        <v>0.1468999981880188</v>
      </c>
      <c r="M26" t="inlineStr">
        <is>
          <t>조윤영</t>
        </is>
      </c>
      <c r="N26" t="inlineStr">
        <is>
          <t>02-3466-7304</t>
        </is>
      </c>
      <c r="O26" t="inlineStr">
        <is>
          <t>02-3466-7910</t>
        </is>
      </c>
      <c r="P26">
        <f>HYPERLINK("http://www.oakwoodpremier.co.kr", "http://www.oakwoodpremier.co.kr")</f>
        <v/>
      </c>
      <c r="Q26" t="inlineStr">
        <is>
          <t>1208109492</t>
        </is>
      </c>
      <c r="R26" t="inlineStr">
        <is>
          <t>1101110808290</t>
        </is>
      </c>
      <c r="S26" t="inlineStr">
        <is>
          <t>대상아님</t>
        </is>
      </c>
      <c r="T26" t="inlineStr">
        <is>
          <t>일반법인</t>
        </is>
      </c>
      <c r="U26" t="inlineStr">
        <is>
          <t>중견기업</t>
        </is>
      </c>
      <c r="V26" t="inlineStr">
        <is>
          <t>외부감사대상</t>
        </is>
      </c>
      <c r="W26" s="6" t="inlineStr">
        <is>
          <t>1991-10-07</t>
        </is>
      </c>
      <c r="X26" t="inlineStr">
        <is>
          <t>KRI:10I5510100</t>
        </is>
      </c>
      <c r="Y26" t="inlineStr">
        <is>
          <t>호텔업</t>
        </is>
      </c>
      <c r="Z26" t="inlineStr">
        <is>
          <t>호텔/통신 판매/한식점/외화 환전/부동산 임대</t>
        </is>
      </c>
      <c r="AA26" t="inlineStr">
        <is>
          <t>서울 강남구 삼성동 159번지</t>
        </is>
      </c>
      <c r="AB26" t="inlineStr">
        <is>
          <t>서울 강남구 봉은사로 524</t>
        </is>
      </c>
    </row>
    <row r="27" s="1">
      <c r="A27" t="inlineStr">
        <is>
          <t>NICE:C79291</t>
        </is>
      </c>
      <c r="B27" t="inlineStr">
        <is>
          <t>마포애경타운</t>
        </is>
      </c>
      <c r="C27" s="5" t="n">
        <v>164200164000</v>
      </c>
      <c r="D27" s="5" t="n">
        <v>143689962000</v>
      </c>
      <c r="E27" s="5" t="n">
        <v>20510202000</v>
      </c>
      <c r="F27" s="5" t="n">
        <v>22931770000</v>
      </c>
      <c r="G27" s="5" t="n">
        <v>6195842000</v>
      </c>
      <c r="H27" s="5" t="n">
        <v>20303748000</v>
      </c>
      <c r="I27" s="5" t="n">
        <v>3303464000</v>
      </c>
      <c r="J27" s="4" t="n">
        <v>0.02710000053048134</v>
      </c>
      <c r="K27" s="4" t="n">
        <v>7.005800247192383</v>
      </c>
      <c r="L27" s="4" t="n">
        <v>0.2701999843120575</v>
      </c>
      <c r="M27" t="inlineStr">
        <is>
          <t>고준</t>
        </is>
      </c>
      <c r="N27" t="inlineStr">
        <is>
          <t>02-789-9801</t>
        </is>
      </c>
      <c r="O27" t="inlineStr">
        <is>
          <t>02-789-9898</t>
        </is>
      </c>
      <c r="Q27" t="inlineStr">
        <is>
          <t>1198612497</t>
        </is>
      </c>
      <c r="R27" t="inlineStr">
        <is>
          <t>1101114007541</t>
        </is>
      </c>
      <c r="S27" t="inlineStr">
        <is>
          <t>대상아님</t>
        </is>
      </c>
      <c r="T27" t="inlineStr">
        <is>
          <t>일반법인</t>
        </is>
      </c>
      <c r="U27" t="inlineStr">
        <is>
          <t>중견기업</t>
        </is>
      </c>
      <c r="V27" t="inlineStr">
        <is>
          <t>외부감사대상</t>
        </is>
      </c>
      <c r="W27" s="6" t="inlineStr">
        <is>
          <t>2008-12-02</t>
        </is>
      </c>
      <c r="X27" t="inlineStr">
        <is>
          <t>KRI:10L6811200</t>
        </is>
      </c>
      <c r="Y27" t="inlineStr">
        <is>
          <t>비주거용 건물 임대업</t>
        </is>
      </c>
      <c r="Z27" t="inlineStr">
        <is>
          <t>부동산 임대,관리</t>
        </is>
      </c>
      <c r="AA27" t="inlineStr">
        <is>
          <t>서울 마포구 동교동 190-1번지 애경타워 4층</t>
        </is>
      </c>
      <c r="AB27" t="inlineStr">
        <is>
          <t>서울 마포구 양화로 188, 4층 (동교동,애경타워)</t>
        </is>
      </c>
    </row>
    <row r="28" ht="19.2" customHeight="1" s="1">
      <c r="A28" t="inlineStr">
        <is>
          <t>NICE:711195</t>
        </is>
      </c>
      <c r="B28" t="inlineStr">
        <is>
          <t>성호해운</t>
        </is>
      </c>
      <c r="C28" s="5" t="n">
        <v>157316876000</v>
      </c>
      <c r="D28" s="5" t="n">
        <v>87852788000</v>
      </c>
      <c r="E28" s="5" t="n">
        <v>69464089000</v>
      </c>
      <c r="F28" s="5" t="n">
        <v>94742350000</v>
      </c>
      <c r="G28" s="5" t="n">
        <v>11327598000</v>
      </c>
      <c r="H28" s="5" t="n">
        <v>108110392000</v>
      </c>
      <c r="I28" s="5" t="n">
        <v>18288070000</v>
      </c>
      <c r="J28" s="4" t="n">
        <v>2.294699907302856</v>
      </c>
      <c r="K28" s="4" t="n">
        <v>1.264699935913086</v>
      </c>
      <c r="L28" s="4" t="n">
        <v>0.1195999979972839</v>
      </c>
      <c r="M28" t="inlineStr">
        <is>
          <t>신홍주</t>
        </is>
      </c>
      <c r="N28" t="inlineStr">
        <is>
          <t>051-463-2686</t>
        </is>
      </c>
      <c r="O28" t="inlineStr">
        <is>
          <t>051-462-2167</t>
        </is>
      </c>
      <c r="P28" s="3">
        <f>HYPERLINK("http://www.seonghoshipping.co.kr", "http://www.seonghoshipping.co.kr")</f>
        <v/>
      </c>
      <c r="Q28" t="inlineStr">
        <is>
          <t>6018101096</t>
        </is>
      </c>
      <c r="R28" t="inlineStr">
        <is>
          <t>1801110005595</t>
        </is>
      </c>
      <c r="S28" t="inlineStr">
        <is>
          <t>대상아님</t>
        </is>
      </c>
      <c r="T28" t="inlineStr">
        <is>
          <t>일반법인</t>
        </is>
      </c>
      <c r="U28" t="inlineStr">
        <is>
          <t>중소기업</t>
        </is>
      </c>
      <c r="V28" t="inlineStr">
        <is>
          <t>외부감사대상</t>
        </is>
      </c>
      <c r="W28" s="6" t="inlineStr">
        <is>
          <t>1965-11-29</t>
        </is>
      </c>
      <c r="X28" t="inlineStr">
        <is>
          <t>KRI:10H5011200</t>
        </is>
      </c>
      <c r="Y28" t="inlineStr">
        <is>
          <t>외항 화물 운송업</t>
        </is>
      </c>
      <c r="Z28" t="inlineStr">
        <is>
          <t>유조선 운송,선박 운항</t>
        </is>
      </c>
      <c r="AA28" t="inlineStr">
        <is>
          <t>부산 중구 중앙동4가 79-9번지 관정빌딩 12층</t>
        </is>
      </c>
      <c r="AB28" t="inlineStr">
        <is>
          <t>부산 중구 충장대로9번길 46, 12층 (중앙동4가,관정빌딩)</t>
        </is>
      </c>
    </row>
    <row r="29" ht="19.2" customHeight="1" s="1">
      <c r="A29" t="inlineStr">
        <is>
          <t>NICE:JO3034</t>
        </is>
      </c>
      <c r="B29" t="inlineStr">
        <is>
          <t>히타치에너지코리아</t>
        </is>
      </c>
      <c r="C29" s="5" t="n">
        <v>154605023000</v>
      </c>
      <c r="D29" s="5" t="n">
        <v>57018849000</v>
      </c>
      <c r="E29" s="5" t="n">
        <v>97586174000</v>
      </c>
      <c r="F29" s="5" t="n">
        <v>197604897000</v>
      </c>
      <c r="G29" s="5" t="n">
        <v>36702632000</v>
      </c>
      <c r="H29" s="5" t="n">
        <v>152577533000</v>
      </c>
      <c r="I29" s="5" t="n">
        <v>16639130000</v>
      </c>
      <c r="J29" s="4" t="n">
        <v>2.549499988555908</v>
      </c>
      <c r="K29" s="4" t="n">
        <v>0.5842999815940857</v>
      </c>
      <c r="L29" s="4" t="n">
        <v>0.185699999332428</v>
      </c>
      <c r="M29" t="inlineStr">
        <is>
          <t>최석환</t>
        </is>
      </c>
      <c r="N29" t="inlineStr">
        <is>
          <t>02-6000-7202</t>
        </is>
      </c>
      <c r="O29" t="inlineStr">
        <is>
          <t>02-6000-7204-5</t>
        </is>
      </c>
      <c r="P29" s="3">
        <f>HYPERLINK("http://www.hitachienergy.com", "http://www.hitachienergy.com")</f>
        <v/>
      </c>
      <c r="Q29" t="inlineStr">
        <is>
          <t>4248801275</t>
        </is>
      </c>
      <c r="R29" t="inlineStr">
        <is>
          <t>1101117088564</t>
        </is>
      </c>
      <c r="S29" t="inlineStr">
        <is>
          <t>대상아님</t>
        </is>
      </c>
      <c r="T29" t="inlineStr">
        <is>
          <t>일반법인</t>
        </is>
      </c>
      <c r="U29" t="inlineStr">
        <is>
          <t>중소기업</t>
        </is>
      </c>
      <c r="V29" t="inlineStr">
        <is>
          <t>외부감사대상</t>
        </is>
      </c>
      <c r="W29" s="6" t="inlineStr">
        <is>
          <t>2019-04-24</t>
        </is>
      </c>
      <c r="X29" t="inlineStr">
        <is>
          <t>KRI:10C2811200</t>
        </is>
      </c>
      <c r="Y29" t="inlineStr">
        <is>
          <t>변압기 제조업</t>
        </is>
      </c>
      <c r="Z29" t="inlineStr">
        <is>
          <t>변압기 제조/마케팅</t>
        </is>
      </c>
      <c r="AA29" t="inlineStr">
        <is>
          <t>서울 강남구 삼성동 159-1번지 41층</t>
        </is>
      </c>
      <c r="AB29" t="inlineStr">
        <is>
          <t>서울 강남구 영동대로 511, 41층</t>
        </is>
      </c>
    </row>
    <row r="30" ht="19.2" customHeight="1" s="1">
      <c r="A30" t="inlineStr">
        <is>
          <t>NICE:161828</t>
        </is>
      </c>
      <c r="B30" t="inlineStr">
        <is>
          <t>태영산업</t>
        </is>
      </c>
      <c r="C30" s="5" t="n">
        <v>134783063000</v>
      </c>
      <c r="D30" s="5" t="n">
        <v>50363329000</v>
      </c>
      <c r="E30" s="5" t="n">
        <v>84419735000</v>
      </c>
      <c r="F30" s="5" t="n">
        <v>170320489000</v>
      </c>
      <c r="G30" s="5" t="n">
        <v>21440184000</v>
      </c>
      <c r="H30" s="5" t="n">
        <v>138173902000</v>
      </c>
      <c r="I30" s="5" t="n">
        <v>12307151000</v>
      </c>
      <c r="J30" s="4" t="n">
        <v>1.754199981689453</v>
      </c>
      <c r="K30" s="4" t="n">
        <v>0.5965999960899353</v>
      </c>
      <c r="L30" s="4" t="n">
        <v>0.125900000333786</v>
      </c>
      <c r="M30" t="inlineStr">
        <is>
          <t>윤종국</t>
        </is>
      </c>
      <c r="N30" t="inlineStr">
        <is>
          <t>055-352-8888</t>
        </is>
      </c>
      <c r="O30" t="inlineStr">
        <is>
          <t>055-356-9214</t>
        </is>
      </c>
      <c r="P30" s="3" t="n"/>
      <c r="Q30" t="inlineStr">
        <is>
          <t>6158104530</t>
        </is>
      </c>
      <c r="R30" t="inlineStr">
        <is>
          <t>1913110002726</t>
        </is>
      </c>
      <c r="S30" t="inlineStr">
        <is>
          <t>대상아님</t>
        </is>
      </c>
      <c r="T30" t="inlineStr">
        <is>
          <t>일반법인</t>
        </is>
      </c>
      <c r="U30" t="inlineStr">
        <is>
          <t>중견기업</t>
        </is>
      </c>
      <c r="V30" t="inlineStr">
        <is>
          <t>외부감사대상</t>
        </is>
      </c>
      <c r="W30" s="6" t="inlineStr">
        <is>
          <t>1994-08-18</t>
        </is>
      </c>
      <c r="X30" t="inlineStr">
        <is>
          <t>KRI:10C3399200</t>
        </is>
      </c>
      <c r="Y30" t="inlineStr">
        <is>
          <t>라이터, 연소물 및 흡연용품 제조업</t>
        </is>
      </c>
      <c r="Z30" t="inlineStr">
        <is>
          <t>담배필터 제조/태양력 발전</t>
        </is>
      </c>
      <c r="AA30" t="inlineStr">
        <is>
          <t>경남 밀양시 삼랑진읍 용전리 353번지</t>
        </is>
      </c>
      <c r="AB30" t="inlineStr">
        <is>
          <t>경남 밀양시 삼랑진읍 미율로 329-21</t>
        </is>
      </c>
    </row>
    <row r="31" s="1">
      <c r="A31" t="inlineStr">
        <is>
          <t>NICE:485681</t>
        </is>
      </c>
      <c r="B31" t="inlineStr">
        <is>
          <t>포스맥</t>
        </is>
      </c>
      <c r="C31" s="5" t="n">
        <v>91855176000</v>
      </c>
      <c r="D31" s="5" t="n">
        <v>59829663000</v>
      </c>
      <c r="E31" s="5" t="n">
        <v>32025513000</v>
      </c>
      <c r="F31" s="5" t="n">
        <v>32041989000</v>
      </c>
      <c r="G31" s="5" t="n">
        <v>3653146000</v>
      </c>
      <c r="H31" s="5" t="n">
        <v>52721359000</v>
      </c>
      <c r="I31" s="5" t="n">
        <v>6142455000</v>
      </c>
      <c r="J31" s="4" t="n">
        <v>0.8016999363899231</v>
      </c>
      <c r="K31" s="4" t="n">
        <v>1.868200063705444</v>
      </c>
      <c r="L31" s="4" t="n">
        <v>0.113999992609024</v>
      </c>
      <c r="M31" t="inlineStr">
        <is>
          <t>류존하</t>
        </is>
      </c>
      <c r="N31" t="inlineStr">
        <is>
          <t>055-273-1113</t>
        </is>
      </c>
      <c r="O31" t="inlineStr">
        <is>
          <t>055-255-6732</t>
        </is>
      </c>
      <c r="P31">
        <f>HYPERLINK("http://www.tg21.net", "http://www.tg21.net")</f>
        <v/>
      </c>
      <c r="Q31" t="inlineStr">
        <is>
          <t>6088158004</t>
        </is>
      </c>
      <c r="R31" t="inlineStr">
        <is>
          <t>1943110014869</t>
        </is>
      </c>
      <c r="S31" t="inlineStr">
        <is>
          <t>대상아님</t>
        </is>
      </c>
      <c r="T31" t="inlineStr">
        <is>
          <t>일반법인</t>
        </is>
      </c>
      <c r="U31" t="inlineStr">
        <is>
          <t>중소기업</t>
        </is>
      </c>
      <c r="V31" t="inlineStr">
        <is>
          <t>외부감사대상</t>
        </is>
      </c>
      <c r="W31" s="6" t="inlineStr">
        <is>
          <t>2004-12-23</t>
        </is>
      </c>
      <c r="X31" t="inlineStr">
        <is>
          <t>KRI:10C2520000</t>
        </is>
      </c>
      <c r="Y31" t="inlineStr">
        <is>
          <t>무기 및 총포탄 제조업</t>
        </is>
      </c>
      <c r="Z31" t="inlineStr">
        <is>
          <t>방위산업용부품,금속가공제품,내연기관,기관,터빈,무기,총포탄,전투용차량,선박구성부품 제조</t>
        </is>
      </c>
      <c r="AA31" t="inlineStr">
        <is>
          <t>경남 창원시 성산구 대원동 92번지</t>
        </is>
      </c>
      <c r="AB31" t="inlineStr">
        <is>
          <t>경남 창원시 성산구 남면로 227</t>
        </is>
      </c>
    </row>
    <row r="32" ht="19.2" customHeight="1" s="1">
      <c r="A32" t="inlineStr">
        <is>
          <t>NICE:286575</t>
        </is>
      </c>
      <c r="B32" t="inlineStr">
        <is>
          <t>한국복합물류</t>
        </is>
      </c>
      <c r="C32" s="5" t="n">
        <v>484450643000</v>
      </c>
      <c r="D32" s="5" t="n">
        <v>83637025000</v>
      </c>
      <c r="E32" s="5" t="n">
        <v>400813618000</v>
      </c>
      <c r="F32" s="5" t="n">
        <v>149594224000</v>
      </c>
      <c r="G32" s="5" t="n">
        <v>61765749000</v>
      </c>
      <c r="H32" s="5" t="n">
        <v>164320364000</v>
      </c>
      <c r="I32" s="5" t="n">
        <v>62228543000</v>
      </c>
      <c r="J32" s="4" t="n">
        <v>1.416399955749512</v>
      </c>
      <c r="K32" s="4" t="n">
        <v>0.2087000012397766</v>
      </c>
      <c r="L32" s="4" t="n">
        <v>0.4129000008106232</v>
      </c>
      <c r="M32" t="inlineStr">
        <is>
          <t>이민기</t>
        </is>
      </c>
      <c r="N32" t="inlineStr">
        <is>
          <t>031-460-2020</t>
        </is>
      </c>
      <c r="O32" t="inlineStr">
        <is>
          <t>031-460-2031</t>
        </is>
      </c>
      <c r="P32" s="3">
        <f>HYPERLINK("http://www.kift.co.kr", "http://www.kift.co.kr")</f>
        <v/>
      </c>
      <c r="Q32" t="inlineStr">
        <is>
          <t>1238140376</t>
        </is>
      </c>
      <c r="R32" t="inlineStr">
        <is>
          <t>1101110853576</t>
        </is>
      </c>
      <c r="S32" t="inlineStr">
        <is>
          <t>대상아님</t>
        </is>
      </c>
      <c r="T32" t="inlineStr">
        <is>
          <t>일반법인</t>
        </is>
      </c>
      <c r="U32" t="inlineStr">
        <is>
          <t>대기업</t>
        </is>
      </c>
      <c r="V32" t="inlineStr">
        <is>
          <t>외부감사대상</t>
        </is>
      </c>
      <c r="W32" s="6" t="inlineStr">
        <is>
          <t>1992-04-24</t>
        </is>
      </c>
      <c r="X32" t="inlineStr">
        <is>
          <t>KRI:10H5291300</t>
        </is>
      </c>
      <c r="Y32" t="inlineStr">
        <is>
          <t>물류 터미널 운영업</t>
        </is>
      </c>
      <c r="Z32" t="inlineStr">
        <is>
          <t>화물자동차터미널 운영</t>
        </is>
      </c>
      <c r="AA32" t="inlineStr">
        <is>
          <t>경기 군포시 부곡동 1231번지</t>
        </is>
      </c>
      <c r="AB32" t="inlineStr">
        <is>
          <t>경기 군포시 번영로 82</t>
        </is>
      </c>
    </row>
    <row r="33" s="1">
      <c r="A33" t="inlineStr">
        <is>
          <t>NICE:891428</t>
        </is>
      </c>
      <c r="B33" t="inlineStr">
        <is>
          <t>기산전자</t>
        </is>
      </c>
      <c r="C33" s="5" t="n">
        <v>187975889000</v>
      </c>
      <c r="D33" s="5" t="n">
        <v>110100464000</v>
      </c>
      <c r="E33" s="5" t="n">
        <v>77875426000</v>
      </c>
      <c r="F33" s="5" t="n">
        <v>79352153000</v>
      </c>
      <c r="G33" s="5" t="n">
        <v>15470495000</v>
      </c>
      <c r="H33" s="5" t="n">
        <v>75221187000</v>
      </c>
      <c r="I33" s="5" t="n">
        <v>9821625000</v>
      </c>
      <c r="J33" s="4" t="n">
        <v>0.7956999540328979</v>
      </c>
      <c r="K33" s="4" t="n">
        <v>1.413800001144409</v>
      </c>
      <c r="L33" s="4" t="n">
        <v>0.1949999928474426</v>
      </c>
      <c r="M33" t="inlineStr">
        <is>
          <t>장상환</t>
        </is>
      </c>
      <c r="N33" t="inlineStr">
        <is>
          <t>02-2204-7890</t>
        </is>
      </c>
      <c r="O33" t="inlineStr">
        <is>
          <t>02-2204-7899</t>
        </is>
      </c>
      <c r="P33">
        <f>HYPERLINK("http://www.kisane.com", "http://www.kisane.com")</f>
        <v/>
      </c>
      <c r="Q33" t="inlineStr">
        <is>
          <t>6068155578</t>
        </is>
      </c>
      <c r="R33" t="inlineStr">
        <is>
          <t>1801110169341</t>
        </is>
      </c>
      <c r="S33" t="inlineStr">
        <is>
          <t>대상아님</t>
        </is>
      </c>
      <c r="T33" t="inlineStr">
        <is>
          <t>일반법인</t>
        </is>
      </c>
      <c r="U33" t="inlineStr">
        <is>
          <t>중소기업</t>
        </is>
      </c>
      <c r="V33" t="inlineStr">
        <is>
          <t>외부감사대상</t>
        </is>
      </c>
      <c r="W33" s="6" t="inlineStr">
        <is>
          <t>1988-03-02</t>
        </is>
      </c>
      <c r="X33" t="inlineStr">
        <is>
          <t>KRI:10C2918000</t>
        </is>
      </c>
      <c r="Y33" t="inlineStr">
        <is>
          <t>사무용 기계 및 장비 제조업</t>
        </is>
      </c>
      <c r="Z33" t="inlineStr">
        <is>
          <t>금융사무기기,전자기계,통신기기 제조/부동산 임대,투자,자문/컴퓨터프로그래밍,컴퓨터시스템 통합자문,구축/소프트웨어,정보기술,컴퓨터 운영 서비스</t>
        </is>
      </c>
      <c r="AA33" t="inlineStr">
        <is>
          <t>서울 성동구 성수동2가 273-1번지</t>
        </is>
      </c>
      <c r="AB33" t="inlineStr">
        <is>
          <t>서울 성동구 성수이로20길 35</t>
        </is>
      </c>
    </row>
    <row r="34" ht="19.2" customHeight="1" s="1">
      <c r="A34" t="inlineStr">
        <is>
          <t>NICE:H74944</t>
        </is>
      </c>
      <c r="B34" t="inlineStr">
        <is>
          <t>케이씨씨홀딩스</t>
        </is>
      </c>
      <c r="C34" s="5" t="n">
        <v>110982378000</v>
      </c>
      <c r="D34" s="5" t="n">
        <v>53695999000</v>
      </c>
      <c r="E34" s="5" t="n">
        <v>57286379000</v>
      </c>
      <c r="F34" s="5" t="n">
        <v>21008971000</v>
      </c>
      <c r="G34" s="5" t="n">
        <v>4871203000</v>
      </c>
      <c r="H34" s="5" t="n">
        <v>19976667000</v>
      </c>
      <c r="I34" s="5" t="n">
        <v>5353172000</v>
      </c>
      <c r="J34" s="4" t="n">
        <v>0.1235999912023544</v>
      </c>
      <c r="K34" s="4" t="n">
        <v>0.9373000264167786</v>
      </c>
      <c r="L34" s="4" t="n">
        <v>0.2319000065326691</v>
      </c>
      <c r="M34" t="inlineStr">
        <is>
          <t>김용배/이상현</t>
        </is>
      </c>
      <c r="N34" t="inlineStr">
        <is>
          <t>02-6090-7860</t>
        </is>
      </c>
      <c r="O34" t="inlineStr">
        <is>
          <t>02-6090-7850</t>
        </is>
      </c>
      <c r="P34" s="3">
        <f>HYPERLINK("http://www.kcc.co.kr", "http://www.kcc.co.kr")</f>
        <v/>
      </c>
      <c r="Q34" t="inlineStr">
        <is>
          <t>1068680664</t>
        </is>
      </c>
      <c r="R34" t="inlineStr">
        <is>
          <t>1101114660985</t>
        </is>
      </c>
      <c r="S34" t="inlineStr">
        <is>
          <t>대상아님</t>
        </is>
      </c>
      <c r="T34" t="inlineStr">
        <is>
          <t>일반법인</t>
        </is>
      </c>
      <c r="U34" t="inlineStr">
        <is>
          <t>중소기업</t>
        </is>
      </c>
      <c r="V34" t="inlineStr">
        <is>
          <t>외부감사대상</t>
        </is>
      </c>
      <c r="W34" s="6" t="inlineStr">
        <is>
          <t>2011-08-02</t>
        </is>
      </c>
      <c r="X34" t="inlineStr">
        <is>
          <t>KRI:10K6499200</t>
        </is>
      </c>
      <c r="Y34" t="inlineStr">
        <is>
          <t>지주회사</t>
        </is>
      </c>
      <c r="Z34" t="inlineStr">
        <is>
          <t>비금융지주회사/부동산 임대</t>
        </is>
      </c>
      <c r="AA34" t="inlineStr">
        <is>
          <t>서울 강서구 염창동 260-4번지 케이씨씨오토타워</t>
        </is>
      </c>
      <c r="AB34" t="inlineStr">
        <is>
          <t>서울 강서구 공항대로 665 (염창동,케이씨씨오토타워)</t>
        </is>
      </c>
    </row>
    <row r="35" ht="19.2" customHeight="1" s="1">
      <c r="A35" t="inlineStr">
        <is>
          <t>NICE:G44708</t>
        </is>
      </c>
      <c r="B35" t="inlineStr">
        <is>
          <t>디케이텍인더스트리</t>
        </is>
      </c>
      <c r="C35" s="5" t="n">
        <v>40500277000</v>
      </c>
      <c r="D35" s="5" t="n">
        <v>17057553000</v>
      </c>
      <c r="E35" s="5" t="n">
        <v>23442724000</v>
      </c>
      <c r="F35" s="5" t="n">
        <v>43831325000</v>
      </c>
      <c r="G35" s="5" t="n">
        <v>5826647000</v>
      </c>
      <c r="H35" s="5" t="n">
        <v>35257549000</v>
      </c>
      <c r="I35" s="5" t="n">
        <v>4375340000</v>
      </c>
      <c r="J35" s="4" t="n">
        <v>1.824299931526184</v>
      </c>
      <c r="K35" s="4" t="n">
        <v>0.7275999784469604</v>
      </c>
      <c r="L35" s="4" t="n">
        <v>0.1328999996185303</v>
      </c>
      <c r="M35" t="inlineStr">
        <is>
          <t>김춘식</t>
        </is>
      </c>
      <c r="N35" t="inlineStr">
        <is>
          <t>031-294-8881</t>
        </is>
      </c>
      <c r="O35" t="inlineStr">
        <is>
          <t>031-294-9882</t>
        </is>
      </c>
      <c r="P35" s="3" t="n"/>
      <c r="Q35" t="inlineStr">
        <is>
          <t>1218602221</t>
        </is>
      </c>
      <c r="R35" t="inlineStr">
        <is>
          <t>1201110527012</t>
        </is>
      </c>
      <c r="S35" t="inlineStr">
        <is>
          <t>대상아님</t>
        </is>
      </c>
      <c r="T35" t="inlineStr">
        <is>
          <t>일반법인</t>
        </is>
      </c>
      <c r="U35" t="inlineStr">
        <is>
          <t>중소기업</t>
        </is>
      </c>
      <c r="V35" t="inlineStr">
        <is>
          <t>외부감사대상</t>
        </is>
      </c>
      <c r="W35" s="6" t="inlineStr">
        <is>
          <t>2010-03-25</t>
        </is>
      </c>
      <c r="X35" t="inlineStr">
        <is>
          <t>KRI:10C2929900</t>
        </is>
      </c>
      <c r="Y35" t="inlineStr">
        <is>
          <t>그 외 기타 특수목적용 기계 제조업</t>
        </is>
      </c>
      <c r="Z35" t="inlineStr">
        <is>
          <t>자동화설비,기계부분품 제조/무역/비주거용건물 임대/기계 설비보수</t>
        </is>
      </c>
      <c r="AA35" t="inlineStr">
        <is>
          <t>경기 수원시 권선구 고색동 1086번지</t>
        </is>
      </c>
      <c r="AB35" t="inlineStr">
        <is>
          <t>경기 수원시 권선구 산업로 174-30</t>
        </is>
      </c>
    </row>
    <row r="36" ht="19.2" customHeight="1" s="1">
      <c r="A36" t="inlineStr">
        <is>
          <t>NICE:B96162</t>
        </is>
      </c>
      <c r="B36" t="inlineStr">
        <is>
          <t>한국공학대학교산학협력단</t>
        </is>
      </c>
      <c r="C36" s="5" t="n">
        <v>31310135000</v>
      </c>
      <c r="D36" s="5" t="n">
        <v>5006280000</v>
      </c>
      <c r="E36" s="5" t="n">
        <v>26303855000</v>
      </c>
      <c r="F36" s="5" t="n">
        <v>53057745000</v>
      </c>
      <c r="G36" s="5" t="n">
        <v>10198779000</v>
      </c>
      <c r="H36" s="5" t="n">
        <v>48975092000</v>
      </c>
      <c r="I36" s="5" t="n">
        <v>2066003000</v>
      </c>
      <c r="J36" s="4" t="n">
        <v>3.264599800109863</v>
      </c>
      <c r="K36" s="4" t="n">
        <v>0.1903000026941299</v>
      </c>
      <c r="L36" s="4" t="n">
        <v>0.1921999901533127</v>
      </c>
      <c r="M36" t="inlineStr">
        <is>
          <t>김응태</t>
        </is>
      </c>
      <c r="N36" t="inlineStr">
        <is>
          <t>031-8041-0864</t>
        </is>
      </c>
      <c r="P36" s="3" t="n"/>
      <c r="Q36" t="inlineStr">
        <is>
          <t>1408200056</t>
        </is>
      </c>
      <c r="R36" t="inlineStr">
        <is>
          <t>1355310011282</t>
        </is>
      </c>
      <c r="S36" t="inlineStr">
        <is>
          <t>대상아님</t>
        </is>
      </c>
      <c r="T36" t="inlineStr">
        <is>
          <t>비영리법인</t>
        </is>
      </c>
      <c r="U36" t="inlineStr">
        <is>
          <t>대상아님</t>
        </is>
      </c>
      <c r="V36" t="inlineStr">
        <is>
          <t>외부감사비대상</t>
        </is>
      </c>
      <c r="W36" s="6" t="inlineStr">
        <is>
          <t>2005-03-04</t>
        </is>
      </c>
      <c r="X36" t="inlineStr">
        <is>
          <t>KRI:10M7160000</t>
        </is>
      </c>
      <c r="Y36" t="inlineStr">
        <is>
          <t>기타 전문 서비스업</t>
        </is>
      </c>
      <c r="Z36" t="inlineStr">
        <is>
          <t>산학협력단</t>
        </is>
      </c>
      <c r="AA36" t="inlineStr">
        <is>
          <t>경기 시흥시 정왕동 2121-1번지 한국산업기술대학교</t>
        </is>
      </c>
      <c r="AB36" t="inlineStr">
        <is>
          <t>경기 시흥시 산기대학로 237 (정왕동,한국산업기술대학교)</t>
        </is>
      </c>
    </row>
    <row r="37" ht="19.2" customHeight="1" s="1">
      <c r="A37" t="inlineStr">
        <is>
          <t>NICE:474184</t>
        </is>
      </c>
      <c r="B37" t="inlineStr">
        <is>
          <t>두리화장품</t>
        </is>
      </c>
      <c r="C37" s="5" t="n">
        <v>27997029000</v>
      </c>
      <c r="D37" s="5" t="n">
        <v>16464068000</v>
      </c>
      <c r="E37" s="5" t="n">
        <v>11532961000</v>
      </c>
      <c r="F37" s="5" t="n">
        <v>26975629000</v>
      </c>
      <c r="G37" s="5" t="n">
        <v>3808053000</v>
      </c>
      <c r="H37" s="5" t="n">
        <v>26876385000</v>
      </c>
      <c r="I37" s="5" t="n">
        <v>3110186000</v>
      </c>
      <c r="J37" s="4" t="n">
        <v>2.422399997711182</v>
      </c>
      <c r="K37" s="4" t="n">
        <v>1.427599906921387</v>
      </c>
      <c r="L37" s="4" t="n">
        <v>0.141199991106987</v>
      </c>
      <c r="M37" t="inlineStr">
        <is>
          <t>이병수</t>
        </is>
      </c>
      <c r="N37" t="inlineStr">
        <is>
          <t>02-3019-4790</t>
        </is>
      </c>
      <c r="O37" t="inlineStr">
        <is>
          <t>041-754-7554</t>
        </is>
      </c>
      <c r="P37" s="3">
        <f>HYPERLINK("http://www.dooricare.com", "http://www.dooricare.com")</f>
        <v/>
      </c>
      <c r="Q37" t="inlineStr">
        <is>
          <t>3058166639</t>
        </is>
      </c>
      <c r="R37" t="inlineStr">
        <is>
          <t>1642110010790</t>
        </is>
      </c>
      <c r="S37" t="inlineStr">
        <is>
          <t>대상아님</t>
        </is>
      </c>
      <c r="T37" t="inlineStr">
        <is>
          <t>일반법인</t>
        </is>
      </c>
      <c r="U37" t="inlineStr">
        <is>
          <t>중소기업</t>
        </is>
      </c>
      <c r="V37" t="inlineStr">
        <is>
          <t>외부감사대상</t>
        </is>
      </c>
      <c r="W37" s="6" t="inlineStr">
        <is>
          <t>1998-05-01</t>
        </is>
      </c>
      <c r="X37" t="inlineStr">
        <is>
          <t>KRI:10C2042300</t>
        </is>
      </c>
      <c r="Y37" t="inlineStr">
        <is>
          <t>화장품 제조업</t>
        </is>
      </c>
      <c r="Z37" t="inlineStr">
        <is>
          <t>화장품,의약외품 제조,도소매/미용기기,잡화 도소매,상품 중개,수출입</t>
        </is>
      </c>
      <c r="AA37" t="inlineStr">
        <is>
          <t>충남 금산군 추부면 마전리 843-27번지</t>
        </is>
      </c>
      <c r="AB37" t="inlineStr">
        <is>
          <t>충남 금산군 추부면 다복로 588</t>
        </is>
      </c>
    </row>
    <row r="38" ht="19.2" customHeight="1" s="1">
      <c r="A38" t="inlineStr">
        <is>
          <t>NICE:HI5797</t>
        </is>
      </c>
      <c r="B38" t="inlineStr">
        <is>
          <t>엠엘코리아</t>
        </is>
      </c>
      <c r="C38" s="5" t="n">
        <v>28508813000</v>
      </c>
      <c r="D38" s="5" t="n">
        <v>21750091000</v>
      </c>
      <c r="E38" s="5" t="n">
        <v>6758722000</v>
      </c>
      <c r="F38" s="5" t="n">
        <v>61157299000</v>
      </c>
      <c r="G38" s="5" t="n">
        <v>6943622000</v>
      </c>
      <c r="H38" s="5" t="n">
        <v>52383055000</v>
      </c>
      <c r="I38" s="5" t="n">
        <v>3034723000</v>
      </c>
      <c r="J38" s="4" t="n">
        <v>0.9220999479293823</v>
      </c>
      <c r="K38" s="4" t="n">
        <v>3.21809983253479</v>
      </c>
      <c r="L38" s="4" t="n">
        <v>0.1134999990463257</v>
      </c>
      <c r="M38" t="inlineStr">
        <is>
          <t>정유일</t>
        </is>
      </c>
      <c r="N38" t="inlineStr">
        <is>
          <t>061-463-9335</t>
        </is>
      </c>
      <c r="O38" t="inlineStr">
        <is>
          <t>061-463-9334</t>
        </is>
      </c>
      <c r="P38" s="3" t="n"/>
      <c r="Q38" t="inlineStr">
        <is>
          <t>2498800199</t>
        </is>
      </c>
      <c r="R38" t="inlineStr">
        <is>
          <t>2011110045024</t>
        </is>
      </c>
      <c r="S38" t="inlineStr">
        <is>
          <t>대상아님</t>
        </is>
      </c>
      <c r="T38" t="inlineStr">
        <is>
          <t>일반법인</t>
        </is>
      </c>
      <c r="U38" t="inlineStr">
        <is>
          <t>중소기업</t>
        </is>
      </c>
      <c r="V38" t="inlineStr">
        <is>
          <t>외부감사대상</t>
        </is>
      </c>
      <c r="W38" s="6" t="inlineStr">
        <is>
          <t>2015-09-02</t>
        </is>
      </c>
      <c r="X38" t="inlineStr">
        <is>
          <t>KRI:10C3111400</t>
        </is>
      </c>
      <c r="Y38" t="inlineStr">
        <is>
          <t>선박 구성 부분품 제조업</t>
        </is>
      </c>
      <c r="Z38" t="inlineStr">
        <is>
          <t>선박 건조,수리,육해상프랜트 제조</t>
        </is>
      </c>
      <c r="AA38" t="inlineStr">
        <is>
          <t>전남 영암군 삼호읍 난전리 1714-1번지</t>
        </is>
      </c>
      <c r="AB38" t="inlineStr">
        <is>
          <t>전남 영암군 삼호읍 대불산단6로 69</t>
        </is>
      </c>
    </row>
    <row r="39" ht="19.2" customHeight="1" s="1">
      <c r="A39" t="inlineStr">
        <is>
          <t>NICE:173285</t>
        </is>
      </c>
      <c r="B39" t="inlineStr">
        <is>
          <t>이투스교육</t>
        </is>
      </c>
      <c r="C39" s="5" t="n">
        <v>107168597000</v>
      </c>
      <c r="D39" s="5" t="n">
        <v>53086750000</v>
      </c>
      <c r="E39" s="5" t="n">
        <v>54081847000</v>
      </c>
      <c r="F39" s="5" t="n">
        <v>30267174000</v>
      </c>
      <c r="G39" s="5" t="n">
        <v>10943119000</v>
      </c>
      <c r="H39" s="5" t="n">
        <v>30506180000</v>
      </c>
      <c r="I39" s="5" t="n">
        <v>13000470000</v>
      </c>
      <c r="J39" s="4" t="n">
        <v>1.577799916267395</v>
      </c>
      <c r="K39" s="4" t="n">
        <v>0.9815999865531921</v>
      </c>
      <c r="L39" s="4" t="n">
        <v>0.3615999817848206</v>
      </c>
      <c r="M39" t="inlineStr">
        <is>
          <t>우희철</t>
        </is>
      </c>
      <c r="N39" t="inlineStr">
        <is>
          <t>070-7464-9385</t>
        </is>
      </c>
      <c r="O39" t="inlineStr">
        <is>
          <t>02-552-6958</t>
        </is>
      </c>
      <c r="P39" s="3">
        <f>HYPERLINK("http://www.etoos.com", "http://www.etoos.com")</f>
        <v/>
      </c>
      <c r="Q39" t="inlineStr">
        <is>
          <t>2208151631</t>
        </is>
      </c>
      <c r="R39" t="inlineStr">
        <is>
          <t>1101111533052</t>
        </is>
      </c>
      <c r="S39" t="inlineStr">
        <is>
          <t>대상아님</t>
        </is>
      </c>
      <c r="T39" t="inlineStr">
        <is>
          <t>일반법인</t>
        </is>
      </c>
      <c r="U39" t="inlineStr">
        <is>
          <t>중견기업</t>
        </is>
      </c>
      <c r="V39" t="inlineStr">
        <is>
          <t>외부감사대상</t>
        </is>
      </c>
      <c r="W39" s="6" t="inlineStr">
        <is>
          <t>1998-04-08</t>
        </is>
      </c>
      <c r="X39" t="inlineStr">
        <is>
          <t>KRI:10M7153100</t>
        </is>
      </c>
      <c r="Y39" t="inlineStr">
        <is>
          <t>경영 컨설팅업</t>
        </is>
      </c>
      <c r="Z39" t="inlineStr">
        <is>
          <t>경영 컨설팅</t>
        </is>
      </c>
      <c r="AA39" t="inlineStr">
        <is>
          <t>서울 구로구 구로동 1128-4번지 5층</t>
        </is>
      </c>
      <c r="AB39" t="inlineStr">
        <is>
          <t>서울 구로구 디지털로32가길 18, 5층</t>
        </is>
      </c>
    </row>
    <row r="40" ht="19.2" customHeight="1" s="1">
      <c r="A40" t="inlineStr">
        <is>
          <t>NICE:666009</t>
        </is>
      </c>
      <c r="B40" t="inlineStr">
        <is>
          <t>삼전순약공업</t>
        </is>
      </c>
      <c r="C40" s="5" t="n">
        <v>104042751000</v>
      </c>
      <c r="D40" s="5" t="n">
        <v>8615148000</v>
      </c>
      <c r="E40" s="5" t="n">
        <v>95427603000</v>
      </c>
      <c r="F40" s="5" t="n">
        <v>108279853000</v>
      </c>
      <c r="G40" s="5" t="n">
        <v>11734745000</v>
      </c>
      <c r="H40" s="5" t="n">
        <v>102802602000</v>
      </c>
      <c r="I40" s="5" t="n">
        <v>11724420000</v>
      </c>
      <c r="J40" s="4" t="n">
        <v>8.817800521850586</v>
      </c>
      <c r="K40" s="4" t="n">
        <v>0.09029999375343323</v>
      </c>
      <c r="L40" s="4" t="n">
        <v>0.1084000021219254</v>
      </c>
      <c r="M40" t="inlineStr">
        <is>
          <t>전성혁/박두곤</t>
        </is>
      </c>
      <c r="N40" t="inlineStr">
        <is>
          <t>070-8656-3741</t>
        </is>
      </c>
      <c r="O40" t="inlineStr">
        <is>
          <t>02-547-5258</t>
        </is>
      </c>
      <c r="P40" s="3">
        <f>HYPERLINK("http://www.samchun.com", "http://www.samchun.com")</f>
        <v/>
      </c>
      <c r="Q40" t="inlineStr">
        <is>
          <t>1258115515</t>
        </is>
      </c>
      <c r="R40" t="inlineStr">
        <is>
          <t>1243110020571</t>
        </is>
      </c>
      <c r="S40" t="inlineStr">
        <is>
          <t>대상아님</t>
        </is>
      </c>
      <c r="T40" t="inlineStr">
        <is>
          <t>일반법인</t>
        </is>
      </c>
      <c r="U40" t="inlineStr">
        <is>
          <t>중소기업</t>
        </is>
      </c>
      <c r="V40" t="inlineStr">
        <is>
          <t>외부감사대상</t>
        </is>
      </c>
      <c r="W40" s="6" t="inlineStr">
        <is>
          <t>1987-12-09</t>
        </is>
      </c>
      <c r="X40" t="inlineStr">
        <is>
          <t>KRI:10C2049900</t>
        </is>
      </c>
      <c r="Y40" t="inlineStr">
        <is>
          <t>그 외 기타 분류 안된 화학제품 제조업</t>
        </is>
      </c>
      <c r="Z40" t="inlineStr">
        <is>
          <t>화공약품,시약 제조,도매,무역</t>
        </is>
      </c>
      <c r="AA40" t="inlineStr">
        <is>
          <t>경기 평택시 모곡동 440-3번지</t>
        </is>
      </c>
      <c r="AB40" t="inlineStr">
        <is>
          <t>경기 평택시 산단로16번길 117</t>
        </is>
      </c>
    </row>
    <row r="41" ht="19.2" customHeight="1" s="1">
      <c r="A41" t="inlineStr">
        <is>
          <t>NICE:910643</t>
        </is>
      </c>
      <c r="B41" t="inlineStr">
        <is>
          <t>삼남개발</t>
        </is>
      </c>
      <c r="C41" s="5" t="n">
        <v>103382981000</v>
      </c>
      <c r="D41" s="5" t="n">
        <v>90382065000</v>
      </c>
      <c r="E41" s="5" t="n">
        <v>13000916000</v>
      </c>
      <c r="F41" s="5" t="n">
        <v>32988698000</v>
      </c>
      <c r="G41" s="5" t="n">
        <v>12427901000</v>
      </c>
      <c r="H41" s="5" t="n">
        <v>32941832000</v>
      </c>
      <c r="I41" s="5" t="n">
        <v>12058093000</v>
      </c>
      <c r="J41" s="4" t="n">
        <v>6.384299755096436</v>
      </c>
      <c r="K41" s="4" t="n">
        <v>6.952000141143799</v>
      </c>
      <c r="L41" s="4" t="n">
        <v>0.3766999840736389</v>
      </c>
      <c r="M41" t="inlineStr">
        <is>
          <t>김장자/류제호</t>
        </is>
      </c>
      <c r="N41" t="inlineStr">
        <is>
          <t>031-376-4005</t>
        </is>
      </c>
      <c r="O41" t="inlineStr">
        <is>
          <t>031-376-6167</t>
        </is>
      </c>
      <c r="P41" s="3" t="n"/>
      <c r="Q41" t="inlineStr">
        <is>
          <t>1118112843</t>
        </is>
      </c>
      <c r="R41" t="inlineStr">
        <is>
          <t>1101110231970</t>
        </is>
      </c>
      <c r="S41" t="inlineStr">
        <is>
          <t>대상아님</t>
        </is>
      </c>
      <c r="T41" t="inlineStr">
        <is>
          <t>일반법인</t>
        </is>
      </c>
      <c r="U41" t="inlineStr">
        <is>
          <t>중소기업</t>
        </is>
      </c>
      <c r="V41" t="inlineStr">
        <is>
          <t>외부감사대상</t>
        </is>
      </c>
      <c r="W41" s="6" t="inlineStr">
        <is>
          <t>1978-05-24</t>
        </is>
      </c>
      <c r="X41" t="inlineStr">
        <is>
          <t>KRI:10R9112100</t>
        </is>
      </c>
      <c r="Y41" t="inlineStr">
        <is>
          <t>골프장 운영업</t>
        </is>
      </c>
      <c r="Z41" t="inlineStr">
        <is>
          <t>골프장 운영</t>
        </is>
      </c>
      <c r="AA41" t="inlineStr">
        <is>
          <t>경기 화성시 동탄구 신동 50-1번지</t>
        </is>
      </c>
      <c r="AB41" t="inlineStr">
        <is>
          <t>경기 화성시 동탄구 풀무골로106번길 244</t>
        </is>
      </c>
    </row>
    <row r="42" s="1">
      <c r="A42" t="inlineStr">
        <is>
          <t>NICE:122702</t>
        </is>
      </c>
      <c r="B42" t="inlineStr">
        <is>
          <t>태길종합건설</t>
        </is>
      </c>
      <c r="C42" s="5" t="n">
        <v>82941549000</v>
      </c>
      <c r="D42" s="5" t="n">
        <v>53929864000</v>
      </c>
      <c r="E42" s="5" t="n">
        <v>29011686000</v>
      </c>
      <c r="F42" s="5" t="n">
        <v>23526402000</v>
      </c>
      <c r="G42" s="5" t="n">
        <v>3203442000</v>
      </c>
      <c r="H42" s="5" t="n">
        <v>70220129000</v>
      </c>
      <c r="I42" s="5" t="n">
        <v>15295650000</v>
      </c>
      <c r="J42" s="4" t="n">
        <v>1.950599908828735</v>
      </c>
      <c r="K42" s="4" t="n">
        <v>1.85889995098114</v>
      </c>
      <c r="L42" s="4" t="n">
        <v>0.1361999958753586</v>
      </c>
      <c r="M42" t="inlineStr">
        <is>
          <t>박근숙</t>
        </is>
      </c>
      <c r="N42" t="inlineStr">
        <is>
          <t>031-600-1700</t>
        </is>
      </c>
      <c r="O42" t="inlineStr">
        <is>
          <t>031-600-1799</t>
        </is>
      </c>
      <c r="Q42" t="inlineStr">
        <is>
          <t>1208185544</t>
        </is>
      </c>
      <c r="R42" t="inlineStr">
        <is>
          <t>1101111629455</t>
        </is>
      </c>
      <c r="S42" t="inlineStr">
        <is>
          <t>대상아님</t>
        </is>
      </c>
      <c r="T42" t="inlineStr">
        <is>
          <t>일반법인</t>
        </is>
      </c>
      <c r="U42" t="inlineStr">
        <is>
          <t>대기업</t>
        </is>
      </c>
      <c r="V42" t="inlineStr">
        <is>
          <t>외부감사대상</t>
        </is>
      </c>
      <c r="W42" s="6" t="inlineStr">
        <is>
          <t>1999-01-06</t>
        </is>
      </c>
      <c r="X42" t="inlineStr">
        <is>
          <t>KRI:10L6812200</t>
        </is>
      </c>
      <c r="Y42" t="inlineStr">
        <is>
          <t>비주거용 건물 개발 및 공급업</t>
        </is>
      </c>
      <c r="Z42" t="inlineStr">
        <is>
          <t>부동산 분양,임대,매매/토목건축공사,준설공사,토공사,퇴적오염물질수거공사/풍력발전/건설기계대여/건축,토목관련자재 도소매,무역</t>
        </is>
      </c>
      <c r="AA42" t="inlineStr">
        <is>
          <t>경기 성남시 중원구 성남동 4169번지 성남메트로칸 4층 425호</t>
        </is>
      </c>
      <c r="AB42" t="inlineStr">
        <is>
          <t>경기 성남시 중원구 성남대로 1133, 4층 425호 (성남동,성남메트로칸)</t>
        </is>
      </c>
    </row>
    <row r="43" ht="19.2" customHeight="1" s="1">
      <c r="A43" t="inlineStr">
        <is>
          <t>NICE:PQ3246</t>
        </is>
      </c>
      <c r="B43" t="inlineStr">
        <is>
          <t>현진세미텍</t>
        </is>
      </c>
      <c r="C43" s="5" t="n">
        <v>64678503000</v>
      </c>
      <c r="D43" s="5" t="n">
        <v>26935847000</v>
      </c>
      <c r="E43" s="5" t="n">
        <v>37742657000</v>
      </c>
      <c r="F43" s="5" t="n">
        <v>46569832000</v>
      </c>
      <c r="G43" s="5" t="n">
        <v>20066531000</v>
      </c>
      <c r="H43" s="5" t="n">
        <v>48966967000</v>
      </c>
      <c r="I43" s="5" t="n">
        <v>24609603000</v>
      </c>
      <c r="J43" s="4" t="n">
        <v>1.757299900054932</v>
      </c>
      <c r="K43" s="4" t="n">
        <v>0.713699996471405</v>
      </c>
      <c r="L43" s="4" t="n">
        <v>0.430899977684021</v>
      </c>
      <c r="M43" t="inlineStr">
        <is>
          <t>김영건</t>
        </is>
      </c>
      <c r="N43" t="inlineStr">
        <is>
          <t>031-428-2500</t>
        </is>
      </c>
      <c r="O43" t="inlineStr">
        <is>
          <t>031-454-1172</t>
        </is>
      </c>
      <c r="P43" s="3" t="n"/>
      <c r="Q43" t="inlineStr">
        <is>
          <t>7808102573</t>
        </is>
      </c>
      <c r="R43" t="inlineStr">
        <is>
          <t>1314110545883</t>
        </is>
      </c>
      <c r="S43" t="inlineStr">
        <is>
          <t>대상아님</t>
        </is>
      </c>
      <c r="T43" t="inlineStr">
        <is>
          <t>일반법인</t>
        </is>
      </c>
      <c r="U43" t="inlineStr">
        <is>
          <t>중소기업</t>
        </is>
      </c>
      <c r="V43" t="inlineStr">
        <is>
          <t>외부감사대상</t>
        </is>
      </c>
      <c r="W43" s="6" t="inlineStr">
        <is>
          <t>2022-12-02</t>
        </is>
      </c>
      <c r="X43" t="inlineStr">
        <is>
          <t>KRI:10C2612900</t>
        </is>
      </c>
      <c r="Y43" t="inlineStr">
        <is>
          <t>기타 반도체소자 제조업</t>
        </is>
      </c>
      <c r="Z43" t="inlineStr">
        <is>
          <t>반도체 제조</t>
        </is>
      </c>
      <c r="AA43" t="inlineStr">
        <is>
          <t>경기 안산시 단원구 원시동 816-1번지</t>
        </is>
      </c>
      <c r="AB43" t="inlineStr">
        <is>
          <t>경기 안산시 단원구 산단로 283</t>
        </is>
      </c>
    </row>
    <row r="44" ht="19.2" customHeight="1" s="1">
      <c r="A44" t="inlineStr">
        <is>
          <t>NICE:F38288</t>
        </is>
      </c>
      <c r="B44" t="inlineStr">
        <is>
          <t>천호금속</t>
        </is>
      </c>
      <c r="C44" s="5" t="n">
        <v>18842125000</v>
      </c>
      <c r="D44" s="5" t="n">
        <v>8116703000</v>
      </c>
      <c r="E44" s="5" t="n">
        <v>10725422000</v>
      </c>
      <c r="F44" s="5" t="n">
        <v>21851998000</v>
      </c>
      <c r="G44" s="5" t="n">
        <v>3468810000</v>
      </c>
      <c r="H44" s="5" t="n">
        <v>23254379000</v>
      </c>
      <c r="I44" s="5" t="n">
        <v>1763396000</v>
      </c>
      <c r="J44" s="4" t="n">
        <v>2.11899995803833</v>
      </c>
      <c r="K44" s="4" t="n">
        <v>0.7567999958992004</v>
      </c>
      <c r="L44" s="4" t="n">
        <v>0.1586999893188477</v>
      </c>
      <c r="M44" t="inlineStr">
        <is>
          <t>배경환</t>
        </is>
      </c>
      <c r="N44" t="inlineStr">
        <is>
          <t>053-857-6488</t>
        </is>
      </c>
      <c r="P44" s="3" t="n"/>
      <c r="Q44" t="inlineStr">
        <is>
          <t>5158137366</t>
        </is>
      </c>
      <c r="R44" t="inlineStr">
        <is>
          <t>1748110052037</t>
        </is>
      </c>
      <c r="S44" t="inlineStr">
        <is>
          <t>대상아님</t>
        </is>
      </c>
      <c r="T44" t="inlineStr">
        <is>
          <t>일반법인</t>
        </is>
      </c>
      <c r="U44" t="inlineStr">
        <is>
          <t>중소기업</t>
        </is>
      </c>
      <c r="V44" t="inlineStr">
        <is>
          <t>외부감사대상</t>
        </is>
      </c>
      <c r="W44" s="6" t="inlineStr">
        <is>
          <t>2009-08-10</t>
        </is>
      </c>
      <c r="X44" t="inlineStr">
        <is>
          <t>KRI:10C2411300</t>
        </is>
      </c>
      <c r="Y44" t="inlineStr">
        <is>
          <t>합금철 제조업</t>
        </is>
      </c>
      <c r="Z44" t="inlineStr">
        <is>
          <t>합금철,제철 제조</t>
        </is>
      </c>
      <c r="AA44" t="inlineStr">
        <is>
          <t>경북 경산시 진량읍 문천리 478-11번지</t>
        </is>
      </c>
      <c r="AB44" t="inlineStr">
        <is>
          <t>경북 경산시 진량읍 문천길 166</t>
        </is>
      </c>
    </row>
    <row r="45" s="1">
      <c r="A45" t="inlineStr">
        <is>
          <t>NICE:594946</t>
        </is>
      </c>
      <c r="B45" t="inlineStr">
        <is>
          <t>우영메디칼</t>
        </is>
      </c>
      <c r="C45" s="5" t="n">
        <v>147641481000</v>
      </c>
      <c r="D45" s="5" t="n">
        <v>71153732000</v>
      </c>
      <c r="E45" s="5" t="n">
        <v>76487748000</v>
      </c>
      <c r="F45" s="5" t="n">
        <v>52729309000</v>
      </c>
      <c r="G45" s="5" t="n">
        <v>7732838000</v>
      </c>
      <c r="H45" s="5" t="n">
        <v>26381942000</v>
      </c>
      <c r="I45" s="5" t="n">
        <v>6240505000</v>
      </c>
      <c r="J45" s="4" t="n">
        <v>1.504299879074097</v>
      </c>
      <c r="K45" s="4" t="n">
        <v>0.9302999377250671</v>
      </c>
      <c r="L45" s="4" t="n">
        <v>0.146699994802475</v>
      </c>
      <c r="M45" t="inlineStr">
        <is>
          <t>이영규</t>
        </is>
      </c>
      <c r="N45" t="inlineStr">
        <is>
          <t>043-536-0291</t>
        </is>
      </c>
      <c r="O45" t="inlineStr">
        <is>
          <t>043-536-0290</t>
        </is>
      </c>
      <c r="P45">
        <f>HYPERLINK("http://www.wooyoungmed.com", "http://www.wooyoungmed.com")</f>
        <v/>
      </c>
      <c r="Q45" t="inlineStr">
        <is>
          <t>1288125026</t>
        </is>
      </c>
      <c r="R45" t="inlineStr">
        <is>
          <t>1156110012094</t>
        </is>
      </c>
      <c r="S45" t="inlineStr">
        <is>
          <t>대상아님</t>
        </is>
      </c>
      <c r="T45" t="inlineStr">
        <is>
          <t>일반법인</t>
        </is>
      </c>
      <c r="U45" t="inlineStr">
        <is>
          <t>중소기업</t>
        </is>
      </c>
      <c r="V45" t="inlineStr">
        <is>
          <t>외부감사대상</t>
        </is>
      </c>
      <c r="W45" s="6" t="inlineStr">
        <is>
          <t>1996-07-24</t>
        </is>
      </c>
      <c r="X45" t="inlineStr">
        <is>
          <t>KRI:10C2719900</t>
        </is>
      </c>
      <c r="Y45" t="inlineStr">
        <is>
          <t>그 외 기타 의료용 기기 제조업</t>
        </is>
      </c>
      <c r="Z45" t="inlineStr">
        <is>
          <t>의료기기 제조,도소매/전자부품 제조/부동산 임대</t>
        </is>
      </c>
      <c r="AA45" t="inlineStr">
        <is>
          <t>충북 진천군 진천읍 상신리 374-3번지</t>
        </is>
      </c>
      <c r="AB45" t="inlineStr">
        <is>
          <t>충북 진천군 진천읍 상신2길 98</t>
        </is>
      </c>
    </row>
    <row r="46" ht="19.2" customHeight="1" s="1">
      <c r="A46" t="inlineStr">
        <is>
          <t>NICE:125771</t>
        </is>
      </c>
      <c r="B46" t="inlineStr">
        <is>
          <t>화인케미칼</t>
        </is>
      </c>
      <c r="C46" s="5" t="n">
        <v>97748334000</v>
      </c>
      <c r="D46" s="5" t="n">
        <v>8057135000</v>
      </c>
      <c r="E46" s="5" t="n">
        <v>89691199000</v>
      </c>
      <c r="F46" s="5" t="n">
        <v>79513092000</v>
      </c>
      <c r="G46" s="5" t="n">
        <v>19029604000</v>
      </c>
      <c r="H46" s="5" t="n">
        <v>82232927000</v>
      </c>
      <c r="I46" s="5" t="n">
        <v>25510901000</v>
      </c>
      <c r="J46" s="4" t="n">
        <v>7.841500282287598</v>
      </c>
      <c r="K46" s="4" t="n">
        <v>0.08979999274015427</v>
      </c>
      <c r="L46" s="4" t="n">
        <v>0.2392999976873398</v>
      </c>
      <c r="M46" t="inlineStr">
        <is>
          <t>이성율</t>
        </is>
      </c>
      <c r="N46" t="inlineStr">
        <is>
          <t>055-345-2030</t>
        </is>
      </c>
      <c r="O46" t="inlineStr">
        <is>
          <t>055-342-4617</t>
        </is>
      </c>
      <c r="P46" s="3">
        <f>HYPERLINK("http://www.finechemical.co.kr", "http://www.finechemical.co.kr")</f>
        <v/>
      </c>
      <c r="Q46" t="inlineStr">
        <is>
          <t>6228115919</t>
        </is>
      </c>
      <c r="R46" t="inlineStr">
        <is>
          <t>1846110021638</t>
        </is>
      </c>
      <c r="S46" t="inlineStr">
        <is>
          <t>대상아님</t>
        </is>
      </c>
      <c r="T46" t="inlineStr">
        <is>
          <t>일반법인</t>
        </is>
      </c>
      <c r="U46" t="inlineStr">
        <is>
          <t>중소기업</t>
        </is>
      </c>
      <c r="V46" t="inlineStr">
        <is>
          <t>외부감사대상</t>
        </is>
      </c>
      <c r="W46" s="6" t="inlineStr">
        <is>
          <t>1997-03-07</t>
        </is>
      </c>
      <c r="X46" t="inlineStr">
        <is>
          <t>KRI:10G4673300</t>
        </is>
      </c>
      <c r="Y46" t="inlineStr">
        <is>
          <t>플라스틱물질 및 합성고무 도매업</t>
        </is>
      </c>
      <c r="Z46" t="inlineStr">
        <is>
          <t>산업용 고무스폰지 도소매,제조</t>
        </is>
      </c>
      <c r="AA46" t="inlineStr">
        <is>
          <t>경남 김해시 진영읍 죽곡리 7-1번지</t>
        </is>
      </c>
      <c r="AB46" t="inlineStr">
        <is>
          <t>경남 김해시 진영읍 서부로123번길 30-16</t>
        </is>
      </c>
    </row>
    <row r="47" ht="19.2" customHeight="1" s="1">
      <c r="A47" t="inlineStr">
        <is>
          <t>NICE:E66566</t>
        </is>
      </c>
      <c r="B47" t="inlineStr">
        <is>
          <t>위테크</t>
        </is>
      </c>
      <c r="C47" s="5" t="n">
        <v>56905694000</v>
      </c>
      <c r="D47" s="5" t="n">
        <v>17285723000</v>
      </c>
      <c r="E47" s="5" t="n">
        <v>39619971000</v>
      </c>
      <c r="F47" s="5" t="n">
        <v>139710125000</v>
      </c>
      <c r="G47" s="5" t="n">
        <v>28351851000</v>
      </c>
      <c r="H47" s="5" t="n">
        <v>92933902000</v>
      </c>
      <c r="I47" s="5" t="n">
        <v>8216849000</v>
      </c>
      <c r="J47" s="4" t="n">
        <v>2.259700059890747</v>
      </c>
      <c r="K47" s="4" t="n">
        <v>0.4363000094890594</v>
      </c>
      <c r="L47" s="4" t="n">
        <v>0.2029000073671341</v>
      </c>
      <c r="M47" t="inlineStr">
        <is>
          <t>안종용</t>
        </is>
      </c>
      <c r="N47" t="inlineStr">
        <is>
          <t>031-224-0110</t>
        </is>
      </c>
      <c r="O47" t="inlineStr">
        <is>
          <t>031-224-0117</t>
        </is>
      </c>
      <c r="P47" s="3">
        <f>HYPERLINK("http://www.반도체배관.한국", "http://www.반도체배관.한국")</f>
        <v/>
      </c>
      <c r="Q47" t="inlineStr">
        <is>
          <t>1358625878</t>
        </is>
      </c>
      <c r="R47" t="inlineStr">
        <is>
          <t>1348110251752</t>
        </is>
      </c>
      <c r="S47" t="inlineStr">
        <is>
          <t>대상아님</t>
        </is>
      </c>
      <c r="T47" t="inlineStr">
        <is>
          <t>일반법인</t>
        </is>
      </c>
      <c r="U47" t="inlineStr">
        <is>
          <t>중소기업</t>
        </is>
      </c>
      <c r="V47" t="inlineStr">
        <is>
          <t>외부감사대상</t>
        </is>
      </c>
      <c r="W47" s="6" t="inlineStr">
        <is>
          <t>2012-08-29</t>
        </is>
      </c>
      <c r="X47" t="inlineStr">
        <is>
          <t>KRI:10F4122500</t>
        </is>
      </c>
      <c r="Y47" t="inlineStr">
        <is>
          <t>산업생산시설 종합건설업</t>
        </is>
      </c>
      <c r="Z47" t="inlineStr">
        <is>
          <t>산업설비공사,플랜트공사/반도체 반도체배관 제작,설계</t>
        </is>
      </c>
      <c r="AA47" t="inlineStr">
        <is>
          <t>경기 화성시 병점구 기산동 284번지 1동</t>
        </is>
      </c>
      <c r="AB47" t="inlineStr">
        <is>
          <t>경기 화성시 병점구 기산로 59, 1동</t>
        </is>
      </c>
    </row>
    <row r="48" s="1">
      <c r="A48" t="inlineStr">
        <is>
          <t>NICE:148503</t>
        </is>
      </c>
      <c r="B48" t="inlineStr">
        <is>
          <t>금강비앤에프</t>
        </is>
      </c>
      <c r="C48" s="5" t="n">
        <v>34613900000</v>
      </c>
      <c r="D48" s="5" t="n">
        <v>11048995000</v>
      </c>
      <c r="E48" s="5" t="n">
        <v>23564905000</v>
      </c>
      <c r="F48" s="5" t="n">
        <v>34887501000</v>
      </c>
      <c r="G48" s="5" t="n">
        <v>5465944000</v>
      </c>
      <c r="H48" s="5" t="n">
        <v>31153694000</v>
      </c>
      <c r="I48" s="5" t="n">
        <v>4782854000</v>
      </c>
      <c r="J48" s="4" t="n">
        <v>1.995599985122681</v>
      </c>
      <c r="K48" s="4" t="n">
        <v>0.4688999950885773</v>
      </c>
      <c r="L48" s="4" t="n">
        <v>0.156700000166893</v>
      </c>
      <c r="M48" t="inlineStr">
        <is>
          <t>한평식</t>
        </is>
      </c>
      <c r="N48" t="inlineStr">
        <is>
          <t>070-7011-5718</t>
        </is>
      </c>
      <c r="O48" t="inlineStr">
        <is>
          <t>043-851-3515</t>
        </is>
      </c>
      <c r="P48">
        <f>HYPERLINK("http://www.keumkangbnf.com/", "http://www.keumkangbnf.com/")</f>
        <v/>
      </c>
      <c r="Q48" t="inlineStr">
        <is>
          <t>3038105257</t>
        </is>
      </c>
      <c r="R48" t="inlineStr">
        <is>
          <t>1511110002463</t>
        </is>
      </c>
      <c r="S48" t="inlineStr">
        <is>
          <t>대상아님</t>
        </is>
      </c>
      <c r="T48" t="inlineStr">
        <is>
          <t>일반법인</t>
        </is>
      </c>
      <c r="U48" t="inlineStr">
        <is>
          <t>중소기업</t>
        </is>
      </c>
      <c r="V48" t="inlineStr">
        <is>
          <t>외부감사대상</t>
        </is>
      </c>
      <c r="W48" s="6" t="inlineStr">
        <is>
          <t>1988-03-23</t>
        </is>
      </c>
      <c r="X48" t="inlineStr">
        <is>
          <t>KRI:10C1120900</t>
        </is>
      </c>
      <c r="Y48" t="inlineStr">
        <is>
          <t>기타 비알코올 음료 제조업</t>
        </is>
      </c>
      <c r="Z48" t="inlineStr">
        <is>
          <t>청량음료,특수영양식품 제조/식품가공,특수영양식품 도매/비주거용 건물 임대(점포,자기땅)</t>
        </is>
      </c>
      <c r="AA48" t="inlineStr">
        <is>
          <t>충북 충주시 대소원면 영평리 291-1번지</t>
        </is>
      </c>
      <c r="AB48" t="inlineStr">
        <is>
          <t>충북 충주시 대소원면 두산길 106</t>
        </is>
      </c>
    </row>
    <row r="49" ht="19.2" customHeight="1" s="1">
      <c r="A49" t="inlineStr">
        <is>
          <t>NICE:I90594</t>
        </is>
      </c>
      <c r="B49" t="inlineStr">
        <is>
          <t>어업회사법인케이푸드</t>
        </is>
      </c>
      <c r="C49" s="5" t="n">
        <v>31459795000</v>
      </c>
      <c r="D49" s="5" t="n">
        <v>14923572000</v>
      </c>
      <c r="E49" s="5" t="n">
        <v>16536224000</v>
      </c>
      <c r="F49" s="5" t="n">
        <v>59508525000</v>
      </c>
      <c r="G49" s="5" t="n">
        <v>6415792000</v>
      </c>
      <c r="H49" s="5" t="n">
        <v>49456311000</v>
      </c>
      <c r="I49" s="5" t="n">
        <v>3706840000</v>
      </c>
      <c r="J49" s="4" t="n">
        <v>1.924100041389465</v>
      </c>
      <c r="K49" s="4" t="n">
        <v>0.9024999737739563</v>
      </c>
      <c r="L49" s="4" t="n">
        <v>0.1077999919652939</v>
      </c>
      <c r="M49" t="inlineStr">
        <is>
          <t>최재현</t>
        </is>
      </c>
      <c r="N49" t="inlineStr">
        <is>
          <t>061-834-7727</t>
        </is>
      </c>
      <c r="O49" t="inlineStr">
        <is>
          <t>061-834-7728</t>
        </is>
      </c>
      <c r="P49" s="3">
        <f>HYPERLINK("http://www.kfd.kr", "http://www.kfd.kr")</f>
        <v/>
      </c>
      <c r="Q49" t="inlineStr">
        <is>
          <t>1438108569</t>
        </is>
      </c>
      <c r="R49" t="inlineStr">
        <is>
          <t>1348110262048</t>
        </is>
      </c>
      <c r="S49" t="inlineStr">
        <is>
          <t>대상아님</t>
        </is>
      </c>
      <c r="T49" t="inlineStr">
        <is>
          <t>일반법인</t>
        </is>
      </c>
      <c r="U49" t="inlineStr">
        <is>
          <t>중소기업</t>
        </is>
      </c>
      <c r="V49" t="inlineStr">
        <is>
          <t>외부감사대상</t>
        </is>
      </c>
      <c r="W49" s="6" t="inlineStr">
        <is>
          <t>2013-01-25</t>
        </is>
      </c>
      <c r="X49" t="inlineStr">
        <is>
          <t>KRI:10C1022000</t>
        </is>
      </c>
      <c r="Y49" t="inlineStr">
        <is>
          <t>수산식물 가공 및 저장 처리업</t>
        </is>
      </c>
      <c r="Z49" t="inlineStr">
        <is>
          <t>수산식물 가공,도매</t>
        </is>
      </c>
      <c r="AA49" t="inlineStr">
        <is>
          <t>전남 고흥군 풍양면 풍남리 746-1번지</t>
        </is>
      </c>
      <c r="AB49" t="inlineStr">
        <is>
          <t>전남 고흥군 풍양면 풍남로 670</t>
        </is>
      </c>
    </row>
    <row r="50" ht="19.2" customHeight="1" s="1">
      <c r="A50" t="inlineStr">
        <is>
          <t>NICE:LC2377</t>
        </is>
      </c>
      <c r="B50" t="inlineStr">
        <is>
          <t>농업회사법인보람찬</t>
        </is>
      </c>
      <c r="C50" s="5" t="n">
        <v>30132049000</v>
      </c>
      <c r="D50" s="5" t="n">
        <v>14825571000</v>
      </c>
      <c r="E50" s="5" t="n">
        <v>15306477000</v>
      </c>
      <c r="F50" s="5" t="n">
        <v>78946930000</v>
      </c>
      <c r="G50" s="5" t="n">
        <v>10072659000</v>
      </c>
      <c r="H50" s="5" t="n">
        <v>55019248000</v>
      </c>
      <c r="I50" s="5" t="n">
        <v>5389933000</v>
      </c>
      <c r="J50" s="4" t="n">
        <v>2.031199932098389</v>
      </c>
      <c r="K50" s="4" t="n">
        <v>0.9685999751091003</v>
      </c>
      <c r="L50" s="4" t="n">
        <v>0.1275999993085861</v>
      </c>
      <c r="M50" t="inlineStr">
        <is>
          <t>박성민/김선모</t>
        </is>
      </c>
      <c r="P50" s="3" t="n"/>
      <c r="Q50" t="inlineStr">
        <is>
          <t>5078115643</t>
        </is>
      </c>
      <c r="R50" t="inlineStr">
        <is>
          <t>1611110030347</t>
        </is>
      </c>
      <c r="S50" t="inlineStr">
        <is>
          <t>대상아님</t>
        </is>
      </c>
      <c r="T50" t="inlineStr">
        <is>
          <t>일반법인</t>
        </is>
      </c>
      <c r="U50" t="inlineStr">
        <is>
          <t>중소기업</t>
        </is>
      </c>
      <c r="V50" t="inlineStr">
        <is>
          <t>외부감사대상</t>
        </is>
      </c>
      <c r="W50" s="6" t="inlineStr">
        <is>
          <t>2020-03-12</t>
        </is>
      </c>
      <c r="X50" t="inlineStr">
        <is>
          <t>KRI:10A0122000</t>
        </is>
      </c>
      <c r="Y50" t="inlineStr">
        <is>
          <t>양돈업</t>
        </is>
      </c>
      <c r="Z50" t="inlineStr">
        <is>
          <t>양돈/사료 도소매</t>
        </is>
      </c>
      <c r="AA50" t="inlineStr">
        <is>
          <t>충남 홍성군 홍성읍 월산리 836-1번지 대은빌딩 2층</t>
        </is>
      </c>
      <c r="AB50" t="inlineStr">
        <is>
          <t>충남 홍성군 홍성읍 월산로50번길 9, 2층 (월산리,대은빌딩)</t>
        </is>
      </c>
    </row>
    <row r="51" ht="19.2" customHeight="1" s="1">
      <c r="A51" t="inlineStr">
        <is>
          <t>NICE:MB2181</t>
        </is>
      </c>
      <c r="B51" t="inlineStr">
        <is>
          <t>엠피에스</t>
        </is>
      </c>
      <c r="C51" s="5" t="n">
        <v>38859606000</v>
      </c>
      <c r="D51" s="5" t="n">
        <v>29493942000</v>
      </c>
      <c r="E51" s="5" t="n">
        <v>9365664000</v>
      </c>
      <c r="F51" s="5" t="n">
        <v>40350676000</v>
      </c>
      <c r="G51" s="5" t="n">
        <v>5587809000</v>
      </c>
      <c r="H51" s="5" t="n">
        <v>35900804000</v>
      </c>
      <c r="I51" s="5" t="n">
        <v>3340684000</v>
      </c>
      <c r="J51" s="4" t="n">
        <v>0.9841999411582947</v>
      </c>
      <c r="K51" s="4" t="n">
        <v>3.149199962615967</v>
      </c>
      <c r="L51" s="4" t="n">
        <v>0.1385000050067902</v>
      </c>
      <c r="M51" t="inlineStr">
        <is>
          <t>김대웅</t>
        </is>
      </c>
      <c r="N51" t="inlineStr">
        <is>
          <t>062-961-0322</t>
        </is>
      </c>
      <c r="O51" t="inlineStr">
        <is>
          <t>062-962-0322</t>
        </is>
      </c>
      <c r="P51" s="3">
        <f>HYPERLINK("http://mpsglobal.co.kr/", "http://mpsglobal.co.kr/")</f>
        <v/>
      </c>
      <c r="Q51" t="inlineStr">
        <is>
          <t>4308701986</t>
        </is>
      </c>
      <c r="R51" t="inlineStr">
        <is>
          <t>1358110409235</t>
        </is>
      </c>
      <c r="S51" t="inlineStr">
        <is>
          <t>대상아님</t>
        </is>
      </c>
      <c r="T51" t="inlineStr">
        <is>
          <t>일반법인</t>
        </is>
      </c>
      <c r="U51" t="inlineStr">
        <is>
          <t>중소기업</t>
        </is>
      </c>
      <c r="V51" t="inlineStr">
        <is>
          <t>외부감사대상</t>
        </is>
      </c>
      <c r="W51" s="6" t="inlineStr">
        <is>
          <t>2020-12-28</t>
        </is>
      </c>
      <c r="X51" t="inlineStr">
        <is>
          <t>KRI:10C2629900</t>
        </is>
      </c>
      <c r="Y51" t="inlineStr">
        <is>
          <t>그 외 기타 전자부품 제조업</t>
        </is>
      </c>
      <c r="Z51" t="inlineStr">
        <is>
          <t>전자제품 부품소재 제조/부동산 임대</t>
        </is>
      </c>
      <c r="AA51" t="inlineStr">
        <is>
          <t>광주 광산구 오선동 547-27번지</t>
        </is>
      </c>
      <c r="AB51" t="inlineStr">
        <is>
          <t>광주 광산구 하남산단8번로 114</t>
        </is>
      </c>
    </row>
    <row r="52" s="1">
      <c r="A52" t="inlineStr">
        <is>
          <t>NICE:C79511</t>
        </is>
      </c>
      <c r="B52" t="inlineStr">
        <is>
          <t>챔프스터디</t>
        </is>
      </c>
      <c r="C52" s="5" t="n">
        <v>111005600000</v>
      </c>
      <c r="D52" s="5" t="n">
        <v>58337312000</v>
      </c>
      <c r="E52" s="5" t="n">
        <v>52668288000</v>
      </c>
      <c r="F52" s="5" t="n">
        <v>121558055000</v>
      </c>
      <c r="G52" s="5" t="n">
        <v>20583572000</v>
      </c>
      <c r="H52" s="5" t="n">
        <v>120585509000</v>
      </c>
      <c r="I52" s="5" t="n">
        <v>22882952000</v>
      </c>
      <c r="J52" s="4" t="n">
        <v>0.5661999583244324</v>
      </c>
      <c r="K52" s="4" t="n">
        <v>1.107599973678589</v>
      </c>
      <c r="L52" s="4" t="n">
        <v>0.1693000048398972</v>
      </c>
      <c r="M52" t="inlineStr">
        <is>
          <t>전재윤</t>
        </is>
      </c>
      <c r="N52" t="inlineStr">
        <is>
          <t>02-566-3636</t>
        </is>
      </c>
      <c r="O52" t="inlineStr">
        <is>
          <t>02-563-0622</t>
        </is>
      </c>
      <c r="P52">
        <f>HYPERLINK("http://www.champstudy.com", "http://www.champstudy.com")</f>
        <v/>
      </c>
      <c r="Q52" t="inlineStr">
        <is>
          <t>1208709984</t>
        </is>
      </c>
      <c r="R52" t="inlineStr">
        <is>
          <t>1101113590547</t>
        </is>
      </c>
      <c r="S52" t="inlineStr">
        <is>
          <t>대상아님</t>
        </is>
      </c>
      <c r="T52" t="inlineStr">
        <is>
          <t>일반법인</t>
        </is>
      </c>
      <c r="U52" t="inlineStr">
        <is>
          <t>중견기업</t>
        </is>
      </c>
      <c r="V52" t="inlineStr">
        <is>
          <t>외부감사대상</t>
        </is>
      </c>
      <c r="W52" s="6" t="inlineStr">
        <is>
          <t>2007-01-02</t>
        </is>
      </c>
      <c r="X52" t="inlineStr">
        <is>
          <t>KRI:10P8550300</t>
        </is>
      </c>
      <c r="Y52" t="inlineStr">
        <is>
          <t>온라인 교육 학원</t>
        </is>
      </c>
      <c r="Z52" t="inlineStr">
        <is>
          <t>원격평생교육/출판/서적 도소매,전자상거래/직업정보제공,교육컨설팅,교육기획,광고</t>
        </is>
      </c>
      <c r="AA52" t="inlineStr">
        <is>
          <t>서울 서초구 서초동 1316-15번지 203호</t>
        </is>
      </c>
      <c r="AB52" t="inlineStr">
        <is>
          <t>서울 서초구 강남대로61길 23, 203호</t>
        </is>
      </c>
    </row>
    <row r="53" ht="19.2" customHeight="1" s="1">
      <c r="A53" t="inlineStr">
        <is>
          <t>NICE:144896</t>
        </is>
      </c>
      <c r="B53" t="inlineStr">
        <is>
          <t>원보</t>
        </is>
      </c>
      <c r="C53" s="5" t="n">
        <v>69311084000</v>
      </c>
      <c r="D53" s="5" t="n">
        <v>26941059000</v>
      </c>
      <c r="E53" s="5" t="n">
        <v>42370025000</v>
      </c>
      <c r="F53" s="5" t="n">
        <v>36303199000</v>
      </c>
      <c r="G53" s="5" t="n">
        <v>5174824000</v>
      </c>
      <c r="H53" s="5" t="n">
        <v>32320350000</v>
      </c>
      <c r="I53" s="5" t="n">
        <v>2500911000</v>
      </c>
      <c r="J53" s="4" t="n">
        <v>0.8584999442100525</v>
      </c>
      <c r="K53" s="4" t="n">
        <v>0.6358999609947205</v>
      </c>
      <c r="L53" s="4" t="n">
        <v>0.1424999982118607</v>
      </c>
      <c r="M53" t="inlineStr">
        <is>
          <t>유길문</t>
        </is>
      </c>
      <c r="N53" t="inlineStr">
        <is>
          <t>031-573-6001</t>
        </is>
      </c>
      <c r="O53" t="inlineStr">
        <is>
          <t>031-573-4702</t>
        </is>
      </c>
      <c r="P53" s="3" t="n"/>
      <c r="Q53" t="inlineStr">
        <is>
          <t>1328113382</t>
        </is>
      </c>
      <c r="R53" t="inlineStr">
        <is>
          <t>1152110017860</t>
        </is>
      </c>
      <c r="S53" t="inlineStr">
        <is>
          <t>대상아님</t>
        </is>
      </c>
      <c r="T53" t="inlineStr">
        <is>
          <t>일반법인</t>
        </is>
      </c>
      <c r="U53" t="inlineStr">
        <is>
          <t>중소기업</t>
        </is>
      </c>
      <c r="V53" t="inlineStr">
        <is>
          <t>외부감사대상</t>
        </is>
      </c>
      <c r="W53" s="6" t="inlineStr">
        <is>
          <t>1996-05-20</t>
        </is>
      </c>
      <c r="X53" t="inlineStr">
        <is>
          <t>KRI:10E3823000</t>
        </is>
      </c>
      <c r="Y53" t="inlineStr">
        <is>
          <t>건설 폐기물 처리업</t>
        </is>
      </c>
      <c r="Z53" t="inlineStr">
        <is>
          <t>건설폐기물 중간처리,수집운반</t>
        </is>
      </c>
      <c r="AA53" t="inlineStr">
        <is>
          <t>경기 남양주시 진건읍 송능리 113-8번지</t>
        </is>
      </c>
      <c r="AB53" t="inlineStr">
        <is>
          <t>경기 남양주시 진건읍 진건오남로 397-11</t>
        </is>
      </c>
    </row>
    <row r="54" ht="19.2" customHeight="1" s="1">
      <c r="A54" t="inlineStr">
        <is>
          <t>NICE:369994</t>
        </is>
      </c>
      <c r="B54" t="inlineStr">
        <is>
          <t>희성피엠텍</t>
        </is>
      </c>
      <c r="C54" s="5" t="n">
        <v>541556321000</v>
      </c>
      <c r="D54" s="5" t="n">
        <v>176639726000</v>
      </c>
      <c r="E54" s="5" t="n">
        <v>364916594000</v>
      </c>
      <c r="F54" s="5" t="n">
        <v>728522025000</v>
      </c>
      <c r="G54" s="5" t="n">
        <v>101292180000</v>
      </c>
      <c r="H54" s="5" t="n">
        <v>605557601000</v>
      </c>
      <c r="I54" s="5" t="n">
        <v>17057946000</v>
      </c>
      <c r="J54" s="4" t="n">
        <v>2.934200048446655</v>
      </c>
      <c r="K54" s="4" t="n">
        <v>0.4840999841690063</v>
      </c>
      <c r="L54" s="4" t="n">
        <v>0.1389999985694885</v>
      </c>
      <c r="M54" t="inlineStr">
        <is>
          <t>정경오</t>
        </is>
      </c>
      <c r="N54" t="inlineStr">
        <is>
          <t>041-360-7400</t>
        </is>
      </c>
      <c r="O54" t="inlineStr">
        <is>
          <t>041-360-7500</t>
        </is>
      </c>
      <c r="P54" s="3">
        <f>HYPERLINK("http://www.hspmtech.com", "http://www.hspmtech.com")</f>
        <v/>
      </c>
      <c r="Q54" t="inlineStr">
        <is>
          <t>1348617356</t>
        </is>
      </c>
      <c r="R54" t="inlineStr">
        <is>
          <t>1314110159311</t>
        </is>
      </c>
      <c r="S54" t="inlineStr">
        <is>
          <t>대상아님</t>
        </is>
      </c>
      <c r="T54" t="inlineStr">
        <is>
          <t>일반법인</t>
        </is>
      </c>
      <c r="U54" t="inlineStr">
        <is>
          <t>중견기업</t>
        </is>
      </c>
      <c r="V54" t="inlineStr">
        <is>
          <t>외부감사대상</t>
        </is>
      </c>
      <c r="W54" s="6" t="inlineStr">
        <is>
          <t>2004-09-09</t>
        </is>
      </c>
      <c r="X54" t="inlineStr">
        <is>
          <t>KRI:10C2421900</t>
        </is>
      </c>
      <c r="Y54" t="inlineStr">
        <is>
          <t>기타 비철금속 제련, 정련 및 합금 제조업</t>
        </is>
      </c>
      <c r="Z54" t="inlineStr">
        <is>
          <t>폐촉매 회수정제(백금족 귀금속,팔라듐,로듐),재활용품재생,재생용금속가공,PGM화합물 제조</t>
        </is>
      </c>
      <c r="AA54" t="inlineStr">
        <is>
          <t>충남 당진시 송악읍 부곡리 563-18번지</t>
        </is>
      </c>
      <c r="AB54" t="inlineStr">
        <is>
          <t>충남 당진시 송악읍 부곡공단4길 28-76</t>
        </is>
      </c>
    </row>
    <row r="55" ht="19.2" customHeight="1" s="1">
      <c r="A55" t="inlineStr">
        <is>
          <t>NICE:183825</t>
        </is>
      </c>
      <c r="B55" t="inlineStr">
        <is>
          <t>봉림금속</t>
        </is>
      </c>
      <c r="C55" s="5" t="n">
        <v>45200845000</v>
      </c>
      <c r="D55" s="5" t="n">
        <v>6407251000</v>
      </c>
      <c r="E55" s="5" t="n">
        <v>38793594000</v>
      </c>
      <c r="F55" s="5" t="n">
        <v>30189868000</v>
      </c>
      <c r="G55" s="5" t="n">
        <v>3719111000</v>
      </c>
      <c r="H55" s="5" t="n">
        <v>23411092000</v>
      </c>
      <c r="I55" s="5" t="n">
        <v>1177955000</v>
      </c>
      <c r="J55" s="4" t="n">
        <v>3.307699918746948</v>
      </c>
      <c r="K55" s="4" t="n">
        <v>0.1651999950408936</v>
      </c>
      <c r="L55" s="4" t="n">
        <v>0.1231999918818474</v>
      </c>
      <c r="M55" t="inlineStr">
        <is>
          <t>박권욱</t>
        </is>
      </c>
      <c r="N55" t="inlineStr">
        <is>
          <t>055-310-6871</t>
        </is>
      </c>
      <c r="O55" t="inlineStr">
        <is>
          <t>055-329-5097</t>
        </is>
      </c>
      <c r="P55" s="3" t="n"/>
      <c r="Q55" t="inlineStr">
        <is>
          <t>6228114642</t>
        </is>
      </c>
      <c r="R55" t="inlineStr">
        <is>
          <t>1846110019667</t>
        </is>
      </c>
      <c r="S55" t="inlineStr">
        <is>
          <t>대상아님</t>
        </is>
      </c>
      <c r="T55" t="inlineStr">
        <is>
          <t>일반법인</t>
        </is>
      </c>
      <c r="U55" t="inlineStr">
        <is>
          <t>중견기업</t>
        </is>
      </c>
      <c r="V55" t="inlineStr">
        <is>
          <t>외부감사대상</t>
        </is>
      </c>
      <c r="W55" s="6" t="inlineStr">
        <is>
          <t>1996-08-30</t>
        </is>
      </c>
      <c r="X55" t="inlineStr">
        <is>
          <t>KRI:10C3020000</t>
        </is>
      </c>
      <c r="Y55" t="inlineStr">
        <is>
          <t>자동차 차체 및 트레일러 제조업</t>
        </is>
      </c>
      <c r="Z55" t="inlineStr">
        <is>
          <t>중장비부품,자동차부품 제조</t>
        </is>
      </c>
      <c r="AA55" t="inlineStr">
        <is>
          <t>경남 김해시 생림면 봉림리 1073-1번지</t>
        </is>
      </c>
      <c r="AB55" t="inlineStr">
        <is>
          <t>경남 김해시 생림면 봉림로 115-80</t>
        </is>
      </c>
    </row>
    <row r="56" ht="19.2" customHeight="1" s="1">
      <c r="A56" t="inlineStr">
        <is>
          <t>NICE:H81580</t>
        </is>
      </c>
      <c r="B56" t="inlineStr">
        <is>
          <t>신진테크</t>
        </is>
      </c>
      <c r="C56" s="5" t="n">
        <v>36692921000</v>
      </c>
      <c r="D56" s="5" t="n">
        <v>4903511000</v>
      </c>
      <c r="E56" s="5" t="n">
        <v>31789410000</v>
      </c>
      <c r="F56" s="5" t="n">
        <v>30735163000</v>
      </c>
      <c r="G56" s="5" t="n">
        <v>4814192000</v>
      </c>
      <c r="H56" s="5" t="n">
        <v>34316347000</v>
      </c>
      <c r="I56" s="5" t="n">
        <v>5592003000</v>
      </c>
      <c r="J56" s="4" t="n">
        <v>5.23669958114624</v>
      </c>
      <c r="K56" s="4" t="n">
        <v>0.1542000025510788</v>
      </c>
      <c r="L56" s="4" t="n">
        <v>0.1565999984741211</v>
      </c>
      <c r="M56" t="inlineStr">
        <is>
          <t>박유진</t>
        </is>
      </c>
      <c r="N56" t="inlineStr">
        <is>
          <t>055-282-9717</t>
        </is>
      </c>
      <c r="O56" t="inlineStr">
        <is>
          <t>055-282-9718</t>
        </is>
      </c>
      <c r="P56" s="3" t="n"/>
      <c r="Q56" t="inlineStr">
        <is>
          <t>6098601149</t>
        </is>
      </c>
      <c r="R56" t="inlineStr">
        <is>
          <t>1942110190364</t>
        </is>
      </c>
      <c r="S56" t="inlineStr">
        <is>
          <t>대상아님</t>
        </is>
      </c>
      <c r="T56" t="inlineStr">
        <is>
          <t>일반법인</t>
        </is>
      </c>
      <c r="U56" t="inlineStr">
        <is>
          <t>중소기업</t>
        </is>
      </c>
      <c r="V56" t="inlineStr">
        <is>
          <t>외부감사대상</t>
        </is>
      </c>
      <c r="W56" s="6" t="inlineStr">
        <is>
          <t>2011-09-09</t>
        </is>
      </c>
      <c r="X56" t="inlineStr">
        <is>
          <t>KRI:10C2929900</t>
        </is>
      </c>
      <c r="Y56" t="inlineStr">
        <is>
          <t>그 외 기타 특수목적용 기계 제조업</t>
        </is>
      </c>
      <c r="Z56" t="inlineStr">
        <is>
          <t>자동화기기설비(자동차차체,샷시자동화용접라인) 제조/부동산 임대</t>
        </is>
      </c>
      <c r="AA56" t="inlineStr">
        <is>
          <t>경남 창원시 성산구 대원동 86-7번지</t>
        </is>
      </c>
      <c r="AB56" t="inlineStr">
        <is>
          <t>경남 창원시 성산구 남면로113번길 25-42</t>
        </is>
      </c>
    </row>
    <row r="57" ht="19.2" customHeight="1" s="1">
      <c r="A57" t="inlineStr">
        <is>
          <t>NICE:JD4920</t>
        </is>
      </c>
      <c r="B57" t="inlineStr">
        <is>
          <t>제네톡스</t>
        </is>
      </c>
      <c r="C57" s="5" t="n">
        <v>28745912000</v>
      </c>
      <c r="D57" s="5" t="n">
        <v>14261564000</v>
      </c>
      <c r="E57" s="5" t="n">
        <v>14484348000</v>
      </c>
      <c r="F57" s="5" t="n">
        <v>20158835000</v>
      </c>
      <c r="G57" s="5" t="n">
        <v>5579365000</v>
      </c>
      <c r="H57" s="5" t="n">
        <v>22584858000</v>
      </c>
      <c r="I57" s="5" t="n">
        <v>7094573000</v>
      </c>
      <c r="J57" s="4" t="n">
        <v>0.9088999629020691</v>
      </c>
      <c r="K57" s="4" t="n">
        <v>0.9845999479293823</v>
      </c>
      <c r="L57" s="4" t="n">
        <v>0.2768000066280365</v>
      </c>
      <c r="M57" t="inlineStr">
        <is>
          <t>김현철</t>
        </is>
      </c>
      <c r="N57" t="inlineStr">
        <is>
          <t>033-344-3700</t>
        </is>
      </c>
      <c r="O57" t="inlineStr">
        <is>
          <t>033-344-3702</t>
        </is>
      </c>
      <c r="P57" s="3">
        <f>HYPERLINK("http://genetox.co.kr/", "http://genetox.co.kr/")</f>
        <v/>
      </c>
      <c r="Q57" t="inlineStr">
        <is>
          <t>8728601034</t>
        </is>
      </c>
      <c r="R57" t="inlineStr">
        <is>
          <t>1101116778645</t>
        </is>
      </c>
      <c r="S57" t="inlineStr">
        <is>
          <t>대상아님</t>
        </is>
      </c>
      <c r="T57" t="inlineStr">
        <is>
          <t>일반법인</t>
        </is>
      </c>
      <c r="U57" t="inlineStr">
        <is>
          <t>중소기업</t>
        </is>
      </c>
      <c r="V57" t="inlineStr">
        <is>
          <t>외부감사대상</t>
        </is>
      </c>
      <c r="W57" s="6" t="inlineStr">
        <is>
          <t>2018-06-12</t>
        </is>
      </c>
      <c r="X57" t="inlineStr">
        <is>
          <t>KRI:10C2121000</t>
        </is>
      </c>
      <c r="Y57" t="inlineStr">
        <is>
          <t>완제 의약품 제조업</t>
        </is>
      </c>
      <c r="Z57" t="inlineStr">
        <is>
          <t>의약품 제조,도소매</t>
        </is>
      </c>
      <c r="AA57" t="inlineStr">
        <is>
          <t>강원 횡성군 우천면 상하가리 374번지</t>
        </is>
      </c>
      <c r="AB57" t="inlineStr">
        <is>
          <t>강원 횡성군 우천면 우천산업단지로 38-53</t>
        </is>
      </c>
    </row>
    <row r="58" ht="19.2" customHeight="1" s="1">
      <c r="A58" t="inlineStr">
        <is>
          <t>NICE:353647</t>
        </is>
      </c>
      <c r="B58" t="inlineStr">
        <is>
          <t>크리버코리아</t>
        </is>
      </c>
      <c r="C58" s="5" t="n">
        <v>24480832000</v>
      </c>
      <c r="D58" s="5" t="n">
        <v>13087056000</v>
      </c>
      <c r="E58" s="5" t="n">
        <v>11393775000</v>
      </c>
      <c r="F58" s="5" t="n">
        <v>54216845000</v>
      </c>
      <c r="G58" s="5" t="n">
        <v>7725179000</v>
      </c>
      <c r="H58" s="5" t="n">
        <v>52277199000</v>
      </c>
      <c r="I58" s="5" t="n">
        <v>7307682000</v>
      </c>
      <c r="J58" s="4" t="n">
        <v>1.564900040626526</v>
      </c>
      <c r="K58" s="4" t="n">
        <v>1.148599982261658</v>
      </c>
      <c r="L58" s="4" t="n">
        <v>0.1424999982118607</v>
      </c>
      <c r="M58" t="inlineStr">
        <is>
          <t>남경아</t>
        </is>
      </c>
      <c r="N58" t="inlineStr">
        <is>
          <t>02-782-2121</t>
        </is>
      </c>
      <c r="O58" t="inlineStr">
        <is>
          <t>0704-275-1169</t>
        </is>
      </c>
      <c r="P58" s="3">
        <f>HYPERLINK("http://www.klueber.co.kr", "http://www.klueber.co.kr")</f>
        <v/>
      </c>
      <c r="Q58" t="inlineStr">
        <is>
          <t>1168160224</t>
        </is>
      </c>
      <c r="R58" t="inlineStr">
        <is>
          <t>1101110403941</t>
        </is>
      </c>
      <c r="S58" t="inlineStr">
        <is>
          <t>대상아님</t>
        </is>
      </c>
      <c r="T58" t="inlineStr">
        <is>
          <t>일반법인</t>
        </is>
      </c>
      <c r="U58" t="inlineStr">
        <is>
          <t>중소기업</t>
        </is>
      </c>
      <c r="V58" t="inlineStr">
        <is>
          <t>외부감사대상</t>
        </is>
      </c>
      <c r="W58" s="6" t="inlineStr">
        <is>
          <t>1979-12-26</t>
        </is>
      </c>
      <c r="X58" t="inlineStr">
        <is>
          <t>KRI:10C1922100</t>
        </is>
      </c>
      <c r="Y58" t="inlineStr">
        <is>
          <t>윤활유 및 그리스 제조업</t>
        </is>
      </c>
      <c r="Z58" t="inlineStr">
        <is>
          <t>특수윤활유(그리스,오일),화공약품 제조/무역</t>
        </is>
      </c>
      <c r="AA58" t="inlineStr">
        <is>
          <t>서울 마포구 도화동 565번지 에스엔유장학빌딩 17층</t>
        </is>
      </c>
      <c r="AB58" t="inlineStr">
        <is>
          <t>서울 마포구 새창로 7, 17층 (도화동,에스엔유장학빌딩)</t>
        </is>
      </c>
    </row>
    <row r="59" s="1">
      <c r="A59" t="inlineStr">
        <is>
          <t>NICE:146094</t>
        </is>
      </c>
      <c r="B59" t="inlineStr">
        <is>
          <t>건축사사무소건원엔지니어링</t>
        </is>
      </c>
      <c r="C59" s="5" t="n">
        <v>54931381000</v>
      </c>
      <c r="D59" s="5" t="n">
        <v>22732613000</v>
      </c>
      <c r="E59" s="5" t="n">
        <v>32198768000</v>
      </c>
      <c r="F59" s="5" t="n">
        <v>95089352000</v>
      </c>
      <c r="G59" s="5" t="n">
        <v>9819838000</v>
      </c>
      <c r="H59" s="5" t="n">
        <v>85089226000</v>
      </c>
      <c r="I59" s="5" t="n">
        <v>7295781000</v>
      </c>
      <c r="J59" s="4" t="n">
        <v>1.849600076675415</v>
      </c>
      <c r="K59" s="4" t="n">
        <v>0.7059999704360962</v>
      </c>
      <c r="L59" s="4" t="n">
        <v>0.1032999977469444</v>
      </c>
      <c r="M59" t="inlineStr">
        <is>
          <t>김득한/이석기</t>
        </is>
      </c>
      <c r="N59" t="inlineStr">
        <is>
          <t>02-3458-2800</t>
        </is>
      </c>
      <c r="O59" t="inlineStr">
        <is>
          <t>02-556-3523</t>
        </is>
      </c>
      <c r="P59">
        <f>HYPERLINK("http://www.kunwoneng.com", "http://www.kunwoneng.com")</f>
        <v/>
      </c>
      <c r="Q59" t="inlineStr">
        <is>
          <t>2208171530</t>
        </is>
      </c>
      <c r="R59" t="inlineStr">
        <is>
          <t>1101111820441</t>
        </is>
      </c>
      <c r="S59" t="inlineStr">
        <is>
          <t>대상아님</t>
        </is>
      </c>
      <c r="T59" t="inlineStr">
        <is>
          <t>일반법인</t>
        </is>
      </c>
      <c r="U59" t="inlineStr">
        <is>
          <t>중견기업</t>
        </is>
      </c>
      <c r="V59" t="inlineStr">
        <is>
          <t>외부감사대상</t>
        </is>
      </c>
      <c r="W59" s="6" t="inlineStr">
        <is>
          <t>1999-12-02</t>
        </is>
      </c>
      <c r="X59" t="inlineStr">
        <is>
          <t>KRI:10M7211100</t>
        </is>
      </c>
      <c r="Y59" t="inlineStr">
        <is>
          <t>건축설계 및 관련 서비스업</t>
        </is>
      </c>
      <c r="Z59" t="inlineStr">
        <is>
          <t>건축 시공감리,설계,엔지니어링</t>
        </is>
      </c>
      <c r="AA59" t="inlineStr">
        <is>
          <t>서울 송파구 문정동 651번지 문정역테라타워1 B동 1606호</t>
        </is>
      </c>
      <c r="AB59" t="inlineStr">
        <is>
          <t>서울 송파구 송파대로 167, B동 1606호 (문정동,문정역테라타워1)</t>
        </is>
      </c>
    </row>
    <row r="60" ht="19.2" customHeight="1" s="1">
      <c r="A60" t="inlineStr">
        <is>
          <t>NICE:060579</t>
        </is>
      </c>
      <c r="B60" t="inlineStr">
        <is>
          <t>좋은책신사고</t>
        </is>
      </c>
      <c r="C60" s="5" t="n">
        <v>311301390000</v>
      </c>
      <c r="D60" s="5" t="n">
        <v>41736072000</v>
      </c>
      <c r="E60" s="5" t="n">
        <v>269565318000</v>
      </c>
      <c r="F60" s="5" t="n">
        <v>49534194000</v>
      </c>
      <c r="G60" s="5" t="n">
        <v>7552745000</v>
      </c>
      <c r="H60" s="5" t="n">
        <v>55535539000</v>
      </c>
      <c r="I60" s="5" t="n">
        <v>17639149000</v>
      </c>
      <c r="J60" s="4" t="n">
        <v>29.79949951171875</v>
      </c>
      <c r="K60" s="4" t="n">
        <v>0.1547999978065491</v>
      </c>
      <c r="L60" s="4" t="n">
        <v>0.1525000035762787</v>
      </c>
      <c r="M60" t="inlineStr">
        <is>
          <t>홍범준</t>
        </is>
      </c>
      <c r="N60" t="inlineStr">
        <is>
          <t>1661-5590</t>
        </is>
      </c>
      <c r="O60" t="inlineStr">
        <is>
          <t>02-3481-3012</t>
        </is>
      </c>
      <c r="P60" s="3">
        <f>HYPERLINK("http://www.sinsago.co.kr", "http://www.sinsago.co.kr")</f>
        <v/>
      </c>
      <c r="Q60" t="inlineStr">
        <is>
          <t>1208151097</t>
        </is>
      </c>
      <c r="R60" t="inlineStr">
        <is>
          <t>1101111163437</t>
        </is>
      </c>
      <c r="S60" t="inlineStr">
        <is>
          <t>대상아님</t>
        </is>
      </c>
      <c r="T60" t="inlineStr">
        <is>
          <t>일반법인</t>
        </is>
      </c>
      <c r="U60" t="inlineStr">
        <is>
          <t>중소기업</t>
        </is>
      </c>
      <c r="V60" t="inlineStr">
        <is>
          <t>외부감사대상</t>
        </is>
      </c>
      <c r="W60" s="6" t="inlineStr">
        <is>
          <t>1995-06-02</t>
        </is>
      </c>
      <c r="X60" t="inlineStr">
        <is>
          <t>KRI:10J5811100</t>
        </is>
      </c>
      <c r="Y60" t="inlineStr">
        <is>
          <t>교과서 및 학습서적 출판업</t>
        </is>
      </c>
      <c r="Z60" t="inlineStr">
        <is>
          <t>출판,조판,제판/주차장 운영/부동산 임대/디자인,인터넷교육컨텐츠 개발,기획,광고,온라인교육정보제공/온라인학원,보습학원</t>
        </is>
      </c>
      <c r="AA60" t="inlineStr">
        <is>
          <t>서울 강서구 마곡동 776-6번지</t>
        </is>
      </c>
      <c r="AB60" t="inlineStr">
        <is>
          <t>서울 강서구 강서로 463</t>
        </is>
      </c>
    </row>
    <row r="61" s="1">
      <c r="A61" t="inlineStr">
        <is>
          <t>NICE:H24372</t>
        </is>
      </c>
      <c r="B61" t="inlineStr">
        <is>
          <t>코코스팩</t>
        </is>
      </c>
      <c r="C61" s="5" t="n">
        <v>95990306000</v>
      </c>
      <c r="D61" s="5" t="n">
        <v>52439339000</v>
      </c>
      <c r="E61" s="5" t="n">
        <v>43550967000</v>
      </c>
      <c r="F61" s="5" t="n">
        <v>138154426000</v>
      </c>
      <c r="G61" s="5" t="n">
        <v>15716186000</v>
      </c>
      <c r="H61" s="5" t="n">
        <v>98171567000</v>
      </c>
      <c r="I61" s="5" t="n">
        <v>16719212000</v>
      </c>
      <c r="J61" s="4" t="n">
        <v>1.883499979972839</v>
      </c>
      <c r="K61" s="4" t="n">
        <v>1.204100012779236</v>
      </c>
      <c r="L61" s="4" t="n">
        <v>0.1137999966740608</v>
      </c>
      <c r="M61" t="inlineStr">
        <is>
          <t>임성민/정대우</t>
        </is>
      </c>
      <c r="N61" t="inlineStr">
        <is>
          <t>031-427-7831</t>
        </is>
      </c>
      <c r="O61" t="inlineStr">
        <is>
          <t>031-357-2831</t>
        </is>
      </c>
      <c r="P61">
        <f>HYPERLINK("http://www.cocospack.com", "http://www.cocospack.com")</f>
        <v/>
      </c>
      <c r="Q61" t="inlineStr">
        <is>
          <t>1238621729</t>
        </is>
      </c>
      <c r="R61" t="inlineStr">
        <is>
          <t>1351110098264</t>
        </is>
      </c>
      <c r="S61" t="inlineStr">
        <is>
          <t>대상아님</t>
        </is>
      </c>
      <c r="T61" t="inlineStr">
        <is>
          <t>일반법인</t>
        </is>
      </c>
      <c r="U61" t="inlineStr">
        <is>
          <t>중소기업</t>
        </is>
      </c>
      <c r="V61" t="inlineStr">
        <is>
          <t>외부감사대상</t>
        </is>
      </c>
      <c r="W61" s="6" t="inlineStr">
        <is>
          <t>2010-04-01</t>
        </is>
      </c>
      <c r="X61" t="inlineStr">
        <is>
          <t>KRI:10C2223200</t>
        </is>
      </c>
      <c r="Y61" t="inlineStr">
        <is>
          <t>포장용 플라스틱 성형용기 제조업</t>
        </is>
      </c>
      <c r="Z61" t="inlineStr">
        <is>
          <t>화장품용기,플라스틱 사출 제조</t>
        </is>
      </c>
      <c r="AA61" t="inlineStr">
        <is>
          <t>경기 화성시 만세구 남양읍 신남리 1571번지</t>
        </is>
      </c>
      <c r="AB61" t="inlineStr">
        <is>
          <t>경기 화성시 만세구 남양읍 신남로 341-17</t>
        </is>
      </c>
    </row>
    <row r="62" ht="19.2" customHeight="1" s="1">
      <c r="A62" t="inlineStr">
        <is>
          <t>NICE:032054</t>
        </is>
      </c>
      <c r="B62" t="inlineStr">
        <is>
          <t>우창건설</t>
        </is>
      </c>
      <c r="C62" s="5" t="n">
        <v>34179392000</v>
      </c>
      <c r="D62" s="5" t="n">
        <v>8742759000</v>
      </c>
      <c r="E62" s="5" t="n">
        <v>25436632000</v>
      </c>
      <c r="F62" s="5" t="n">
        <v>46130364000</v>
      </c>
      <c r="G62" s="5" t="n">
        <v>7810096000</v>
      </c>
      <c r="H62" s="5" t="n">
        <v>36033566000</v>
      </c>
      <c r="I62" s="5" t="n">
        <v>3113830000</v>
      </c>
      <c r="J62" s="4" t="n">
        <v>3.499399900436401</v>
      </c>
      <c r="K62" s="4" t="n">
        <v>0.3436999917030334</v>
      </c>
      <c r="L62" s="4" t="n">
        <v>0.1693000048398972</v>
      </c>
      <c r="M62" t="inlineStr">
        <is>
          <t>서규석/서종범</t>
        </is>
      </c>
      <c r="N62" t="inlineStr">
        <is>
          <t>02-2631-2090</t>
        </is>
      </c>
      <c r="O62" t="inlineStr">
        <is>
          <t>02-2631-2184</t>
        </is>
      </c>
      <c r="P62" s="3" t="n"/>
      <c r="Q62" t="inlineStr">
        <is>
          <t>1078146155</t>
        </is>
      </c>
      <c r="R62" t="inlineStr">
        <is>
          <t>1101111053844</t>
        </is>
      </c>
      <c r="S62" t="inlineStr">
        <is>
          <t>대상아님</t>
        </is>
      </c>
      <c r="T62" t="inlineStr">
        <is>
          <t>일반법인</t>
        </is>
      </c>
      <c r="U62" t="inlineStr">
        <is>
          <t>중소기업</t>
        </is>
      </c>
      <c r="V62" t="inlineStr">
        <is>
          <t>외부감사대상</t>
        </is>
      </c>
      <c r="W62" s="6" t="inlineStr">
        <is>
          <t>1994-07-05</t>
        </is>
      </c>
      <c r="X62" t="inlineStr">
        <is>
          <t>KRI:10F4212200</t>
        </is>
      </c>
      <c r="Y62" t="inlineStr">
        <is>
          <t>보링, 그라우팅 및 관정 공사업</t>
        </is>
      </c>
      <c r="Z62" t="inlineStr">
        <is>
          <t>보링그라우팅공사,비계형틀공사,비계구조물해체공사,토공사,하도급공사,중장비 대여/철강,철강류제품 제조,판매/무역</t>
        </is>
      </c>
      <c r="AA62" t="inlineStr">
        <is>
          <t>서울 강서구 마곡동 798-14번지 엠시그니처 903호</t>
        </is>
      </c>
      <c r="AB62" t="inlineStr">
        <is>
          <t>서울 강서구 마곡중앙1로 20, 903호 (마곡동,엠시그니처)</t>
        </is>
      </c>
    </row>
    <row r="63" ht="19.2" customHeight="1" s="1">
      <c r="A63" t="inlineStr">
        <is>
          <t>NICE:C80784</t>
        </is>
      </c>
      <c r="B63" t="inlineStr">
        <is>
          <t>대웅바이오</t>
        </is>
      </c>
      <c r="C63" s="5" t="n">
        <v>712638939000</v>
      </c>
      <c r="D63" s="5" t="n">
        <v>245598218000</v>
      </c>
      <c r="E63" s="5" t="n">
        <v>467040721000</v>
      </c>
      <c r="F63" s="5" t="n">
        <v>641338730000</v>
      </c>
      <c r="G63" s="5" t="n">
        <v>73933284000</v>
      </c>
      <c r="H63" s="5" t="n">
        <v>579582683000</v>
      </c>
      <c r="I63" s="5" t="n">
        <v>80469608000</v>
      </c>
      <c r="J63" s="4" t="n">
        <v>1.413599967956543</v>
      </c>
      <c r="K63" s="4" t="n">
        <v>0.5259000062942505</v>
      </c>
      <c r="L63" s="4" t="n">
        <v>0.1152999922633171</v>
      </c>
      <c r="M63" t="inlineStr">
        <is>
          <t>진성곤</t>
        </is>
      </c>
      <c r="N63" t="inlineStr">
        <is>
          <t>02-550-8338</t>
        </is>
      </c>
      <c r="O63" t="inlineStr">
        <is>
          <t>02-550-8048</t>
        </is>
      </c>
      <c r="P63" s="3">
        <f>HYPERLINK("http://www.daewoongbio.co.kr", "http://www.daewoongbio.co.kr")</f>
        <v/>
      </c>
      <c r="Q63" t="inlineStr">
        <is>
          <t>1248677584</t>
        </is>
      </c>
      <c r="R63" t="inlineStr">
        <is>
          <t>1348110172221</t>
        </is>
      </c>
      <c r="S63" t="inlineStr">
        <is>
          <t>대상아님</t>
        </is>
      </c>
      <c r="T63" t="inlineStr">
        <is>
          <t>일반법인</t>
        </is>
      </c>
      <c r="U63" t="inlineStr">
        <is>
          <t>중견기업</t>
        </is>
      </c>
      <c r="V63" t="inlineStr">
        <is>
          <t>외부감사대상</t>
        </is>
      </c>
      <c r="W63" s="6" t="inlineStr">
        <is>
          <t>2009-04-02</t>
        </is>
      </c>
      <c r="X63" t="inlineStr">
        <is>
          <t>KRI:10C2110100</t>
        </is>
      </c>
      <c r="Y63" t="inlineStr">
        <is>
          <t>의약용 화합물 및 항생물질 제조업</t>
        </is>
      </c>
      <c r="Z63" t="inlineStr">
        <is>
          <t>의약용화합물 제조</t>
        </is>
      </c>
      <c r="AA63" t="inlineStr">
        <is>
          <t>경기 화성시 만세구 향남읍 상신리 906-5번지</t>
        </is>
      </c>
      <c r="AB63" t="inlineStr">
        <is>
          <t>경기 화성시 만세구 향남읍 제약공단4길 35-9</t>
        </is>
      </c>
    </row>
    <row r="64" ht="19.2" customHeight="1" s="1">
      <c r="A64" t="inlineStr">
        <is>
          <t>NICE:C16786</t>
        </is>
      </c>
      <c r="B64" t="inlineStr">
        <is>
          <t>울프</t>
        </is>
      </c>
      <c r="C64" s="5" t="n">
        <v>70440610000</v>
      </c>
      <c r="D64" s="5" t="n">
        <v>30323751000</v>
      </c>
      <c r="E64" s="5" t="n">
        <v>40116859000</v>
      </c>
      <c r="F64" s="5" t="n">
        <v>66626115000</v>
      </c>
      <c r="G64" s="5" t="n">
        <v>10171020000</v>
      </c>
      <c r="H64" s="5" t="n">
        <v>80324695000</v>
      </c>
      <c r="I64" s="5" t="n">
        <v>9975346000</v>
      </c>
      <c r="J64" s="4" t="n">
        <v>1.384199976921082</v>
      </c>
      <c r="K64" s="4" t="n">
        <v>0.755899965763092</v>
      </c>
      <c r="L64" s="4" t="n">
        <v>0.1527000069618225</v>
      </c>
      <c r="M64" t="inlineStr">
        <is>
          <t>이상찬</t>
        </is>
      </c>
      <c r="N64" t="inlineStr">
        <is>
          <t>052-256-9502</t>
        </is>
      </c>
      <c r="O64" t="inlineStr">
        <is>
          <t>052-256-9504</t>
        </is>
      </c>
      <c r="P64" s="3">
        <f>HYPERLINK("http://www.ulp99.com", "http://www.ulp99.com")</f>
        <v/>
      </c>
      <c r="Q64" t="inlineStr">
        <is>
          <t>6108184276</t>
        </is>
      </c>
      <c r="R64" t="inlineStr">
        <is>
          <t>2301110126407</t>
        </is>
      </c>
      <c r="S64" t="inlineStr">
        <is>
          <t>대상아님</t>
        </is>
      </c>
      <c r="T64" t="inlineStr">
        <is>
          <t>일반법인</t>
        </is>
      </c>
      <c r="U64" t="inlineStr">
        <is>
          <t>중소기업</t>
        </is>
      </c>
      <c r="V64" t="inlineStr">
        <is>
          <t>외부감사대상</t>
        </is>
      </c>
      <c r="W64" s="6" t="inlineStr">
        <is>
          <t>2006-10-20</t>
        </is>
      </c>
      <c r="X64" t="inlineStr">
        <is>
          <t>KRI:10C2512000</t>
        </is>
      </c>
      <c r="Y64" t="inlineStr">
        <is>
          <t>산업용 난방보일러, 금속탱크 및 유사 용기 제조업</t>
        </is>
      </c>
      <c r="Z64" t="inlineStr">
        <is>
          <t>산업용보일러,플랜트 제조,설치/압력용기,철구조물 제조/가스시설시공/무역</t>
        </is>
      </c>
      <c r="AA64" t="inlineStr">
        <is>
          <t>울산 울주군 온산읍 처용리 648번지</t>
        </is>
      </c>
      <c r="AB64" t="inlineStr">
        <is>
          <t>울산 울주군 온산읍 처용산업3길 12</t>
        </is>
      </c>
    </row>
    <row r="65" s="1">
      <c r="A65" t="inlineStr">
        <is>
          <t>NICE:010218</t>
        </is>
      </c>
      <c r="B65" t="inlineStr">
        <is>
          <t>세웅플랜트</t>
        </is>
      </c>
      <c r="C65" s="5" t="n">
        <v>52597222000</v>
      </c>
      <c r="D65" s="5" t="n">
        <v>7935741000</v>
      </c>
      <c r="E65" s="5" t="n">
        <v>44661481000</v>
      </c>
      <c r="F65" s="5" t="n">
        <v>44089321000</v>
      </c>
      <c r="G65" s="5" t="n">
        <v>6710903000</v>
      </c>
      <c r="H65" s="5" t="n">
        <v>50133939000</v>
      </c>
      <c r="I65" s="5" t="n">
        <v>8486150000</v>
      </c>
      <c r="J65" s="4" t="n">
        <v>7.136899948120117</v>
      </c>
      <c r="K65" s="4" t="n">
        <v>0.1776999980211258</v>
      </c>
      <c r="L65" s="4" t="n">
        <v>0.152199998497963</v>
      </c>
      <c r="M65" t="inlineStr">
        <is>
          <t>이희영</t>
        </is>
      </c>
      <c r="N65" t="inlineStr">
        <is>
          <t>02-467-2141</t>
        </is>
      </c>
      <c r="O65" t="inlineStr">
        <is>
          <t>02-467-2170</t>
        </is>
      </c>
      <c r="P65">
        <f>HYPERLINK("http://www.swplant.com", "http://www.swplant.com")</f>
        <v/>
      </c>
      <c r="Q65" t="inlineStr">
        <is>
          <t>1208157709</t>
        </is>
      </c>
      <c r="R65" t="inlineStr">
        <is>
          <t>1101111229461</t>
        </is>
      </c>
      <c r="S65" t="inlineStr">
        <is>
          <t>대상아님</t>
        </is>
      </c>
      <c r="T65" t="inlineStr">
        <is>
          <t>일반법인</t>
        </is>
      </c>
      <c r="U65" t="inlineStr">
        <is>
          <t>중소기업</t>
        </is>
      </c>
      <c r="V65" t="inlineStr">
        <is>
          <t>외부감사대상</t>
        </is>
      </c>
      <c r="W65" s="6" t="inlineStr">
        <is>
          <t>1992-11-01</t>
        </is>
      </c>
      <c r="X65" t="inlineStr">
        <is>
          <t>KRI:10G4659900</t>
        </is>
      </c>
      <c r="Y65" t="inlineStr">
        <is>
          <t>그 외 기타 기계 및 장비 도매업</t>
        </is>
      </c>
      <c r="Z65" t="inlineStr">
        <is>
          <t>플랜트기자재(유공압 펌프,유압테스트벤치,유압유니트,유압밸브스탠드) 도매,제조/무역/부동산 임대</t>
        </is>
      </c>
      <c r="AA65" t="inlineStr">
        <is>
          <t>서울 성동구 성수동2가 308-4번지 코오롱디지털타워1차 1001호 ,1002호,1003호,1004호</t>
        </is>
      </c>
      <c r="AB65" t="inlineStr">
        <is>
          <t>서울 성동구 성수일로4길 25, 1001호 ,1002호,1003호,1004호 (성수동2가,코오롱디지털타워1차)</t>
        </is>
      </c>
    </row>
    <row r="66" ht="19.2" customHeight="1" s="1">
      <c r="A66" t="inlineStr">
        <is>
          <t>NICE:F21024</t>
        </is>
      </c>
      <c r="B66" t="inlineStr">
        <is>
          <t>이원생명과학연구원</t>
        </is>
      </c>
      <c r="C66" s="5" t="n">
        <v>37557646000</v>
      </c>
      <c r="D66" s="5" t="n">
        <v>23443728000</v>
      </c>
      <c r="E66" s="5" t="n">
        <v>14113918000</v>
      </c>
      <c r="F66" s="5" t="n">
        <v>24058584000</v>
      </c>
      <c r="G66" s="5" t="n">
        <v>12023889000</v>
      </c>
      <c r="H66" s="5" t="n">
        <v>18464812000</v>
      </c>
      <c r="I66" s="5" t="n">
        <v>7628824000</v>
      </c>
      <c r="J66" s="4" t="n">
        <v>0.8073000311851501</v>
      </c>
      <c r="K66" s="4" t="n">
        <v>1.66100001335144</v>
      </c>
      <c r="L66" s="4" t="n">
        <v>0.4997999966144562</v>
      </c>
      <c r="M66" t="inlineStr">
        <is>
          <t>이남식</t>
        </is>
      </c>
      <c r="N66" t="inlineStr">
        <is>
          <t>032-237-7643</t>
        </is>
      </c>
      <c r="O66" t="inlineStr">
        <is>
          <t>032-237-7645</t>
        </is>
      </c>
      <c r="P66" s="3">
        <f>HYPERLINK("http://www.eonels.com", "http://www.eonels.com")</f>
        <v/>
      </c>
      <c r="Q66" t="inlineStr">
        <is>
          <t>1318621832</t>
        </is>
      </c>
      <c r="R66" t="inlineStr">
        <is>
          <t>1201110527624</t>
        </is>
      </c>
      <c r="S66" t="inlineStr">
        <is>
          <t>대상아님</t>
        </is>
      </c>
      <c r="T66" t="inlineStr">
        <is>
          <t>일반법인</t>
        </is>
      </c>
      <c r="U66" t="inlineStr">
        <is>
          <t>중소기업</t>
        </is>
      </c>
      <c r="V66" t="inlineStr">
        <is>
          <t>외부감사대상</t>
        </is>
      </c>
      <c r="W66" s="6" t="inlineStr">
        <is>
          <t>2010-03-30</t>
        </is>
      </c>
      <c r="X66" t="inlineStr">
        <is>
          <t>KRI:10M7011300</t>
        </is>
      </c>
      <c r="Y66" t="inlineStr">
        <is>
          <t>의학 및 약학 연구개발업</t>
        </is>
      </c>
      <c r="Z66" t="inlineStr">
        <is>
          <t>의학,바이오 연구개발</t>
        </is>
      </c>
      <c r="AA66" t="inlineStr">
        <is>
          <t>인천 연수구 송도동 13-49번지</t>
        </is>
      </c>
      <c r="AB66" t="inlineStr">
        <is>
          <t>인천 연수구 하모니로 291</t>
        </is>
      </c>
    </row>
    <row r="67" ht="19.2" customHeight="1" s="1">
      <c r="A67" t="inlineStr">
        <is>
          <t>NICE:E57489</t>
        </is>
      </c>
      <c r="B67" t="inlineStr">
        <is>
          <t>한민</t>
        </is>
      </c>
      <c r="C67" s="5" t="n">
        <v>67152763000</v>
      </c>
      <c r="D67" s="5" t="n">
        <v>24898080000</v>
      </c>
      <c r="E67" s="5" t="n">
        <v>42254683000</v>
      </c>
      <c r="F67" s="5" t="n">
        <v>116171881000</v>
      </c>
      <c r="G67" s="5" t="n">
        <v>17067391000</v>
      </c>
      <c r="H67" s="5" t="n">
        <v>79397342000</v>
      </c>
      <c r="I67" s="5" t="n">
        <v>13890559000</v>
      </c>
      <c r="J67" s="4" t="n">
        <v>3.092600107192993</v>
      </c>
      <c r="K67" s="4" t="n">
        <v>0.589199960231781</v>
      </c>
      <c r="L67" s="4" t="n">
        <v>0.1468999981880188</v>
      </c>
      <c r="M67" t="inlineStr">
        <is>
          <t>김재찬</t>
        </is>
      </c>
      <c r="N67" t="inlineStr">
        <is>
          <t>041-532-8195</t>
        </is>
      </c>
      <c r="O67" t="inlineStr">
        <is>
          <t>041-532-8198</t>
        </is>
      </c>
      <c r="P67" s="3">
        <f>HYPERLINK("http://www.hanminesg.com", "http://www.hanminesg.com")</f>
        <v/>
      </c>
      <c r="Q67" t="inlineStr">
        <is>
          <t>3128639659</t>
        </is>
      </c>
      <c r="R67" t="inlineStr">
        <is>
          <t>1648110065967</t>
        </is>
      </c>
      <c r="S67" t="inlineStr">
        <is>
          <t>대상아님</t>
        </is>
      </c>
      <c r="T67" t="inlineStr">
        <is>
          <t>일반법인</t>
        </is>
      </c>
      <c r="U67" t="inlineStr">
        <is>
          <t>중소기업</t>
        </is>
      </c>
      <c r="V67" t="inlineStr">
        <is>
          <t>외부감사대상</t>
        </is>
      </c>
      <c r="W67" s="6" t="inlineStr">
        <is>
          <t>2012-05-10</t>
        </is>
      </c>
      <c r="X67" t="inlineStr">
        <is>
          <t>KRI:10C2421900</t>
        </is>
      </c>
      <c r="Y67" t="inlineStr">
        <is>
          <t>기타 비철금속 제련, 정련 및 합금 제조업</t>
        </is>
      </c>
      <c r="Z67" t="inlineStr">
        <is>
          <t>귀금속정련,도시광산,전자부품,반도체소자 제조/비철금속,반도체장비,부품,생필품잡화 도소매,무역</t>
        </is>
      </c>
      <c r="AA67" t="inlineStr">
        <is>
          <t>충남 아산시 둔포면 신항리 35-1번지</t>
        </is>
      </c>
      <c r="AB67" t="inlineStr">
        <is>
          <t>충남 아산시 둔포면 해위안길 82-10</t>
        </is>
      </c>
    </row>
    <row r="68" ht="19.2" customHeight="1" s="1">
      <c r="A68" t="inlineStr">
        <is>
          <t>NICE:091803</t>
        </is>
      </c>
      <c r="B68" t="inlineStr">
        <is>
          <t>씨케이디한국</t>
        </is>
      </c>
      <c r="C68" s="5" t="n">
        <v>37481900000</v>
      </c>
      <c r="D68" s="5" t="n">
        <v>3661595000</v>
      </c>
      <c r="E68" s="5" t="n">
        <v>33820304000</v>
      </c>
      <c r="F68" s="5" t="n">
        <v>66931076000</v>
      </c>
      <c r="G68" s="5" t="n">
        <v>6907784000</v>
      </c>
      <c r="H68" s="5" t="n">
        <v>55993022000</v>
      </c>
      <c r="I68" s="5" t="n">
        <v>2812747000</v>
      </c>
      <c r="J68" s="4" t="n">
        <v>9.334500312805176</v>
      </c>
      <c r="K68" s="4" t="n">
        <v>0.1083000004291534</v>
      </c>
      <c r="L68" s="4" t="n">
        <v>0.1031999960541725</v>
      </c>
      <c r="M68" t="inlineStr">
        <is>
          <t>우에노아키히로</t>
        </is>
      </c>
      <c r="N68" t="inlineStr">
        <is>
          <t>02-783-5201</t>
        </is>
      </c>
      <c r="O68" t="inlineStr">
        <is>
          <t>02-783-5204</t>
        </is>
      </c>
      <c r="P68" s="3">
        <f>HYPERLINK("http://www.ckdkorea.co.kr", "http://www.ckdkorea.co.kr")</f>
        <v/>
      </c>
      <c r="Q68" t="inlineStr">
        <is>
          <t>1058642880</t>
        </is>
      </c>
      <c r="R68" t="inlineStr">
        <is>
          <t>1101112580953</t>
        </is>
      </c>
      <c r="S68" t="inlineStr">
        <is>
          <t>대상아님</t>
        </is>
      </c>
      <c r="T68" t="inlineStr">
        <is>
          <t>일반법인</t>
        </is>
      </c>
      <c r="U68" t="inlineStr">
        <is>
          <t>중견기업</t>
        </is>
      </c>
      <c r="V68" t="inlineStr">
        <is>
          <t>외부감사대상</t>
        </is>
      </c>
      <c r="W68" s="6" t="inlineStr">
        <is>
          <t>2002-08-01</t>
        </is>
      </c>
      <c r="X68" t="inlineStr">
        <is>
          <t>KRI:10G4659900</t>
        </is>
      </c>
      <c r="Y68" t="inlineStr">
        <is>
          <t>그 외 기타 기계 및 장비 도매업</t>
        </is>
      </c>
      <c r="Z68" t="inlineStr">
        <is>
          <t>공유압제어기기관련시스템,공유압제어기기관련시스템 도소매</t>
        </is>
      </c>
      <c r="AA68" t="inlineStr">
        <is>
          <t>서울 마포구 신수동 371-20번지 삼영빌딩 3층</t>
        </is>
      </c>
      <c r="AB68" t="inlineStr">
        <is>
          <t>서울 마포구 신수로 44, 3층 (신수동,삼영빌딩)</t>
        </is>
      </c>
    </row>
    <row r="69" ht="19.2" customHeight="1" s="1">
      <c r="A69" t="inlineStr">
        <is>
          <t>NICE:IV1378</t>
        </is>
      </c>
      <c r="B69" t="inlineStr">
        <is>
          <t>천호엔지니어링</t>
        </is>
      </c>
      <c r="C69" s="5" t="n">
        <v>7591782000</v>
      </c>
      <c r="D69" s="5" t="n">
        <v>5150791000</v>
      </c>
      <c r="E69" s="5" t="n">
        <v>2440991000</v>
      </c>
      <c r="F69" s="5" t="n">
        <v>22080907000</v>
      </c>
      <c r="G69" s="5" t="n">
        <v>2218658000</v>
      </c>
      <c r="H69" s="5" t="n">
        <v>17035072000</v>
      </c>
      <c r="I69" s="5" t="n">
        <v>1484776000</v>
      </c>
      <c r="J69" s="4" t="n">
        <v>1.224699974060059</v>
      </c>
      <c r="K69" s="4" t="n">
        <v>2.110099792480469</v>
      </c>
      <c r="L69" s="4" t="n">
        <v>0.1005000025033951</v>
      </c>
      <c r="M69" t="inlineStr">
        <is>
          <t>이제태</t>
        </is>
      </c>
      <c r="N69" t="inlineStr">
        <is>
          <t>070-7510-5825</t>
        </is>
      </c>
      <c r="O69" t="inlineStr">
        <is>
          <t>070-7547-5826</t>
        </is>
      </c>
      <c r="P69" s="3" t="n"/>
      <c r="Q69" t="inlineStr">
        <is>
          <t>6418100848</t>
        </is>
      </c>
      <c r="R69" t="inlineStr">
        <is>
          <t>1101116538437</t>
        </is>
      </c>
      <c r="S69" t="inlineStr">
        <is>
          <t>대상아님</t>
        </is>
      </c>
      <c r="T69" t="inlineStr">
        <is>
          <t>일반법인</t>
        </is>
      </c>
      <c r="U69" t="inlineStr">
        <is>
          <t>중소기업</t>
        </is>
      </c>
      <c r="V69" t="inlineStr">
        <is>
          <t>외부감사비대상</t>
        </is>
      </c>
      <c r="W69" s="6" t="inlineStr">
        <is>
          <t>2017-10-16</t>
        </is>
      </c>
      <c r="X69" t="inlineStr">
        <is>
          <t>KRI:10F4211000</t>
        </is>
      </c>
      <c r="Y69" t="inlineStr">
        <is>
          <t>건물 및 구축물 해체 공사업</t>
        </is>
      </c>
      <c r="Z69" t="inlineStr">
        <is>
          <t>비계구조물해체공사,석면해체제거/건설장비 임대</t>
        </is>
      </c>
      <c r="AA69" t="inlineStr">
        <is>
          <t>서울 서초구 방배동 895-1번지 양지빌딩2 2층</t>
        </is>
      </c>
      <c r="AB69" t="inlineStr">
        <is>
          <t>서울 서초구 서초대로 118, 2층 (방배동,양지빌딩2)</t>
        </is>
      </c>
    </row>
    <row r="70" ht="19.2" customHeight="1" s="1">
      <c r="A70" t="inlineStr">
        <is>
          <t>NICE:379034</t>
        </is>
      </c>
      <c r="B70" t="inlineStr">
        <is>
          <t>건화기업</t>
        </is>
      </c>
      <c r="C70" s="5" t="n">
        <v>153452007000</v>
      </c>
      <c r="D70" s="5" t="n">
        <v>52521540000</v>
      </c>
      <c r="E70" s="5" t="n">
        <v>100930467000</v>
      </c>
      <c r="F70" s="5" t="n">
        <v>30484631000</v>
      </c>
      <c r="G70" s="5" t="n">
        <v>9067640000</v>
      </c>
      <c r="H70" s="5" t="n">
        <v>23921499000</v>
      </c>
      <c r="I70" s="5" t="n">
        <v>3260079000</v>
      </c>
      <c r="J70" s="4" t="n">
        <v>0.557699978351593</v>
      </c>
      <c r="K70" s="4" t="n">
        <v>0.5203999876976013</v>
      </c>
      <c r="L70" s="4" t="n">
        <v>0.2973999977111816</v>
      </c>
      <c r="M70" t="inlineStr">
        <is>
          <t>이수우</t>
        </is>
      </c>
      <c r="N70" t="inlineStr">
        <is>
          <t>055-264-3400</t>
        </is>
      </c>
      <c r="O70" t="inlineStr">
        <is>
          <t>055-264-2084</t>
        </is>
      </c>
      <c r="P70" s="3" t="n"/>
      <c r="Q70" t="inlineStr">
        <is>
          <t>6098116176</t>
        </is>
      </c>
      <c r="R70" t="inlineStr">
        <is>
          <t>1942110012287</t>
        </is>
      </c>
      <c r="S70" t="inlineStr">
        <is>
          <t>대상아님</t>
        </is>
      </c>
      <c r="T70" t="inlineStr">
        <is>
          <t>일반법인</t>
        </is>
      </c>
      <c r="U70" t="inlineStr">
        <is>
          <t>중견기업</t>
        </is>
      </c>
      <c r="V70" t="inlineStr">
        <is>
          <t>외부감사대상</t>
        </is>
      </c>
      <c r="W70" s="6" t="inlineStr">
        <is>
          <t>1993-02-05</t>
        </is>
      </c>
      <c r="X70" t="inlineStr">
        <is>
          <t>KRI:10G4679100</t>
        </is>
      </c>
      <c r="Y70" t="inlineStr">
        <is>
          <t>재생용 재료 수집 및 판매업</t>
        </is>
      </c>
      <c r="Z70" t="inlineStr">
        <is>
          <t>고철,재류의 절단가공 판매</t>
        </is>
      </c>
      <c r="AA70" t="inlineStr">
        <is>
          <t>경남 창원시 성산구 신촌동 66-14번지</t>
        </is>
      </c>
      <c r="AB70" t="inlineStr">
        <is>
          <t>경남 창원시 성산구 적현로 144</t>
        </is>
      </c>
    </row>
    <row r="71" s="1">
      <c r="A71" t="inlineStr">
        <is>
          <t>NICE:179992</t>
        </is>
      </c>
      <c r="B71" t="inlineStr">
        <is>
          <t>아마존카</t>
        </is>
      </c>
      <c r="C71" s="5" t="n">
        <v>633404419000</v>
      </c>
      <c r="D71" s="5" t="n">
        <v>535770013000</v>
      </c>
      <c r="E71" s="5" t="n">
        <v>97634407000</v>
      </c>
      <c r="F71" s="5" t="n">
        <v>234727100000</v>
      </c>
      <c r="G71" s="5" t="n">
        <v>44335454000</v>
      </c>
      <c r="H71" s="5" t="n">
        <v>217749080000</v>
      </c>
      <c r="I71" s="5" t="n">
        <v>29927930000</v>
      </c>
      <c r="J71" s="4" t="n">
        <v>0.08339999616146088</v>
      </c>
      <c r="K71" s="4" t="n">
        <v>5.487499713897705</v>
      </c>
      <c r="L71" s="4" t="n">
        <v>0.1888999938964844</v>
      </c>
      <c r="M71" t="inlineStr">
        <is>
          <t>조성희</t>
        </is>
      </c>
      <c r="N71" t="inlineStr">
        <is>
          <t>02-392-4243</t>
        </is>
      </c>
      <c r="O71" t="inlineStr">
        <is>
          <t>02-757-0803</t>
        </is>
      </c>
      <c r="P71">
        <f>HYPERLINK("http://www.amazoncar.co.kr", "http://www.amazoncar.co.kr")</f>
        <v/>
      </c>
      <c r="Q71" t="inlineStr">
        <is>
          <t>1288147957</t>
        </is>
      </c>
      <c r="R71" t="inlineStr">
        <is>
          <t>1156110019610</t>
        </is>
      </c>
      <c r="S71" t="inlineStr">
        <is>
          <t>대상아님</t>
        </is>
      </c>
      <c r="T71" t="inlineStr">
        <is>
          <t>일반법인</t>
        </is>
      </c>
      <c r="U71" t="inlineStr">
        <is>
          <t>중견기업</t>
        </is>
      </c>
      <c r="V71" t="inlineStr">
        <is>
          <t>외부감사대상</t>
        </is>
      </c>
      <c r="W71" s="6" t="inlineStr">
        <is>
          <t>2000-04-17</t>
        </is>
      </c>
      <c r="X71" t="inlineStr">
        <is>
          <t>KRI:10N7611000</t>
        </is>
      </c>
      <c r="Y71" t="inlineStr">
        <is>
          <t>자동차 임대업</t>
        </is>
      </c>
      <c r="Z71" t="inlineStr">
        <is>
          <t>자동차 대여,중고차 매매,수출/자동차관련 정보제공</t>
        </is>
      </c>
      <c r="AA71" t="inlineStr">
        <is>
          <t>서울 영등포구 여의도동 17-3번지 태흥빌딩 802호</t>
        </is>
      </c>
      <c r="AB71" t="inlineStr">
        <is>
          <t>서울 영등포구 의사당대로 8, 802호 (여의도동,태흥빌딩)</t>
        </is>
      </c>
    </row>
    <row r="72" ht="19.2" customHeight="1" s="1">
      <c r="A72" t="inlineStr">
        <is>
          <t>NICE:811238</t>
        </is>
      </c>
      <c r="B72" t="inlineStr">
        <is>
          <t>디에스디엘</t>
        </is>
      </c>
      <c r="C72" s="5" t="n">
        <v>124839336000</v>
      </c>
      <c r="D72" s="5" t="n">
        <v>100211393000</v>
      </c>
      <c r="E72" s="5" t="n">
        <v>24627943000</v>
      </c>
      <c r="F72" s="5" t="n">
        <v>48342482000</v>
      </c>
      <c r="G72" s="5" t="n">
        <v>8168099000</v>
      </c>
      <c r="H72" s="5" t="n">
        <v>71810361000</v>
      </c>
      <c r="I72" s="5" t="n">
        <v>12601610000</v>
      </c>
      <c r="J72" s="4" t="n">
        <v>0.1281000077724457</v>
      </c>
      <c r="K72" s="4" t="n">
        <v>4.068999767303467</v>
      </c>
      <c r="L72" s="4" t="n">
        <v>0.1689999997615814</v>
      </c>
      <c r="M72" t="inlineStr">
        <is>
          <t>조현강</t>
        </is>
      </c>
      <c r="N72" t="inlineStr">
        <is>
          <t>02-2098-0702</t>
        </is>
      </c>
      <c r="O72" t="inlineStr">
        <is>
          <t>02-775-5835</t>
        </is>
      </c>
      <c r="P72" s="3">
        <f>HYPERLINK("http://www.dsdl.co.kr", "http://www.dsdl.co.kr")</f>
        <v/>
      </c>
      <c r="Q72" t="inlineStr">
        <is>
          <t>1048112068</t>
        </is>
      </c>
      <c r="R72" t="inlineStr">
        <is>
          <t>1101110013229</t>
        </is>
      </c>
      <c r="S72" t="inlineStr">
        <is>
          <t>대상아님</t>
        </is>
      </c>
      <c r="T72" t="inlineStr">
        <is>
          <t>일반법인</t>
        </is>
      </c>
      <c r="U72" t="inlineStr">
        <is>
          <t>중소기업</t>
        </is>
      </c>
      <c r="V72" t="inlineStr">
        <is>
          <t>외부감사대상</t>
        </is>
      </c>
      <c r="W72" s="6" t="inlineStr">
        <is>
          <t>1963-12-04</t>
        </is>
      </c>
      <c r="X72" t="inlineStr">
        <is>
          <t>KRI:10I5510100</t>
        </is>
      </c>
      <c r="Y72" t="inlineStr">
        <is>
          <t>호텔업</t>
        </is>
      </c>
      <c r="Z72" t="inlineStr">
        <is>
          <t>호텔 운영/부동산 임대,주택분양</t>
        </is>
      </c>
      <c r="AA72" t="inlineStr">
        <is>
          <t>서울 중구 남대문로4가 17-7번지</t>
        </is>
      </c>
      <c r="AB72" t="inlineStr">
        <is>
          <t>서울 중구 세종대로 58</t>
        </is>
      </c>
    </row>
    <row r="73" ht="19.2" customHeight="1" s="1">
      <c r="A73" t="inlineStr">
        <is>
          <t>NICE:361216</t>
        </is>
      </c>
      <c r="B73" t="inlineStr">
        <is>
          <t>영신쿼츠</t>
        </is>
      </c>
      <c r="C73" s="5" t="n">
        <v>97973497000</v>
      </c>
      <c r="D73" s="5" t="n">
        <v>14514039000</v>
      </c>
      <c r="E73" s="5" t="n">
        <v>83459458000</v>
      </c>
      <c r="F73" s="5" t="n">
        <v>101684883000</v>
      </c>
      <c r="G73" s="5" t="n">
        <v>10271590000</v>
      </c>
      <c r="H73" s="5" t="n">
        <v>99426348000</v>
      </c>
      <c r="I73" s="5" t="n">
        <v>13868078000</v>
      </c>
      <c r="J73" s="4" t="n">
        <v>3.808199882507324</v>
      </c>
      <c r="K73" s="4" t="n">
        <v>0.1738999933004379</v>
      </c>
      <c r="L73" s="4" t="n">
        <v>0.101000003516674</v>
      </c>
      <c r="M73" t="inlineStr">
        <is>
          <t>랄프슈나이더/이정섭</t>
        </is>
      </c>
      <c r="N73" t="inlineStr">
        <is>
          <t>043-535-2338</t>
        </is>
      </c>
      <c r="O73" t="inlineStr">
        <is>
          <t>043-535-2337</t>
        </is>
      </c>
      <c r="P73" s="3">
        <f>HYPERLINK("http://www.ysq.co.kr", "http://www.ysq.co.kr")</f>
        <v/>
      </c>
      <c r="Q73" t="inlineStr">
        <is>
          <t>1048125433</t>
        </is>
      </c>
      <c r="R73" t="inlineStr">
        <is>
          <t>1101110391716</t>
        </is>
      </c>
      <c r="S73" t="inlineStr">
        <is>
          <t>대상아님</t>
        </is>
      </c>
      <c r="T73" t="inlineStr">
        <is>
          <t>일반법인</t>
        </is>
      </c>
      <c r="U73" t="inlineStr">
        <is>
          <t>중견기업</t>
        </is>
      </c>
      <c r="V73" t="inlineStr">
        <is>
          <t>외부감사대상</t>
        </is>
      </c>
      <c r="W73" s="6" t="inlineStr">
        <is>
          <t>1985-02-05</t>
        </is>
      </c>
      <c r="X73" t="inlineStr">
        <is>
          <t>KRI:10C2312900</t>
        </is>
      </c>
      <c r="Y73" t="inlineStr">
        <is>
          <t>기타 산업용 유리제품 제조업</t>
        </is>
      </c>
      <c r="Z73" t="inlineStr">
        <is>
          <t>석영유리제품 제조,도소매</t>
        </is>
      </c>
      <c r="AA73" t="inlineStr">
        <is>
          <t>충북 진천군 광혜원면 회죽리 149-3번지</t>
        </is>
      </c>
      <c r="AB73" t="inlineStr">
        <is>
          <t>충북 진천군 광혜원면 용소1길 9-2</t>
        </is>
      </c>
    </row>
    <row r="74" ht="19.2" customHeight="1" s="1">
      <c r="A74" t="inlineStr">
        <is>
          <t>NICE:610968</t>
        </is>
      </c>
      <c r="B74" t="inlineStr">
        <is>
          <t>한국청과</t>
        </is>
      </c>
      <c r="C74" s="5" t="n">
        <v>80717940000</v>
      </c>
      <c r="D74" s="5" t="n">
        <v>28535647000</v>
      </c>
      <c r="E74" s="5" t="n">
        <v>52182293000</v>
      </c>
      <c r="F74" s="5" t="n">
        <v>34560768000</v>
      </c>
      <c r="G74" s="5" t="n">
        <v>4611035000</v>
      </c>
      <c r="H74" s="5" t="n">
        <v>49778774000</v>
      </c>
      <c r="I74" s="5" t="n">
        <v>8142303000</v>
      </c>
      <c r="J74" s="4" t="n">
        <v>1.207599997520447</v>
      </c>
      <c r="K74" s="4" t="n">
        <v>0.5468000173568726</v>
      </c>
      <c r="L74" s="4" t="n">
        <v>0.1333999931812286</v>
      </c>
      <c r="M74" t="inlineStr">
        <is>
          <t>박상헌</t>
        </is>
      </c>
      <c r="N74" t="inlineStr">
        <is>
          <t>02-3435-1110</t>
        </is>
      </c>
      <c r="O74" t="inlineStr">
        <is>
          <t>02-3435-1112</t>
        </is>
      </c>
      <c r="P74" s="3">
        <f>HYPERLINK("http://www.hkck.co.kr", "http://www.hkck.co.kr")</f>
        <v/>
      </c>
      <c r="Q74" t="inlineStr">
        <is>
          <t>2158103573</t>
        </is>
      </c>
      <c r="R74" t="inlineStr">
        <is>
          <t>1101110245921</t>
        </is>
      </c>
      <c r="S74" t="inlineStr">
        <is>
          <t>대상아님</t>
        </is>
      </c>
      <c r="T74" t="inlineStr">
        <is>
          <t>일반법인</t>
        </is>
      </c>
      <c r="U74" t="inlineStr">
        <is>
          <t>중소기업</t>
        </is>
      </c>
      <c r="V74" t="inlineStr">
        <is>
          <t>외부감사대상</t>
        </is>
      </c>
      <c r="W74" s="6" t="inlineStr">
        <is>
          <t>1979-01-27</t>
        </is>
      </c>
      <c r="X74" t="inlineStr">
        <is>
          <t>KRI:10G4610200</t>
        </is>
      </c>
      <c r="Y74" t="inlineStr">
        <is>
          <t>음ㆍ식료품 및 담배 중개업</t>
        </is>
      </c>
      <c r="Z74" t="inlineStr">
        <is>
          <t>청과물 수탁판매,도매</t>
        </is>
      </c>
      <c r="AA74" t="inlineStr">
        <is>
          <t>서울 송파구 가락동 600번지</t>
        </is>
      </c>
      <c r="AB74" t="inlineStr">
        <is>
          <t>서울 송파구 양재대로 932</t>
        </is>
      </c>
    </row>
    <row r="75" s="1">
      <c r="A75" t="inlineStr">
        <is>
          <t>NICE:310867</t>
        </is>
      </c>
      <c r="B75" t="inlineStr">
        <is>
          <t>윈저글로벌</t>
        </is>
      </c>
      <c r="C75" s="5" t="n">
        <v>74452952000</v>
      </c>
      <c r="D75" s="5" t="n">
        <v>27052879000</v>
      </c>
      <c r="E75" s="5" t="n">
        <v>47400073000</v>
      </c>
      <c r="F75" s="5" t="n">
        <v>100698292000</v>
      </c>
      <c r="G75" s="5" t="n">
        <v>34166759000</v>
      </c>
      <c r="H75" s="5" t="n">
        <v>103218149000</v>
      </c>
      <c r="I75" s="5" t="n">
        <v>34094911000</v>
      </c>
      <c r="J75" s="4" t="n">
        <v>2.527799844741821</v>
      </c>
      <c r="K75" s="4" t="n">
        <v>0.5706999897956848</v>
      </c>
      <c r="L75" s="4" t="n">
        <v>0.3393000066280365</v>
      </c>
      <c r="M75" t="inlineStr">
        <is>
          <t>남경희</t>
        </is>
      </c>
      <c r="N75" t="inlineStr">
        <is>
          <t>031-630-7400</t>
        </is>
      </c>
      <c r="O75" t="inlineStr">
        <is>
          <t>031-636-5805</t>
        </is>
      </c>
      <c r="P75">
        <f>HYPERLINK("http://www.windsorglobal.co.kr", "http://www.windsorglobal.co.kr")</f>
        <v/>
      </c>
      <c r="Q75" t="inlineStr">
        <is>
          <t>1268101858</t>
        </is>
      </c>
      <c r="R75" t="inlineStr">
        <is>
          <t>1344110000545</t>
        </is>
      </c>
      <c r="S75" t="inlineStr">
        <is>
          <t>대상아님</t>
        </is>
      </c>
      <c r="T75" t="inlineStr">
        <is>
          <t>일반법인</t>
        </is>
      </c>
      <c r="U75" t="inlineStr">
        <is>
          <t>중견기업</t>
        </is>
      </c>
      <c r="V75" t="inlineStr">
        <is>
          <t>외부감사대상</t>
        </is>
      </c>
      <c r="W75" s="6" t="inlineStr">
        <is>
          <t>1980-05-03</t>
        </is>
      </c>
      <c r="X75" t="inlineStr">
        <is>
          <t>KRI:10C1112900</t>
        </is>
      </c>
      <c r="Y75" t="inlineStr">
        <is>
          <t>기타 증류주 및 합성주 제조업</t>
        </is>
      </c>
      <c r="Z75" t="inlineStr">
        <is>
          <t>위스키,합성주,맥주 제조</t>
        </is>
      </c>
      <c r="AA75" t="inlineStr">
        <is>
          <t>경기 이천시 대월면 초지리 165-2번지</t>
        </is>
      </c>
      <c r="AB75" t="inlineStr">
        <is>
          <t>경기 이천시 대월면 대월로932번길 63</t>
        </is>
      </c>
    </row>
    <row r="76" ht="19.2" customHeight="1" s="1">
      <c r="A76" t="inlineStr">
        <is>
          <t>NICE:698129</t>
        </is>
      </c>
      <c r="B76" t="inlineStr">
        <is>
          <t>바이오앤텍</t>
        </is>
      </c>
      <c r="C76" s="5" t="n">
        <v>34462815000</v>
      </c>
      <c r="D76" s="5" t="n">
        <v>11978855000</v>
      </c>
      <c r="E76" s="5" t="n">
        <v>22483960000</v>
      </c>
      <c r="F76" s="5" t="n">
        <v>28432776000</v>
      </c>
      <c r="G76" s="5" t="n">
        <v>2885708000</v>
      </c>
      <c r="H76" s="5" t="n">
        <v>23489157000</v>
      </c>
      <c r="I76" s="5" t="n">
        <v>3308908000</v>
      </c>
      <c r="J76" s="4" t="n">
        <v>2.372799873352051</v>
      </c>
      <c r="K76" s="4" t="n">
        <v>0.5327999591827393</v>
      </c>
      <c r="L76" s="4" t="n">
        <v>0.1014999970793724</v>
      </c>
      <c r="M76" t="inlineStr">
        <is>
          <t>권태균/유한준</t>
        </is>
      </c>
      <c r="N76" t="inlineStr">
        <is>
          <t>031-776-2336</t>
        </is>
      </c>
      <c r="O76" t="inlineStr">
        <is>
          <t>031-776-2340</t>
        </is>
      </c>
      <c r="P76" s="3">
        <f>HYPERLINK("http://www.ibiontech.com", "http://www.ibiontech.com")</f>
        <v/>
      </c>
      <c r="Q76" t="inlineStr">
        <is>
          <t>1298188892</t>
        </is>
      </c>
      <c r="R76" t="inlineStr">
        <is>
          <t>1311110147594</t>
        </is>
      </c>
      <c r="S76" t="inlineStr">
        <is>
          <t>대상아님</t>
        </is>
      </c>
      <c r="T76" t="inlineStr">
        <is>
          <t>일반법인</t>
        </is>
      </c>
      <c r="U76" t="inlineStr">
        <is>
          <t>중소기업</t>
        </is>
      </c>
      <c r="V76" t="inlineStr">
        <is>
          <t>외부감사대상</t>
        </is>
      </c>
      <c r="W76" s="6" t="inlineStr">
        <is>
          <t>2005-08-29</t>
        </is>
      </c>
      <c r="X76" t="inlineStr">
        <is>
          <t>KRI:10G4673900</t>
        </is>
      </c>
      <c r="Y76" t="inlineStr">
        <is>
          <t>기타 화학물질 및 화학제품 도매업</t>
        </is>
      </c>
      <c r="Z76" t="inlineStr">
        <is>
          <t>화장품원료,화공약품 도매,제조/무역/부동산 임대</t>
        </is>
      </c>
      <c r="AA76" t="inlineStr">
        <is>
          <t>경기 성남시 중원구 상대원동 190-1번지 에스케이엔테크노파크 테크센터동 708호</t>
        </is>
      </c>
      <c r="AB76" t="inlineStr">
        <is>
          <t>경기 성남시 중원구 사기막골로 124, 테크센터동 708호 (상대원동,에스케이엔테크노파크)</t>
        </is>
      </c>
    </row>
    <row r="77" ht="19.2" customHeight="1" s="1">
      <c r="A77" t="inlineStr">
        <is>
          <t>NICE:471228</t>
        </is>
      </c>
      <c r="B77" t="inlineStr">
        <is>
          <t>한국알박크라이오</t>
        </is>
      </c>
      <c r="C77" s="5" t="n">
        <v>40055632000</v>
      </c>
      <c r="D77" s="5" t="n">
        <v>6452321000</v>
      </c>
      <c r="E77" s="5" t="n">
        <v>33603311000</v>
      </c>
      <c r="F77" s="5" t="n">
        <v>45044125000</v>
      </c>
      <c r="G77" s="5" t="n">
        <v>8208231000</v>
      </c>
      <c r="H77" s="5" t="n">
        <v>39943456000</v>
      </c>
      <c r="I77" s="5" t="n">
        <v>5865917000</v>
      </c>
      <c r="J77" s="4" t="n">
        <v>4.990699768066406</v>
      </c>
      <c r="K77" s="4" t="n">
        <v>0.1920000016689301</v>
      </c>
      <c r="L77" s="4" t="n">
        <v>0.1821999847888947</v>
      </c>
      <c r="M77" t="inlineStr">
        <is>
          <t>김철민</t>
        </is>
      </c>
      <c r="N77" t="inlineStr">
        <is>
          <t>031-683-2926</t>
        </is>
      </c>
      <c r="O77" t="inlineStr">
        <is>
          <t>031-683-2914</t>
        </is>
      </c>
      <c r="P77" s="3">
        <f>HYPERLINK("http://www.ulvac-cryo.co.kr", "http://www.ulvac-cryo.co.kr")</f>
        <v/>
      </c>
      <c r="Q77" t="inlineStr">
        <is>
          <t>1258155540</t>
        </is>
      </c>
      <c r="R77" t="inlineStr">
        <is>
          <t>1313110056882</t>
        </is>
      </c>
      <c r="S77" t="inlineStr">
        <is>
          <t>대상아님</t>
        </is>
      </c>
      <c r="T77" t="inlineStr">
        <is>
          <t>일반법인</t>
        </is>
      </c>
      <c r="U77" t="inlineStr">
        <is>
          <t>중소기업</t>
        </is>
      </c>
      <c r="V77" t="inlineStr">
        <is>
          <t>외부감사대상</t>
        </is>
      </c>
      <c r="W77" s="6" t="inlineStr">
        <is>
          <t>2004-12-10</t>
        </is>
      </c>
      <c r="X77" t="inlineStr">
        <is>
          <t>KRI:10C2913200</t>
        </is>
      </c>
      <c r="Y77" t="inlineStr">
        <is>
          <t>기체 펌프 및 압축기 제조업</t>
        </is>
      </c>
      <c r="Z77" t="inlineStr">
        <is>
          <t>진공펌프,배기장치 제조,판매</t>
        </is>
      </c>
      <c r="AA77" t="inlineStr">
        <is>
          <t>경기 평택시 청북읍 현곡리 457-2번지</t>
        </is>
      </c>
      <c r="AB77" t="inlineStr">
        <is>
          <t>경기 평택시 청북읍 현곡산단로 107</t>
        </is>
      </c>
    </row>
    <row r="78" ht="19.2" customHeight="1" s="1">
      <c r="A78" t="inlineStr">
        <is>
          <t>NICE:PQ4289</t>
        </is>
      </c>
      <c r="B78" t="inlineStr">
        <is>
          <t>모윰</t>
        </is>
      </c>
      <c r="C78" s="5" t="n">
        <v>14517654000</v>
      </c>
      <c r="D78" s="5" t="n">
        <v>3106052000</v>
      </c>
      <c r="E78" s="5" t="n">
        <v>11411602000</v>
      </c>
      <c r="F78" s="5" t="n">
        <v>32335619000</v>
      </c>
      <c r="G78" s="5" t="n">
        <v>8116394000</v>
      </c>
      <c r="H78" s="5" t="n">
        <v>28500090000</v>
      </c>
      <c r="I78" s="5" t="n">
        <v>7666080000</v>
      </c>
      <c r="J78" s="4" t="n">
        <v>4.391299724578857</v>
      </c>
      <c r="K78" s="4" t="n">
        <v>0.2721999883651733</v>
      </c>
      <c r="L78" s="4" t="n">
        <v>0.2509999871253967</v>
      </c>
      <c r="M78" t="inlineStr">
        <is>
          <t>김명성</t>
        </is>
      </c>
      <c r="N78" t="inlineStr">
        <is>
          <t>1533-9084</t>
        </is>
      </c>
      <c r="O78" t="inlineStr">
        <is>
          <t>070-4009-2633</t>
        </is>
      </c>
      <c r="P78" s="3">
        <f>HYPERLINK("https://www.moyuum.com", "https://www.moyuum.com")</f>
        <v/>
      </c>
      <c r="Q78" t="inlineStr">
        <is>
          <t>2698102891</t>
        </is>
      </c>
      <c r="R78" t="inlineStr">
        <is>
          <t>1101118491154</t>
        </is>
      </c>
      <c r="S78" t="inlineStr">
        <is>
          <t>대상아님</t>
        </is>
      </c>
      <c r="T78" t="inlineStr">
        <is>
          <t>일반법인</t>
        </is>
      </c>
      <c r="U78" t="inlineStr">
        <is>
          <t>중소기업</t>
        </is>
      </c>
      <c r="V78" t="inlineStr">
        <is>
          <t>외부감사대상</t>
        </is>
      </c>
      <c r="W78" s="6" t="inlineStr">
        <is>
          <t>2022-12-01</t>
        </is>
      </c>
      <c r="X78" t="inlineStr">
        <is>
          <t>KRI:10C1419400</t>
        </is>
      </c>
      <c r="Y78" t="inlineStr">
        <is>
          <t>유아용 의복 제조업</t>
        </is>
      </c>
      <c r="Z78" t="inlineStr">
        <is>
          <t>의류,유아용품 제조,도소매</t>
        </is>
      </c>
      <c r="AA78" t="inlineStr">
        <is>
          <t>서울 서초구 서초동 1556-3번지 서초안빌딩 4층</t>
        </is>
      </c>
      <c r="AB78" t="inlineStr">
        <is>
          <t>서울 서초구 서초대로46길 19-12, 4층 (서초동,서초안빌딩)</t>
        </is>
      </c>
    </row>
    <row r="79" ht="19.2" customHeight="1" s="1">
      <c r="A79" t="inlineStr">
        <is>
          <t>NICE:098795</t>
        </is>
      </c>
      <c r="B79" t="inlineStr">
        <is>
          <t>정우금속공업</t>
        </is>
      </c>
      <c r="C79" s="5" t="n">
        <v>116238095000</v>
      </c>
      <c r="D79" s="5" t="n">
        <v>24812886000</v>
      </c>
      <c r="E79" s="5" t="n">
        <v>91425209000</v>
      </c>
      <c r="F79" s="5" t="n">
        <v>103039925000</v>
      </c>
      <c r="G79" s="5" t="n">
        <v>22961373000</v>
      </c>
      <c r="H79" s="5" t="n">
        <v>137441771000</v>
      </c>
      <c r="I79" s="5" t="n">
        <v>54797748000</v>
      </c>
      <c r="J79" s="4" t="n">
        <v>3.011499881744385</v>
      </c>
      <c r="K79" s="4" t="n">
        <v>0.271399974822998</v>
      </c>
      <c r="L79" s="4" t="n">
        <v>0.222800001502037</v>
      </c>
      <c r="M79" t="inlineStr">
        <is>
          <t>이광원</t>
        </is>
      </c>
      <c r="N79" t="inlineStr">
        <is>
          <t>031-860-0500</t>
        </is>
      </c>
      <c r="O79" t="inlineStr">
        <is>
          <t>031-866-5939</t>
        </is>
      </c>
      <c r="P79" s="3">
        <f>HYPERLINK("http://www.jwmfittings.com/", "http://www.jwmfittings.com/")</f>
        <v/>
      </c>
      <c r="Q79" t="inlineStr">
        <is>
          <t>1278108951</t>
        </is>
      </c>
      <c r="R79" t="inlineStr">
        <is>
          <t>1115110009310</t>
        </is>
      </c>
      <c r="S79" t="inlineStr">
        <is>
          <t>대상아님</t>
        </is>
      </c>
      <c r="T79" t="inlineStr">
        <is>
          <t>일반법인</t>
        </is>
      </c>
      <c r="U79" t="inlineStr">
        <is>
          <t>중견기업</t>
        </is>
      </c>
      <c r="V79" t="inlineStr">
        <is>
          <t>외부감사대상</t>
        </is>
      </c>
      <c r="W79" s="6" t="inlineStr">
        <is>
          <t>1979-02-01</t>
        </is>
      </c>
      <c r="X79" t="inlineStr">
        <is>
          <t>KRI:10C2422100</t>
        </is>
      </c>
      <c r="Y79" t="inlineStr">
        <is>
          <t>동 압연, 압출 및 연신제품 제조업</t>
        </is>
      </c>
      <c r="Z79" t="inlineStr">
        <is>
          <t>동관이음쇠  제조</t>
        </is>
      </c>
      <c r="AA79" t="inlineStr">
        <is>
          <t>경기 양주시 남면 구암리 371번지</t>
        </is>
      </c>
      <c r="AB79" t="inlineStr">
        <is>
          <t>경기 양주시 남면 감악산로199번길 71-30</t>
        </is>
      </c>
    </row>
    <row r="80" ht="19.2" customHeight="1" s="1">
      <c r="A80" t="inlineStr">
        <is>
          <t>NICE:479873</t>
        </is>
      </c>
      <c r="B80" t="inlineStr">
        <is>
          <t>나비스오토모티브시스템즈</t>
        </is>
      </c>
      <c r="C80" s="5" t="n">
        <v>65567971000</v>
      </c>
      <c r="D80" s="5" t="n">
        <v>10973839000</v>
      </c>
      <c r="E80" s="5" t="n">
        <v>54594132000</v>
      </c>
      <c r="F80" s="5" t="n">
        <v>43938079000</v>
      </c>
      <c r="G80" s="5" t="n">
        <v>8019482000</v>
      </c>
      <c r="H80" s="5" t="n">
        <v>43759097000</v>
      </c>
      <c r="I80" s="5" t="n">
        <v>2496009000</v>
      </c>
      <c r="J80" s="4" t="n">
        <v>25.32299995422363</v>
      </c>
      <c r="K80" s="4" t="n">
        <v>0.2010000050067902</v>
      </c>
      <c r="L80" s="4" t="n">
        <v>0.1824999898672104</v>
      </c>
      <c r="M80" t="inlineStr">
        <is>
          <t>정희석</t>
        </is>
      </c>
      <c r="N80" t="inlineStr">
        <is>
          <t>051-746-5203</t>
        </is>
      </c>
      <c r="O80" t="inlineStr">
        <is>
          <t>051-746-5207</t>
        </is>
      </c>
      <c r="P80" s="3">
        <f>HYPERLINK("http://www.navis-ams.com", "http://www.navis-ams.com")</f>
        <v/>
      </c>
      <c r="Q80" t="inlineStr">
        <is>
          <t>6178158406</t>
        </is>
      </c>
      <c r="R80" t="inlineStr">
        <is>
          <t>1801110535203</t>
        </is>
      </c>
      <c r="S80" t="inlineStr">
        <is>
          <t>대상아님</t>
        </is>
      </c>
      <c r="T80" t="inlineStr">
        <is>
          <t>일반법인</t>
        </is>
      </c>
      <c r="U80" t="inlineStr">
        <is>
          <t>중견기업</t>
        </is>
      </c>
      <c r="V80" t="inlineStr">
        <is>
          <t>외부감사대상</t>
        </is>
      </c>
      <c r="W80" s="6" t="inlineStr">
        <is>
          <t>2005-10-27</t>
        </is>
      </c>
      <c r="X80" t="inlineStr">
        <is>
          <t>KRI:10J5822200</t>
        </is>
      </c>
      <c r="Y80" t="inlineStr">
        <is>
          <t>응용 소프트웨어 개발 및 공급업</t>
        </is>
      </c>
      <c r="Z80" t="inlineStr">
        <is>
          <t>자동차멀티미디어장치,차량멀티미디어(전자지도) 개발</t>
        </is>
      </c>
      <c r="AA80" t="inlineStr">
        <is>
          <t>부산 해운대구 우동 1462번지 센텀그린타워 8층</t>
        </is>
      </c>
      <c r="AB80" t="inlineStr">
        <is>
          <t>부산 해운대구 센텀중앙로 78, 8층 (우동,센텀그린타워)</t>
        </is>
      </c>
    </row>
    <row r="81" ht="19.2" customHeight="1" s="1">
      <c r="A81" t="inlineStr">
        <is>
          <t>NICE:E72345</t>
        </is>
      </c>
      <c r="B81" t="inlineStr">
        <is>
          <t>인슐레이션코리아</t>
        </is>
      </c>
      <c r="C81" s="5" t="n">
        <v>42257785000</v>
      </c>
      <c r="D81" s="5" t="n">
        <v>17531847000</v>
      </c>
      <c r="E81" s="5" t="n">
        <v>24725938000</v>
      </c>
      <c r="F81" s="5" t="n">
        <v>48922364000</v>
      </c>
      <c r="G81" s="5" t="n">
        <v>4946001000</v>
      </c>
      <c r="H81" s="5" t="n">
        <v>67984454000</v>
      </c>
      <c r="I81" s="5" t="n">
        <v>1953211000</v>
      </c>
      <c r="J81" s="4" t="n">
        <v>1.613800048828125</v>
      </c>
      <c r="K81" s="4" t="n">
        <v>0.7089999914169312</v>
      </c>
      <c r="L81" s="4" t="n">
        <v>0.1010999977588654</v>
      </c>
      <c r="M81" t="inlineStr">
        <is>
          <t>승영순</t>
        </is>
      </c>
      <c r="N81" t="inlineStr">
        <is>
          <t>02-535-1437</t>
        </is>
      </c>
      <c r="O81" t="inlineStr">
        <is>
          <t>02-523-7139</t>
        </is>
      </c>
      <c r="P81" s="3">
        <f>HYPERLINK("http://www.insulationkorea.co.kr", "http://www.insulationkorea.co.kr")</f>
        <v/>
      </c>
      <c r="Q81" t="inlineStr">
        <is>
          <t>2148829297</t>
        </is>
      </c>
      <c r="R81" t="inlineStr">
        <is>
          <t>1101113932012</t>
        </is>
      </c>
      <c r="S81" t="inlineStr">
        <is>
          <t>대상아님</t>
        </is>
      </c>
      <c r="T81" t="inlineStr">
        <is>
          <t>일반법인</t>
        </is>
      </c>
      <c r="U81" t="inlineStr">
        <is>
          <t>중소기업</t>
        </is>
      </c>
      <c r="V81" t="inlineStr">
        <is>
          <t>외부감사대상</t>
        </is>
      </c>
      <c r="W81" s="6" t="inlineStr">
        <is>
          <t>2008-07-09</t>
        </is>
      </c>
      <c r="X81" t="inlineStr">
        <is>
          <t>KRI:10F4220300</t>
        </is>
      </c>
      <c r="Y81" t="inlineStr">
        <is>
          <t>방음, 방진 및 내화 공사업</t>
        </is>
      </c>
      <c r="Z81" t="inlineStr">
        <is>
          <t>내화단열공사,산업플랜트공사/구조용정형내화제품,플랜트소유자재 내화단열벽돌,세라믹 도매</t>
        </is>
      </c>
      <c r="AA81" t="inlineStr">
        <is>
          <t>서울 서초구 방배동 915-13번지 아이케이빌딩</t>
        </is>
      </c>
      <c r="AB81" t="inlineStr">
        <is>
          <t>서울 서초구 효령로 101 (방배동,아이케이빌딩)</t>
        </is>
      </c>
    </row>
    <row r="82" ht="19.2" customHeight="1" s="1">
      <c r="A82" t="inlineStr">
        <is>
          <t>NICE:OU0948</t>
        </is>
      </c>
      <c r="B82" t="inlineStr">
        <is>
          <t>홀로직코리아</t>
        </is>
      </c>
      <c r="C82" s="5" t="n">
        <v>21285339000</v>
      </c>
      <c r="D82" s="5" t="n">
        <v>16611618000</v>
      </c>
      <c r="E82" s="5" t="n">
        <v>4673721000</v>
      </c>
      <c r="F82" s="5" t="n">
        <v>25036952000</v>
      </c>
      <c r="G82" s="5" t="n">
        <v>3133149000</v>
      </c>
      <c r="H82" s="5" t="n">
        <v>22954199000</v>
      </c>
      <c r="I82" s="5" t="n">
        <v>2729862000</v>
      </c>
      <c r="J82" s="4" t="n">
        <v>1.233999967575073</v>
      </c>
      <c r="K82" s="4" t="n">
        <v>3.554299831390381</v>
      </c>
      <c r="L82" s="4" t="n">
        <v>0.1251000016927719</v>
      </c>
      <c r="M82" t="inlineStr">
        <is>
          <t>미켈란젤로스테파니/존브래드포드맥밀란</t>
        </is>
      </c>
      <c r="P82" s="3" t="n"/>
      <c r="Q82" t="inlineStr">
        <is>
          <t>3458102157</t>
        </is>
      </c>
      <c r="R82" t="inlineStr">
        <is>
          <t>1101140287927</t>
        </is>
      </c>
      <c r="S82" t="inlineStr">
        <is>
          <t>대상아님</t>
        </is>
      </c>
      <c r="T82" t="inlineStr">
        <is>
          <t>일반법인</t>
        </is>
      </c>
      <c r="U82" t="inlineStr">
        <is>
          <t>중소기업</t>
        </is>
      </c>
      <c r="V82" t="inlineStr">
        <is>
          <t>외부감사대상</t>
        </is>
      </c>
      <c r="W82" s="6" t="inlineStr">
        <is>
          <t>2021-12-13</t>
        </is>
      </c>
      <c r="X82" t="inlineStr">
        <is>
          <t>KRI:10G4659200</t>
        </is>
      </c>
      <c r="Y82" t="inlineStr">
        <is>
          <t>의료기기 도매업</t>
        </is>
      </c>
      <c r="Z82" t="inlineStr">
        <is>
          <t>의료기기 판매,수입,임대/유지보수/마케팅</t>
        </is>
      </c>
      <c r="AA82" t="inlineStr">
        <is>
          <t>서울 중구 남대문로5가 541번지 서울스퀘어 14동 101호</t>
        </is>
      </c>
      <c r="AB82" t="inlineStr">
        <is>
          <t>서울 중구 한강대로 416, 14동 101호 (남대문로5가,서울스퀘어)</t>
        </is>
      </c>
    </row>
    <row r="83" ht="19.2" customHeight="1" s="1">
      <c r="A83" t="inlineStr">
        <is>
          <t>NICE:MI1750</t>
        </is>
      </c>
      <c r="B83" t="inlineStr">
        <is>
          <t>스페이스플래닝</t>
        </is>
      </c>
      <c r="C83" s="5" t="n">
        <v>41618930000</v>
      </c>
      <c r="D83" s="5" t="n">
        <v>31059768000</v>
      </c>
      <c r="E83" s="5" t="n">
        <v>10559162000</v>
      </c>
      <c r="F83" s="5" t="n">
        <v>85663530000</v>
      </c>
      <c r="G83" s="5" t="n">
        <v>11166422000</v>
      </c>
      <c r="H83" s="5" t="n">
        <v>31683723000</v>
      </c>
      <c r="I83" s="5" t="n">
        <v>3284529000</v>
      </c>
      <c r="J83" s="4" t="n">
        <v>1.281199932098389</v>
      </c>
      <c r="K83" s="4" t="n">
        <v>2.941499948501587</v>
      </c>
      <c r="L83" s="4" t="n">
        <v>0.1304000020027161</v>
      </c>
      <c r="M83" t="inlineStr">
        <is>
          <t>신현욱/정우석</t>
        </is>
      </c>
      <c r="N83" t="inlineStr">
        <is>
          <t>02-558-0415</t>
        </is>
      </c>
      <c r="O83" t="inlineStr">
        <is>
          <t>02-567-0233</t>
        </is>
      </c>
      <c r="P83" s="3" t="n"/>
      <c r="Q83" t="inlineStr">
        <is>
          <t>6888102239</t>
        </is>
      </c>
      <c r="R83" t="inlineStr">
        <is>
          <t>1101117824041</t>
        </is>
      </c>
      <c r="S83" t="inlineStr">
        <is>
          <t>대상아님</t>
        </is>
      </c>
      <c r="T83" t="inlineStr">
        <is>
          <t>일반법인</t>
        </is>
      </c>
      <c r="U83" t="inlineStr">
        <is>
          <t>중소기업</t>
        </is>
      </c>
      <c r="V83" t="inlineStr">
        <is>
          <t>외부감사대상</t>
        </is>
      </c>
      <c r="W83" s="6" t="inlineStr">
        <is>
          <t>2021-03-22</t>
        </is>
      </c>
      <c r="X83" t="inlineStr">
        <is>
          <t>KRI:10F4112100</t>
        </is>
      </c>
      <c r="Y83" t="inlineStr">
        <is>
          <t>사무ㆍ상업용 및 공공기관용 건물 건설업</t>
        </is>
      </c>
      <c r="Z83" t="inlineStr">
        <is>
          <t>실내건축공사,인테리어공사/가구 도소매/부동산 임대/인테리어 디자인</t>
        </is>
      </c>
      <c r="AA83" t="inlineStr">
        <is>
          <t>서울 강남구 대치동 995-23번지 5층</t>
        </is>
      </c>
      <c r="AB83" t="inlineStr">
        <is>
          <t>서울 강남구 테헤란로104길 12, 5층</t>
        </is>
      </c>
    </row>
    <row r="84" ht="19.2" customHeight="1" s="1">
      <c r="A84" t="inlineStr">
        <is>
          <t>NICE:C68602</t>
        </is>
      </c>
      <c r="B84" t="inlineStr">
        <is>
          <t>허스트중앙</t>
        </is>
      </c>
      <c r="C84" s="5" t="n">
        <v>24113623000</v>
      </c>
      <c r="D84" s="5" t="n">
        <v>10489507000</v>
      </c>
      <c r="E84" s="5" t="n">
        <v>13624116000</v>
      </c>
      <c r="F84" s="5" t="n">
        <v>60010166000</v>
      </c>
      <c r="G84" s="5" t="n">
        <v>7176477000</v>
      </c>
      <c r="H84" s="5" t="n">
        <v>56810333000</v>
      </c>
      <c r="I84" s="5" t="n">
        <v>2270654000</v>
      </c>
      <c r="J84" s="4" t="n">
        <v>2.142999887466431</v>
      </c>
      <c r="K84" s="4" t="n">
        <v>0.7698999643325806</v>
      </c>
      <c r="L84" s="4" t="n">
        <v>0.1195999979972839</v>
      </c>
      <c r="M84" t="inlineStr">
        <is>
          <t>강주연</t>
        </is>
      </c>
      <c r="N84" t="inlineStr">
        <is>
          <t>02-2031-8259</t>
        </is>
      </c>
      <c r="O84" t="inlineStr">
        <is>
          <t>02-2031-8215</t>
        </is>
      </c>
      <c r="P84" s="3">
        <f>HYPERLINK("http://www.hjmembers.co.kr", "http://www.hjmembers.co.kr")</f>
        <v/>
      </c>
      <c r="Q84" t="inlineStr">
        <is>
          <t>1048155280</t>
        </is>
      </c>
      <c r="R84" t="inlineStr">
        <is>
          <t>1101140031613</t>
        </is>
      </c>
      <c r="S84" t="inlineStr">
        <is>
          <t>대상아님</t>
        </is>
      </c>
      <c r="T84" t="inlineStr">
        <is>
          <t>일반법인</t>
        </is>
      </c>
      <c r="U84" t="inlineStr">
        <is>
          <t>중견기업</t>
        </is>
      </c>
      <c r="V84" t="inlineStr">
        <is>
          <t>외부감사대상</t>
        </is>
      </c>
      <c r="W84" s="6" t="inlineStr">
        <is>
          <t>2000-07-18</t>
        </is>
      </c>
      <c r="X84" t="inlineStr">
        <is>
          <t>KRI:10J5812200</t>
        </is>
      </c>
      <c r="Y84" t="inlineStr">
        <is>
          <t>잡지 및 정기간행물 발행업</t>
        </is>
      </c>
      <c r="Z84" t="inlineStr">
        <is>
          <t>정기간행물,도서 출판,도소매/인터넷정보 제공</t>
        </is>
      </c>
      <c r="AA84" t="inlineStr">
        <is>
          <t>서울 강남구 논현동 6-13번지</t>
        </is>
      </c>
      <c r="AB84" t="inlineStr">
        <is>
          <t>서울 강남구 도산대로 156</t>
        </is>
      </c>
    </row>
    <row r="85" ht="19.2" customHeight="1" s="1">
      <c r="A85" t="inlineStr">
        <is>
          <t>NICE:QF5372</t>
        </is>
      </c>
      <c r="B85" t="inlineStr">
        <is>
          <t>맨텍솔루션</t>
        </is>
      </c>
      <c r="C85" s="5" t="n">
        <v>20069726000</v>
      </c>
      <c r="D85" s="5" t="n">
        <v>2879200000</v>
      </c>
      <c r="E85" s="5" t="n">
        <v>17190525000</v>
      </c>
      <c r="F85" s="5" t="n">
        <v>22721143000</v>
      </c>
      <c r="G85" s="5" t="n">
        <v>6283378000</v>
      </c>
      <c r="H85" s="5" t="n">
        <v>21965514000</v>
      </c>
      <c r="I85" s="5" t="n">
        <v>5677345000</v>
      </c>
      <c r="J85" s="4" t="n">
        <v>5.458300113677979</v>
      </c>
      <c r="K85" s="4" t="n">
        <v>0.1674999892711639</v>
      </c>
      <c r="L85" s="4" t="n">
        <v>0.2764999866485596</v>
      </c>
      <c r="M85" t="inlineStr">
        <is>
          <t>김형일/김윤원</t>
        </is>
      </c>
      <c r="N85" t="inlineStr">
        <is>
          <t>02-2136-6900</t>
        </is>
      </c>
      <c r="O85" t="inlineStr">
        <is>
          <t>02-575-4858</t>
        </is>
      </c>
      <c r="P85" s="3">
        <f>HYPERLINK("http://www.mantech.co.kr", "http://www.mantech.co.kr")</f>
        <v/>
      </c>
      <c r="Q85" t="inlineStr">
        <is>
          <t>8198603079</t>
        </is>
      </c>
      <c r="R85" t="inlineStr">
        <is>
          <t>1101118652102</t>
        </is>
      </c>
      <c r="S85" t="inlineStr">
        <is>
          <t>대상아님</t>
        </is>
      </c>
      <c r="T85" t="inlineStr">
        <is>
          <t>일반법인</t>
        </is>
      </c>
      <c r="U85" t="inlineStr">
        <is>
          <t>중소기업</t>
        </is>
      </c>
      <c r="V85" t="inlineStr">
        <is>
          <t>외부감사대상</t>
        </is>
      </c>
      <c r="W85" s="6" t="inlineStr">
        <is>
          <t>2023-06-01</t>
        </is>
      </c>
      <c r="X85" t="inlineStr">
        <is>
          <t>KRI:10J5822100</t>
        </is>
      </c>
      <c r="Y85" t="inlineStr">
        <is>
          <t>시스템 소프트웨어 개발 및 공급업</t>
        </is>
      </c>
      <c r="Z85" t="inlineStr">
        <is>
          <t>시스템소프트웨어 개발,공급/컴퓨터,주변기기 도소매</t>
        </is>
      </c>
      <c r="AA85" t="inlineStr">
        <is>
          <t>서울 성동구 성수동2가 308-4번지 서울숲코오롱디지털타워 12층</t>
        </is>
      </c>
      <c r="AB85" t="inlineStr">
        <is>
          <t>서울 성동구 성수일로4길 25, 12층 (성수동2가,서울숲코오롱디지털타워)</t>
        </is>
      </c>
    </row>
    <row r="86" ht="19.2" customHeight="1" s="1">
      <c r="A86" t="inlineStr">
        <is>
          <t>NICE:372282</t>
        </is>
      </c>
      <c r="B86" t="inlineStr">
        <is>
          <t>엔피에스</t>
        </is>
      </c>
      <c r="C86" s="5" t="n">
        <v>30508937000</v>
      </c>
      <c r="D86" s="5" t="n">
        <v>18542674000</v>
      </c>
      <c r="E86" s="5" t="n">
        <v>11966263000</v>
      </c>
      <c r="F86" s="5" t="n">
        <v>24066284000</v>
      </c>
      <c r="G86" s="5" t="n">
        <v>3200458000</v>
      </c>
      <c r="H86" s="5" t="n">
        <v>15094070000</v>
      </c>
      <c r="I86" s="5" t="n">
        <v>2413380000</v>
      </c>
      <c r="J86" s="4" t="n">
        <v>1.06059992313385</v>
      </c>
      <c r="K86" s="4" t="n">
        <v>1.549600005149841</v>
      </c>
      <c r="L86" s="4" t="n">
        <v>0.1330000013113022</v>
      </c>
      <c r="M86" t="inlineStr">
        <is>
          <t>민성기</t>
        </is>
      </c>
      <c r="N86" t="inlineStr">
        <is>
          <t>041-740-3600</t>
        </is>
      </c>
      <c r="O86" t="inlineStr">
        <is>
          <t>041-741-9600</t>
        </is>
      </c>
      <c r="P86" s="3" t="n"/>
      <c r="Q86" t="inlineStr">
        <is>
          <t>3128164721</t>
        </is>
      </c>
      <c r="R86" t="inlineStr">
        <is>
          <t>1615110059703</t>
        </is>
      </c>
      <c r="S86" t="inlineStr">
        <is>
          <t>대상아님</t>
        </is>
      </c>
      <c r="T86" t="inlineStr">
        <is>
          <t>일반법인</t>
        </is>
      </c>
      <c r="U86" t="inlineStr">
        <is>
          <t>중소기업</t>
        </is>
      </c>
      <c r="V86" t="inlineStr">
        <is>
          <t>외부감사대상</t>
        </is>
      </c>
      <c r="W86" s="6" t="inlineStr">
        <is>
          <t>2003-09-22</t>
        </is>
      </c>
      <c r="X86" t="inlineStr">
        <is>
          <t>KRI:10C2592300</t>
        </is>
      </c>
      <c r="Y86" t="inlineStr">
        <is>
          <t>도장 및 기타 피막처리업</t>
        </is>
      </c>
      <c r="Z86" t="inlineStr">
        <is>
          <t>반도체 표면처리,제조/연구개발용역</t>
        </is>
      </c>
      <c r="AA86" t="inlineStr">
        <is>
          <t>충남 논산시 은진면 시묘리 778번지</t>
        </is>
      </c>
      <c r="AB86" t="inlineStr">
        <is>
          <t>충남 논산시 은진면 동산산업단지로 101-6</t>
        </is>
      </c>
    </row>
    <row r="87" ht="19.2" customHeight="1" s="1">
      <c r="A87" t="inlineStr">
        <is>
          <t>NICE:C94624</t>
        </is>
      </c>
      <c r="B87" t="inlineStr">
        <is>
          <t>태일회계법인</t>
        </is>
      </c>
      <c r="C87" s="5" t="n">
        <v>17896362000</v>
      </c>
      <c r="D87" s="5" t="n">
        <v>7040924000</v>
      </c>
      <c r="E87" s="5" t="n">
        <v>10855438000</v>
      </c>
      <c r="F87" s="5" t="n">
        <v>33696033000</v>
      </c>
      <c r="G87" s="5" t="n">
        <v>3577640000</v>
      </c>
      <c r="H87" s="5" t="n">
        <v>22063220000</v>
      </c>
      <c r="I87" s="5" t="n">
        <v>2265085000</v>
      </c>
      <c r="J87" s="4" t="n">
        <v>2.231199979782104</v>
      </c>
      <c r="K87" s="4" t="n">
        <v>0.6485999822616577</v>
      </c>
      <c r="L87" s="4" t="n">
        <v>0.1061999946832657</v>
      </c>
      <c r="M87" t="inlineStr">
        <is>
          <t>권순식/남기권/배영석</t>
        </is>
      </c>
      <c r="N87" t="inlineStr">
        <is>
          <t>02-2164-9230</t>
        </is>
      </c>
      <c r="O87" t="inlineStr">
        <is>
          <t>02-2164-9269</t>
        </is>
      </c>
      <c r="P87" s="3" t="n"/>
      <c r="Q87" t="inlineStr">
        <is>
          <t>1078718699</t>
        </is>
      </c>
      <c r="R87" t="inlineStr">
        <is>
          <t>2541340016199</t>
        </is>
      </c>
      <c r="S87" t="inlineStr">
        <is>
          <t>대상아님</t>
        </is>
      </c>
      <c r="T87" t="inlineStr">
        <is>
          <t>일반법인</t>
        </is>
      </c>
      <c r="U87" t="inlineStr">
        <is>
          <t>중소기업</t>
        </is>
      </c>
      <c r="V87" t="inlineStr">
        <is>
          <t>외부감사비대상</t>
        </is>
      </c>
      <c r="W87" s="6" t="inlineStr">
        <is>
          <t>2009-04-03</t>
        </is>
      </c>
      <c r="X87" t="inlineStr">
        <is>
          <t>KRI:10M7120100</t>
        </is>
      </c>
      <c r="Y87" t="inlineStr">
        <is>
          <t>공인회계사업</t>
        </is>
      </c>
      <c r="Z87" t="inlineStr">
        <is>
          <t>공인회계사,학술연구,원가계산</t>
        </is>
      </c>
      <c r="AA87" t="inlineStr">
        <is>
          <t>서울 영등포구 여의도동 17-6번지 광복회관 2층,3층</t>
        </is>
      </c>
      <c r="AB87" t="inlineStr">
        <is>
          <t>서울 영등포구 국회대로62길 15, 2층,3층 (여의도동,광복회관)</t>
        </is>
      </c>
    </row>
    <row r="88" ht="19.2" customHeight="1" s="1">
      <c r="A88" t="inlineStr">
        <is>
          <t>NICE:I25718</t>
        </is>
      </c>
      <c r="B88" t="inlineStr">
        <is>
          <t>케미텍</t>
        </is>
      </c>
      <c r="C88" s="5" t="n">
        <v>81249759000</v>
      </c>
      <c r="D88" s="5" t="n">
        <v>6895221000</v>
      </c>
      <c r="E88" s="5" t="n">
        <v>74354538000</v>
      </c>
      <c r="F88" s="5" t="n">
        <v>51010317000</v>
      </c>
      <c r="G88" s="5" t="n">
        <v>31804463000</v>
      </c>
      <c r="H88" s="5" t="n">
        <v>47995250000</v>
      </c>
      <c r="I88" s="5" t="n">
        <v>30988848000</v>
      </c>
      <c r="J88" s="4" t="n">
        <v>10.132399559021</v>
      </c>
      <c r="K88" s="4" t="n">
        <v>0.09270000457763672</v>
      </c>
      <c r="L88" s="4" t="n">
        <v>0.6234999895095825</v>
      </c>
      <c r="M88" t="inlineStr">
        <is>
          <t>지일식</t>
        </is>
      </c>
      <c r="N88" t="inlineStr">
        <is>
          <t>02-707-3306</t>
        </is>
      </c>
      <c r="O88" t="inlineStr">
        <is>
          <t>02-707-3305</t>
        </is>
      </c>
      <c r="P88" s="3" t="n"/>
      <c r="Q88" t="inlineStr">
        <is>
          <t>1298161379</t>
        </is>
      </c>
      <c r="R88" t="inlineStr">
        <is>
          <t>1311110095074</t>
        </is>
      </c>
      <c r="S88" t="inlineStr">
        <is>
          <t>대상아님</t>
        </is>
      </c>
      <c r="T88" t="inlineStr">
        <is>
          <t>일반법인</t>
        </is>
      </c>
      <c r="U88" t="inlineStr">
        <is>
          <t>중소기업</t>
        </is>
      </c>
      <c r="V88" t="inlineStr">
        <is>
          <t>외부감사대상</t>
        </is>
      </c>
      <c r="W88" s="6" t="inlineStr">
        <is>
          <t>2003-04-28</t>
        </is>
      </c>
      <c r="X88" t="inlineStr">
        <is>
          <t>KRI:10C2812200</t>
        </is>
      </c>
      <c r="Y88" t="inlineStr">
        <is>
          <t>전기회로 접속장치 제조업</t>
        </is>
      </c>
      <c r="Z88" t="inlineStr">
        <is>
          <t>전기회로접속장치,전자부품 제조</t>
        </is>
      </c>
      <c r="AA88" t="inlineStr">
        <is>
          <t>경기 성남시 중원구 상대원동 5473번지 705호,706호,707호,708호,709호,710호,711호,712호,713호,714호,715호</t>
        </is>
      </c>
      <c r="AB88" t="inlineStr">
        <is>
          <t>경기 성남시 중원구 갈마치로 208, 705호,706호,707호,708호,709호,710호,711호,712호,713호,714호,715호</t>
        </is>
      </c>
    </row>
    <row r="89" ht="19.2" customHeight="1" s="1">
      <c r="A89" t="inlineStr">
        <is>
          <t>NICE:I82631</t>
        </is>
      </c>
      <c r="B89" t="inlineStr">
        <is>
          <t>키맥스</t>
        </is>
      </c>
      <c r="C89" s="5" t="n">
        <v>70616473000</v>
      </c>
      <c r="D89" s="5" t="n">
        <v>2606685000</v>
      </c>
      <c r="E89" s="5" t="n">
        <v>68009788000</v>
      </c>
      <c r="F89" s="5" t="n">
        <v>34495337000</v>
      </c>
      <c r="G89" s="5" t="n">
        <v>9826526000</v>
      </c>
      <c r="H89" s="5" t="n">
        <v>32026986000</v>
      </c>
      <c r="I89" s="5" t="n">
        <v>10554504000</v>
      </c>
      <c r="J89" s="4" t="n">
        <v>17.71859931945801</v>
      </c>
      <c r="K89" s="4" t="n">
        <v>0.03830000013113022</v>
      </c>
      <c r="L89" s="4" t="n">
        <v>0.2848999798297882</v>
      </c>
      <c r="M89" t="inlineStr">
        <is>
          <t>김창고</t>
        </is>
      </c>
      <c r="N89" t="inlineStr">
        <is>
          <t>031-8002-3100</t>
        </is>
      </c>
      <c r="O89" t="inlineStr">
        <is>
          <t>031-8002-3106</t>
        </is>
      </c>
      <c r="P89" s="3">
        <f>HYPERLINK("http://www.kimex.co.kr", "http://www.kimex.co.kr")</f>
        <v/>
      </c>
      <c r="Q89" t="inlineStr">
        <is>
          <t>1428154740</t>
        </is>
      </c>
      <c r="R89" t="inlineStr">
        <is>
          <t>1345110202545</t>
        </is>
      </c>
      <c r="S89" t="inlineStr">
        <is>
          <t>대상아님</t>
        </is>
      </c>
      <c r="T89" t="inlineStr">
        <is>
          <t>일반법인</t>
        </is>
      </c>
      <c r="U89" t="inlineStr">
        <is>
          <t>중소기업</t>
        </is>
      </c>
      <c r="V89" t="inlineStr">
        <is>
          <t>외부감사대상</t>
        </is>
      </c>
      <c r="W89" s="6" t="inlineStr">
        <is>
          <t>2013-01-02</t>
        </is>
      </c>
      <c r="X89" t="inlineStr">
        <is>
          <t>KRI:10C2049900</t>
        </is>
      </c>
      <c r="Y89" t="inlineStr">
        <is>
          <t>그 외 기타 분류 안된 화학제품 제조업</t>
        </is>
      </c>
      <c r="Z89" t="inlineStr">
        <is>
          <t>방향유 제조/부동산 임대</t>
        </is>
      </c>
      <c r="AA89" t="inlineStr">
        <is>
          <t>경기 용인시 처인구 이동읍 묘봉리 406번지</t>
        </is>
      </c>
      <c r="AB89" t="inlineStr">
        <is>
          <t>경기 용인시 처인구 이동읍 묘봉로 220-15</t>
        </is>
      </c>
    </row>
    <row r="90" s="1">
      <c r="A90" t="inlineStr">
        <is>
          <t>NICE:G87268</t>
        </is>
      </c>
      <c r="B90" t="inlineStr">
        <is>
          <t>에스엠티</t>
        </is>
      </c>
      <c r="C90" s="5" t="n">
        <v>268917192000</v>
      </c>
      <c r="D90" s="5" t="n">
        <v>13693168000</v>
      </c>
      <c r="E90" s="5" t="n">
        <v>255224023000</v>
      </c>
      <c r="F90" s="5" t="n">
        <v>46907181000</v>
      </c>
      <c r="G90" s="5" t="n">
        <v>8652995000</v>
      </c>
      <c r="H90" s="5" t="n">
        <v>44659167000</v>
      </c>
      <c r="I90" s="5" t="n">
        <v>7709036000</v>
      </c>
      <c r="J90" s="4" t="n">
        <v>11.88859939575195</v>
      </c>
      <c r="K90" s="4" t="n">
        <v>0.05369999632239342</v>
      </c>
      <c r="L90" s="4" t="n">
        <v>0.1845000088214874</v>
      </c>
      <c r="M90" t="inlineStr">
        <is>
          <t>정진영</t>
        </is>
      </c>
      <c r="N90" t="inlineStr">
        <is>
          <t>053-582-5161</t>
        </is>
      </c>
      <c r="O90" t="inlineStr">
        <is>
          <t>053-583-3555</t>
        </is>
      </c>
      <c r="Q90" t="inlineStr">
        <is>
          <t>5058160555</t>
        </is>
      </c>
      <c r="R90" t="inlineStr">
        <is>
          <t>1747110027917</t>
        </is>
      </c>
      <c r="S90" t="inlineStr">
        <is>
          <t>대상아님</t>
        </is>
      </c>
      <c r="T90" t="inlineStr">
        <is>
          <t>일반법인</t>
        </is>
      </c>
      <c r="U90" t="inlineStr">
        <is>
          <t>중견기업</t>
        </is>
      </c>
      <c r="V90" t="inlineStr">
        <is>
          <t>외부감사대상</t>
        </is>
      </c>
      <c r="W90" s="6" t="inlineStr">
        <is>
          <t>2010-06-16</t>
        </is>
      </c>
      <c r="X90" t="inlineStr">
        <is>
          <t>KRI:10C3039900</t>
        </is>
      </c>
      <c r="Y90" t="inlineStr">
        <is>
          <t>그 외 자동차용 신품 부품 제조업</t>
        </is>
      </c>
      <c r="Z90" t="inlineStr">
        <is>
          <t>자동차부품,컨베이어,용접기 제조,도소매</t>
        </is>
      </c>
      <c r="AA90" t="inlineStr">
        <is>
          <t>경북 경산시 진량읍 대원리 501번지</t>
        </is>
      </c>
      <c r="AB90" t="inlineStr">
        <is>
          <t>경북 경산시 진량읍 공단8로 23</t>
        </is>
      </c>
    </row>
    <row r="91" ht="19.2" customHeight="1" s="1">
      <c r="A91" t="inlineStr">
        <is>
          <t>NICE:370199</t>
        </is>
      </c>
      <c r="B91" t="inlineStr">
        <is>
          <t>메가젠임플란트</t>
        </is>
      </c>
      <c r="C91" s="5" t="n">
        <v>452348778000</v>
      </c>
      <c r="D91" s="5" t="n">
        <v>209062963000</v>
      </c>
      <c r="E91" s="5" t="n">
        <v>243285815000</v>
      </c>
      <c r="F91" s="5" t="n">
        <v>280736304000</v>
      </c>
      <c r="G91" s="5" t="n">
        <v>58097386000</v>
      </c>
      <c r="H91" s="5" t="n">
        <v>410151430000</v>
      </c>
      <c r="I91" s="5" t="n">
        <v>31473657000</v>
      </c>
      <c r="J91" s="4" t="n">
        <v>1.066399931907654</v>
      </c>
      <c r="K91" s="4" t="n">
        <v>0.8592999577522278</v>
      </c>
      <c r="L91" s="4" t="n">
        <v>0.2069000005722046</v>
      </c>
      <c r="M91" t="inlineStr">
        <is>
          <t>박광범</t>
        </is>
      </c>
      <c r="N91" t="inlineStr">
        <is>
          <t>053-222-2820</t>
        </is>
      </c>
      <c r="O91" t="inlineStr">
        <is>
          <t>053-857-5432</t>
        </is>
      </c>
      <c r="P91" s="3">
        <f>HYPERLINK("http://www.imegagen.com", "http://www.imegagen.com")</f>
        <v/>
      </c>
      <c r="Q91" t="inlineStr">
        <is>
          <t>5048143999</t>
        </is>
      </c>
      <c r="R91" t="inlineStr">
        <is>
          <t>1701110213231</t>
        </is>
      </c>
      <c r="S91" t="inlineStr">
        <is>
          <t>제3시장</t>
        </is>
      </c>
      <c r="T91" t="inlineStr">
        <is>
          <t>일반법인</t>
        </is>
      </c>
      <c r="U91" t="inlineStr">
        <is>
          <t>중견기업</t>
        </is>
      </c>
      <c r="V91" t="inlineStr">
        <is>
          <t>외부감사대상</t>
        </is>
      </c>
      <c r="W91" s="6" t="inlineStr">
        <is>
          <t>2002-01-03</t>
        </is>
      </c>
      <c r="X91" t="inlineStr">
        <is>
          <t>KRI:10C2719100</t>
        </is>
      </c>
      <c r="Y91" t="inlineStr">
        <is>
          <t>치과용 기기 제조업</t>
        </is>
      </c>
      <c r="Z91" t="inlineStr">
        <is>
          <t>치과용기기,금속파스너,나사제품 제조/무역/부동산 임대</t>
        </is>
      </c>
      <c r="AA91" t="inlineStr">
        <is>
          <t>대구 달성군 다사읍 세천리 1668-3번지</t>
        </is>
      </c>
      <c r="AB91" t="inlineStr">
        <is>
          <t>대구 달성군 다사읍 세천로7길 45</t>
        </is>
      </c>
    </row>
    <row r="92" ht="19.2" customHeight="1" s="1">
      <c r="A92" t="inlineStr">
        <is>
          <t>NICE:JF2727</t>
        </is>
      </c>
      <c r="B92" t="inlineStr">
        <is>
          <t>넥스플렉스</t>
        </is>
      </c>
      <c r="C92" s="5" t="n">
        <v>338264009000</v>
      </c>
      <c r="D92" s="5" t="n">
        <v>51801944000</v>
      </c>
      <c r="E92" s="5" t="n">
        <v>286462066000</v>
      </c>
      <c r="F92" s="5" t="n">
        <v>268953806000</v>
      </c>
      <c r="G92" s="5" t="n">
        <v>75003895000</v>
      </c>
      <c r="H92" s="5" t="n">
        <v>163447247000</v>
      </c>
      <c r="I92" s="5" t="n">
        <v>41035620000</v>
      </c>
      <c r="J92" s="4" t="n">
        <v>3.465699911117554</v>
      </c>
      <c r="K92" s="4" t="n">
        <v>0.1807999908924103</v>
      </c>
      <c r="L92" s="4" t="n">
        <v>0.2788999974727631</v>
      </c>
      <c r="M92" t="inlineStr">
        <is>
          <t>김혁전</t>
        </is>
      </c>
      <c r="N92" t="inlineStr">
        <is>
          <t>043-715-7773</t>
        </is>
      </c>
      <c r="O92" t="inlineStr">
        <is>
          <t>043-715-7774</t>
        </is>
      </c>
      <c r="P92" s="3" t="n"/>
      <c r="Q92" t="inlineStr">
        <is>
          <t>1318701056</t>
        </is>
      </c>
      <c r="R92" t="inlineStr">
        <is>
          <t>1101116827658</t>
        </is>
      </c>
      <c r="S92" t="inlineStr">
        <is>
          <t>대상아님</t>
        </is>
      </c>
      <c r="T92" t="inlineStr">
        <is>
          <t>일반법인</t>
        </is>
      </c>
      <c r="U92" t="inlineStr">
        <is>
          <t>중견기업</t>
        </is>
      </c>
      <c r="V92" t="inlineStr">
        <is>
          <t>외부감사대상</t>
        </is>
      </c>
      <c r="W92" s="6" t="inlineStr">
        <is>
          <t>2018-07-30</t>
        </is>
      </c>
      <c r="X92" t="inlineStr">
        <is>
          <t>KRI:10C2622100</t>
        </is>
      </c>
      <c r="Y92" t="inlineStr">
        <is>
          <t>인쇄회로기판용 적층판 제조업</t>
        </is>
      </c>
      <c r="Z92" t="inlineStr">
        <is>
          <t>인쇄회로기판용적층판,플라스틱접착처리제품 제조/연성동판적층판,원부자재 도소매/무역/컨설팅</t>
        </is>
      </c>
      <c r="AA92" t="inlineStr">
        <is>
          <t>충북 증평군 증평읍 미암리 1071-1번지 , 에프씨씨엘 샵1 샵2</t>
        </is>
      </c>
      <c r="AB92" t="inlineStr">
        <is>
          <t>충북 증평군 증평읍 미암로 82-43, , 에프씨씨엘 샵1 샵2</t>
        </is>
      </c>
    </row>
    <row r="93" ht="19.2" customHeight="1" s="1">
      <c r="A93" t="inlineStr">
        <is>
          <t>NICE:F11537</t>
        </is>
      </c>
      <c r="B93" t="inlineStr">
        <is>
          <t>파인텍</t>
        </is>
      </c>
      <c r="C93" s="5" t="n">
        <v>158895143000</v>
      </c>
      <c r="D93" s="5" t="n">
        <v>65770054000</v>
      </c>
      <c r="E93" s="5" t="n">
        <v>93125089000</v>
      </c>
      <c r="F93" s="5" t="n">
        <v>220334591000</v>
      </c>
      <c r="G93" s="5" t="n">
        <v>43233963000</v>
      </c>
      <c r="H93" s="5" t="n">
        <v>129179105000</v>
      </c>
      <c r="I93" s="5" t="n">
        <v>17084573000</v>
      </c>
      <c r="J93" s="4" t="n">
        <v>2.386600017547607</v>
      </c>
      <c r="K93" s="4" t="n">
        <v>0.7062999606132507</v>
      </c>
      <c r="L93" s="4" t="n">
        <v>0.1961999982595444</v>
      </c>
      <c r="M93" t="inlineStr">
        <is>
          <t>노영석/장석준</t>
        </is>
      </c>
      <c r="N93" t="inlineStr">
        <is>
          <t>031-378-3716</t>
        </is>
      </c>
      <c r="O93" t="inlineStr">
        <is>
          <t>031-378-3719</t>
        </is>
      </c>
      <c r="P93" s="3">
        <f>HYPERLINK("http://www.fine-tech.kr", "http://www.fine-tech.kr")</f>
        <v/>
      </c>
      <c r="Q93" t="inlineStr">
        <is>
          <t>1248655028</t>
        </is>
      </c>
      <c r="R93" t="inlineStr">
        <is>
          <t>1348110138348</t>
        </is>
      </c>
      <c r="S93" t="inlineStr">
        <is>
          <t>대상아님</t>
        </is>
      </c>
      <c r="T93" t="inlineStr">
        <is>
          <t>일반법인</t>
        </is>
      </c>
      <c r="U93" t="inlineStr">
        <is>
          <t>중소기업</t>
        </is>
      </c>
      <c r="V93" t="inlineStr">
        <is>
          <t>외부감사대상</t>
        </is>
      </c>
      <c r="W93" s="6" t="inlineStr">
        <is>
          <t>2007-04-25</t>
        </is>
      </c>
      <c r="X93" t="inlineStr">
        <is>
          <t>KRI:10F4122500</t>
        </is>
      </c>
      <c r="Y93" t="inlineStr">
        <is>
          <t>산업생산시설 종합건설업</t>
        </is>
      </c>
      <c r="Z93" t="inlineStr">
        <is>
          <t>산업환경설비공사,가스시설시공,기계설비공사, 정보통신공사,전기공사/반도체 제조/반도체 배관 설계</t>
        </is>
      </c>
      <c r="AA93" t="inlineStr">
        <is>
          <t>경기 평택시 진위면 청호리 330-4번지</t>
        </is>
      </c>
      <c r="AB93" t="inlineStr">
        <is>
          <t>경기 평택시 진위면 진위산단로 53-60</t>
        </is>
      </c>
    </row>
    <row r="94" ht="19.2" customHeight="1" s="1">
      <c r="A94" t="inlineStr">
        <is>
          <t>NICE:786225</t>
        </is>
      </c>
      <c r="B94" t="inlineStr">
        <is>
          <t>우진전기</t>
        </is>
      </c>
      <c r="C94" s="5" t="n">
        <v>36274519000</v>
      </c>
      <c r="D94" s="5" t="n">
        <v>3364219000</v>
      </c>
      <c r="E94" s="5" t="n">
        <v>32910300000</v>
      </c>
      <c r="F94" s="5" t="n">
        <v>41858560000</v>
      </c>
      <c r="G94" s="5" t="n">
        <v>5794667000</v>
      </c>
      <c r="H94" s="5" t="n">
        <v>56858185000</v>
      </c>
      <c r="I94" s="5" t="n">
        <v>10869486000</v>
      </c>
      <c r="J94" s="4" t="n">
        <v>10.11240005493164</v>
      </c>
      <c r="K94" s="4" t="n">
        <v>0.1022000014781952</v>
      </c>
      <c r="L94" s="4" t="n">
        <v>0.1384000033140182</v>
      </c>
      <c r="M94" t="inlineStr">
        <is>
          <t>이준희</t>
        </is>
      </c>
      <c r="N94" t="inlineStr">
        <is>
          <t>043-731-5970</t>
        </is>
      </c>
      <c r="O94" t="inlineStr">
        <is>
          <t>043-731-5969</t>
        </is>
      </c>
      <c r="P94" s="3">
        <f>HYPERLINK("http://www.amcore.co.kr", "http://www.amcore.co.kr")</f>
        <v/>
      </c>
      <c r="Q94" t="inlineStr">
        <is>
          <t>3028106802</t>
        </is>
      </c>
      <c r="R94" t="inlineStr">
        <is>
          <t>1542110003432</t>
        </is>
      </c>
      <c r="S94" t="inlineStr">
        <is>
          <t>대상아님</t>
        </is>
      </c>
      <c r="T94" t="inlineStr">
        <is>
          <t>일반법인</t>
        </is>
      </c>
      <c r="U94" t="inlineStr">
        <is>
          <t>중소기업</t>
        </is>
      </c>
      <c r="V94" t="inlineStr">
        <is>
          <t>외부감사대상</t>
        </is>
      </c>
      <c r="W94" s="6" t="inlineStr">
        <is>
          <t>1996-11-14</t>
        </is>
      </c>
      <c r="X94" t="inlineStr">
        <is>
          <t>KRI:10C2811200</t>
        </is>
      </c>
      <c r="Y94" t="inlineStr">
        <is>
          <t>변압기 제조업</t>
        </is>
      </c>
      <c r="Z94" t="inlineStr">
        <is>
          <t>전력용변압기(아몰퍼스코아) 제조/전기기자재 도소매</t>
        </is>
      </c>
      <c r="AA94" t="inlineStr">
        <is>
          <t>충북 옥천군 옥천읍 구일리 832번지</t>
        </is>
      </c>
      <c r="AB94" t="inlineStr">
        <is>
          <t>충북 옥천군 옥천읍 옥천동이로 387-41</t>
        </is>
      </c>
    </row>
    <row r="95" s="1">
      <c r="A95" t="inlineStr">
        <is>
          <t>NICE:051870</t>
        </is>
      </c>
      <c r="B95" t="inlineStr">
        <is>
          <t>우림종합건설</t>
        </is>
      </c>
      <c r="C95" s="5" t="n">
        <v>120619603000</v>
      </c>
      <c r="D95" s="5" t="n">
        <v>102939182000</v>
      </c>
      <c r="E95" s="5" t="n">
        <v>17680421000</v>
      </c>
      <c r="F95" s="5" t="n">
        <v>21828552000</v>
      </c>
      <c r="G95" s="5" t="n">
        <v>2291923000</v>
      </c>
      <c r="H95" s="5" t="n">
        <v>21866494000</v>
      </c>
      <c r="I95" s="5" t="n">
        <v>2007420000</v>
      </c>
      <c r="J95" s="4" t="n">
        <v>1.255699992179871</v>
      </c>
      <c r="K95" s="4" t="n">
        <v>5.82219934463501</v>
      </c>
      <c r="L95" s="4" t="n">
        <v>0.1049999967217445</v>
      </c>
      <c r="M95" t="inlineStr">
        <is>
          <t>김병태/이승욱</t>
        </is>
      </c>
      <c r="N95" t="inlineStr">
        <is>
          <t>055-366-5261</t>
        </is>
      </c>
      <c r="O95" t="inlineStr">
        <is>
          <t>051-366-5260</t>
        </is>
      </c>
      <c r="P95">
        <f>HYPERLINK("http://www.ulim.co.kr", "http://www.ulim.co.kr")</f>
        <v/>
      </c>
      <c r="Q95" t="inlineStr">
        <is>
          <t>6208101404</t>
        </is>
      </c>
      <c r="R95" t="inlineStr">
        <is>
          <t>1812110003538</t>
        </is>
      </c>
      <c r="S95" t="inlineStr">
        <is>
          <t>대상아님</t>
        </is>
      </c>
      <c r="T95" t="inlineStr">
        <is>
          <t>일반법인</t>
        </is>
      </c>
      <c r="U95" t="inlineStr">
        <is>
          <t>중소기업</t>
        </is>
      </c>
      <c r="V95" t="inlineStr">
        <is>
          <t>외부감사대상</t>
        </is>
      </c>
      <c r="W95" s="6" t="inlineStr">
        <is>
          <t>1983-10-31</t>
        </is>
      </c>
      <c r="X95" t="inlineStr">
        <is>
          <t>KRI:10F4122000</t>
        </is>
      </c>
      <c r="Y95" t="inlineStr">
        <is>
          <t>토목시설물 건설업</t>
        </is>
      </c>
      <c r="Z95" t="inlineStr">
        <is>
          <t>토목건축공사,대지조성공사,수질환경전문공사,토질정화공사/비금속원료 재생,토양,지하수 정화,환경 복원</t>
        </is>
      </c>
      <c r="AA95" t="inlineStr">
        <is>
          <t>경남 양산시 물금읍 범어리 2715-1번지 태림프라자 3층</t>
        </is>
      </c>
      <c r="AB95" t="inlineStr">
        <is>
          <t>경남 양산시 물금읍 청운로 350, 3층 (범어리,태림프라자)</t>
        </is>
      </c>
    </row>
    <row r="96" ht="19.2" customHeight="1" s="1">
      <c r="A96" t="inlineStr">
        <is>
          <t>NICE:178455</t>
        </is>
      </c>
      <c r="B96" t="inlineStr">
        <is>
          <t>라이쏠</t>
        </is>
      </c>
      <c r="C96" s="5" t="n">
        <v>53246056000</v>
      </c>
      <c r="D96" s="5" t="n">
        <v>19159506000</v>
      </c>
      <c r="E96" s="5" t="n">
        <v>34086550000</v>
      </c>
      <c r="F96" s="5" t="n">
        <v>39960342000</v>
      </c>
      <c r="G96" s="5" t="n">
        <v>5616216000</v>
      </c>
      <c r="H96" s="5" t="n">
        <v>39310640000</v>
      </c>
      <c r="I96" s="5" t="n">
        <v>3188362000</v>
      </c>
      <c r="J96" s="4" t="n">
        <v>1.638499975204468</v>
      </c>
      <c r="K96" s="4" t="n">
        <v>0.5620999932289124</v>
      </c>
      <c r="L96" s="4" t="n">
        <v>0.1404999941587448</v>
      </c>
      <c r="M96" t="inlineStr">
        <is>
          <t>류필도/류정근</t>
        </is>
      </c>
      <c r="N96" t="inlineStr">
        <is>
          <t>032-812-7571</t>
        </is>
      </c>
      <c r="O96" t="inlineStr">
        <is>
          <t>032-812-7574</t>
        </is>
      </c>
      <c r="P96" s="3">
        <f>HYPERLINK("http://www.lisal.co.kr", "http://www.lisal.co.kr")</f>
        <v/>
      </c>
      <c r="Q96" t="inlineStr">
        <is>
          <t>1318158955</t>
        </is>
      </c>
      <c r="R96" t="inlineStr">
        <is>
          <t>1201110233081</t>
        </is>
      </c>
      <c r="S96" t="inlineStr">
        <is>
          <t>대상아님</t>
        </is>
      </c>
      <c r="T96" t="inlineStr">
        <is>
          <t>일반법인</t>
        </is>
      </c>
      <c r="U96" t="inlineStr">
        <is>
          <t>중소기업</t>
        </is>
      </c>
      <c r="V96" t="inlineStr">
        <is>
          <t>외부감사대상</t>
        </is>
      </c>
      <c r="W96" s="6" t="inlineStr">
        <is>
          <t>1984-07-20</t>
        </is>
      </c>
      <c r="X96" t="inlineStr">
        <is>
          <t>KRI:10C2219200</t>
        </is>
      </c>
      <c r="Y96" t="inlineStr">
        <is>
          <t>산업용 그 외 비경화 고무제품 제조업</t>
        </is>
      </c>
      <c r="Z96" t="inlineStr">
        <is>
          <t>고무제품,자동차부품 제조/부동산 임대</t>
        </is>
      </c>
      <c r="AA96" t="inlineStr">
        <is>
          <t>인천 남동구 논현동 433-4번지 433-3 (남동공단 22블럭 5롯트,4롯트)</t>
        </is>
      </c>
      <c r="AB96" t="inlineStr">
        <is>
          <t>인천 남동구 남동대로 297, 433-3 (남동공단 22블럭 5롯트,4롯트)</t>
        </is>
      </c>
    </row>
    <row r="97" ht="19.2" customHeight="1" s="1">
      <c r="A97" t="inlineStr">
        <is>
          <t>NICE:C07080</t>
        </is>
      </c>
      <c r="B97" t="inlineStr">
        <is>
          <t>조양정밀공업</t>
        </is>
      </c>
      <c r="C97" s="5" t="n">
        <v>40137673000</v>
      </c>
      <c r="D97" s="5" t="n">
        <v>6448546000</v>
      </c>
      <c r="E97" s="5" t="n">
        <v>33689127000</v>
      </c>
      <c r="F97" s="5" t="n">
        <v>27209581000</v>
      </c>
      <c r="G97" s="5" t="n">
        <v>4324982000</v>
      </c>
      <c r="H97" s="5" t="n">
        <v>30580083000</v>
      </c>
      <c r="I97" s="5" t="n">
        <v>2219901000</v>
      </c>
      <c r="J97" s="4" t="n">
        <v>7.291799545288086</v>
      </c>
      <c r="K97" s="4" t="n">
        <v>0.1913999915122986</v>
      </c>
      <c r="L97" s="4" t="n">
        <v>0.1589999943971634</v>
      </c>
      <c r="M97" t="inlineStr">
        <is>
          <t>임재용</t>
        </is>
      </c>
      <c r="N97" t="inlineStr">
        <is>
          <t>062-946-2511</t>
        </is>
      </c>
      <c r="O97" t="inlineStr">
        <is>
          <t>062-946-2516</t>
        </is>
      </c>
      <c r="P97" s="3" t="n"/>
      <c r="Q97" t="inlineStr">
        <is>
          <t>4108196565</t>
        </is>
      </c>
      <c r="R97" t="inlineStr">
        <is>
          <t>2001110211840</t>
        </is>
      </c>
      <c r="S97" t="inlineStr">
        <is>
          <t>대상아님</t>
        </is>
      </c>
      <c r="T97" t="inlineStr">
        <is>
          <t>일반법인</t>
        </is>
      </c>
      <c r="U97" t="inlineStr">
        <is>
          <t>중소기업</t>
        </is>
      </c>
      <c r="V97" t="inlineStr">
        <is>
          <t>외부감사대상</t>
        </is>
      </c>
      <c r="W97" s="6" t="inlineStr">
        <is>
          <t>2005-06-27</t>
        </is>
      </c>
      <c r="X97" t="inlineStr">
        <is>
          <t>KRI:10C3011000</t>
        </is>
      </c>
      <c r="Y97" t="inlineStr">
        <is>
          <t>자동차용 엔진 제조업</t>
        </is>
      </c>
      <c r="Z97" t="inlineStr">
        <is>
          <t>자동차부품(엔진조립) 제조</t>
        </is>
      </c>
      <c r="AA97" t="inlineStr">
        <is>
          <t>광주 광산구 옥동 1232-3번지</t>
        </is>
      </c>
      <c r="AB97" t="inlineStr">
        <is>
          <t>광주 광산구 평동산단3번로 70</t>
        </is>
      </c>
    </row>
    <row r="98" ht="19.2" customHeight="1" s="1">
      <c r="A98" t="inlineStr">
        <is>
          <t>NICE:LD3737</t>
        </is>
      </c>
      <c r="B98" t="inlineStr">
        <is>
          <t>큐앤드비인터내셔날</t>
        </is>
      </c>
      <c r="C98" s="5" t="n">
        <v>66511148000</v>
      </c>
      <c r="D98" s="5" t="n">
        <v>21188645000</v>
      </c>
      <c r="E98" s="5" t="n">
        <v>45322503000</v>
      </c>
      <c r="F98" s="5" t="n">
        <v>97424324000</v>
      </c>
      <c r="G98" s="5" t="n">
        <v>11263998000</v>
      </c>
      <c r="H98" s="5" t="n">
        <v>69198051000</v>
      </c>
      <c r="I98" s="5" t="n">
        <v>5527757000</v>
      </c>
      <c r="J98" s="4" t="n">
        <v>2.698299884796143</v>
      </c>
      <c r="K98" s="4" t="n">
        <v>0.4675000011920929</v>
      </c>
      <c r="L98" s="4" t="n">
        <v>0.1156000047922134</v>
      </c>
      <c r="M98" t="inlineStr">
        <is>
          <t>최덕규</t>
        </is>
      </c>
      <c r="N98" t="inlineStr">
        <is>
          <t>070-4800-4073</t>
        </is>
      </c>
      <c r="P98" s="3">
        <f>HYPERLINK("https://www.anewgolf.com/", "https://www.anewgolf.com/")</f>
        <v/>
      </c>
      <c r="Q98" t="inlineStr">
        <is>
          <t>7828601726</t>
        </is>
      </c>
      <c r="R98" t="inlineStr">
        <is>
          <t>1101117438850</t>
        </is>
      </c>
      <c r="S98" t="inlineStr">
        <is>
          <t>대상아님</t>
        </is>
      </c>
      <c r="T98" t="inlineStr">
        <is>
          <t>일반법인</t>
        </is>
      </c>
      <c r="U98" t="inlineStr">
        <is>
          <t>중소기업</t>
        </is>
      </c>
      <c r="V98" t="inlineStr">
        <is>
          <t>외부감사대상</t>
        </is>
      </c>
      <c r="W98" s="6" t="inlineStr">
        <is>
          <t>2020-03-26</t>
        </is>
      </c>
      <c r="X98" t="inlineStr">
        <is>
          <t>KRI:10C1419200</t>
        </is>
      </c>
      <c r="Y98" t="inlineStr">
        <is>
          <t>근무복, 작업복 및 유사의복 제조업</t>
        </is>
      </c>
      <c r="Z98" t="inlineStr">
        <is>
          <t>골프의류,의류,잡화 제조,도소매</t>
        </is>
      </c>
      <c r="AA98" t="inlineStr">
        <is>
          <t>서울 강남구 논현동 277-21번지 재인빌딩 4층</t>
        </is>
      </c>
      <c r="AB98" t="inlineStr">
        <is>
          <t>서울 강남구 봉은사로 315, 4층 (논현동,재인빌딩)</t>
        </is>
      </c>
    </row>
    <row r="99" ht="19.2" customHeight="1" s="1">
      <c r="A99" t="inlineStr">
        <is>
          <t>NICE:310514</t>
        </is>
      </c>
      <c r="B99" t="inlineStr">
        <is>
          <t>일산실업</t>
        </is>
      </c>
      <c r="C99" s="5" t="n">
        <v>70322130000</v>
      </c>
      <c r="D99" s="5" t="n">
        <v>17530375000</v>
      </c>
      <c r="E99" s="5" t="n">
        <v>52791755000</v>
      </c>
      <c r="F99" s="5" t="n">
        <v>60472788000</v>
      </c>
      <c r="G99" s="5" t="n">
        <v>8444085000</v>
      </c>
      <c r="H99" s="5" t="n">
        <v>59074539000</v>
      </c>
      <c r="I99" s="5" t="n">
        <v>5749008000</v>
      </c>
      <c r="J99" s="4" t="n">
        <v>2.551899909973145</v>
      </c>
      <c r="K99" s="4" t="n">
        <v>0.332099974155426</v>
      </c>
      <c r="L99" s="4" t="n">
        <v>0.1395999938249588</v>
      </c>
      <c r="M99" t="inlineStr">
        <is>
          <t>이영환/홍순곤</t>
        </is>
      </c>
      <c r="N99" t="inlineStr">
        <is>
          <t>02-796-5051</t>
        </is>
      </c>
      <c r="O99" t="inlineStr">
        <is>
          <t>02-797-1132</t>
        </is>
      </c>
      <c r="P99" s="3">
        <f>HYPERLINK("http://www.ilsanalc.com", "http://www.ilsanalc.com")</f>
        <v/>
      </c>
      <c r="Q99" t="inlineStr">
        <is>
          <t>1068120069</t>
        </is>
      </c>
      <c r="R99" t="inlineStr">
        <is>
          <t>1101110255219</t>
        </is>
      </c>
      <c r="S99" t="inlineStr">
        <is>
          <t>대상아님</t>
        </is>
      </c>
      <c r="T99" t="inlineStr">
        <is>
          <t>일반법인</t>
        </is>
      </c>
      <c r="U99" t="inlineStr">
        <is>
          <t>중소기업</t>
        </is>
      </c>
      <c r="V99" t="inlineStr">
        <is>
          <t>외부감사대상</t>
        </is>
      </c>
      <c r="W99" s="6" t="inlineStr">
        <is>
          <t>1979-06-19</t>
        </is>
      </c>
      <c r="X99" t="inlineStr">
        <is>
          <t>KRI:10C1112100</t>
        </is>
      </c>
      <c r="Y99" t="inlineStr">
        <is>
          <t>주정 제조업</t>
        </is>
      </c>
      <c r="Z99" t="inlineStr">
        <is>
          <t>주정 제조</t>
        </is>
      </c>
      <c r="AA99" t="inlineStr">
        <is>
          <t>서울 용산구 한남동 794-4번지</t>
        </is>
      </c>
      <c r="AB99" t="inlineStr">
        <is>
          <t>서울 용산구 한남대로42길 6</t>
        </is>
      </c>
    </row>
    <row r="100" ht="19.2" customHeight="1" s="1">
      <c r="A100" t="inlineStr">
        <is>
          <t>NICE:G86477</t>
        </is>
      </c>
      <c r="B100" t="inlineStr">
        <is>
          <t>아틀라스네이벌엔지니어링</t>
        </is>
      </c>
      <c r="C100" s="5" t="n">
        <v>27803217000</v>
      </c>
      <c r="D100" s="5" t="n">
        <v>14718211000</v>
      </c>
      <c r="E100" s="5" t="n">
        <v>13085007000</v>
      </c>
      <c r="F100" s="5" t="n">
        <v>34266519000</v>
      </c>
      <c r="G100" s="5" t="n">
        <v>3735511000</v>
      </c>
      <c r="H100" s="5" t="n">
        <v>27093617000</v>
      </c>
      <c r="I100" s="5" t="n">
        <v>3878392000</v>
      </c>
      <c r="J100" s="4" t="n">
        <v>1.883499979972839</v>
      </c>
      <c r="K100" s="4" t="n">
        <v>1.124799966812134</v>
      </c>
      <c r="L100" s="4" t="n">
        <v>0.1089999973773956</v>
      </c>
      <c r="M100" t="inlineStr">
        <is>
          <t>김경덕/모리츠프리드리히안드레아스로이터</t>
        </is>
      </c>
      <c r="N100" t="inlineStr">
        <is>
          <t>051-973-1370</t>
        </is>
      </c>
      <c r="O100" t="inlineStr">
        <is>
          <t>051-941-4611</t>
        </is>
      </c>
      <c r="P100" s="3">
        <f>HYPERLINK("http://www.anec-korea.com", "http://www.anec-korea.com")</f>
        <v/>
      </c>
      <c r="Q100" t="inlineStr">
        <is>
          <t>6218182415</t>
        </is>
      </c>
      <c r="R100" t="inlineStr">
        <is>
          <t>2341140000601</t>
        </is>
      </c>
      <c r="S100" t="inlineStr">
        <is>
          <t>대상아님</t>
        </is>
      </c>
      <c r="T100" t="inlineStr">
        <is>
          <t>일반법인</t>
        </is>
      </c>
      <c r="U100" t="inlineStr">
        <is>
          <t>중소기업</t>
        </is>
      </c>
      <c r="V100" t="inlineStr">
        <is>
          <t>외부감사대상</t>
        </is>
      </c>
      <c r="W100" s="6" t="inlineStr">
        <is>
          <t>2009-10-19</t>
        </is>
      </c>
      <c r="X100" t="inlineStr">
        <is>
          <t>KRI:10C2812200</t>
        </is>
      </c>
      <c r="Y100" t="inlineStr">
        <is>
          <t>전기회로 접속장치 제조업</t>
        </is>
      </c>
      <c r="Z100" t="inlineStr">
        <is>
          <t>전기회로 접속장치 제조/전자,기술설비,장비,시스템 수입,마케팅,도소매</t>
        </is>
      </c>
      <c r="AA100" t="inlineStr">
        <is>
          <t>부산 강서구 미음동 1571-10번지</t>
        </is>
      </c>
      <c r="AB100" t="inlineStr">
        <is>
          <t>부산 강서구 미음산단3로 8</t>
        </is>
      </c>
    </row>
    <row r="101" ht="19.2" customHeight="1" s="1">
      <c r="A101" t="inlineStr">
        <is>
          <t>NICE:037262</t>
        </is>
      </c>
      <c r="B101" t="inlineStr">
        <is>
          <t>썬텍인더스트리</t>
        </is>
      </c>
      <c r="C101" s="5" t="n">
        <v>166284861000</v>
      </c>
      <c r="D101" s="5" t="n">
        <v>4462133000</v>
      </c>
      <c r="E101" s="5" t="n">
        <v>161822728000</v>
      </c>
      <c r="F101" s="5" t="n">
        <v>29376870000</v>
      </c>
      <c r="G101" s="5" t="n">
        <v>3969709000</v>
      </c>
      <c r="H101" s="5" t="n">
        <v>133028869000</v>
      </c>
      <c r="I101" s="5" t="n">
        <v>22842988000</v>
      </c>
      <c r="J101" s="4" t="n">
        <v>9.057600021362305</v>
      </c>
      <c r="K101" s="4" t="n">
        <v>0.02759999968111515</v>
      </c>
      <c r="L101" s="4" t="n">
        <v>0.1350999921560287</v>
      </c>
      <c r="M101" t="inlineStr">
        <is>
          <t>신석호/정재갑</t>
        </is>
      </c>
      <c r="N101" t="inlineStr">
        <is>
          <t>031-681-1862</t>
        </is>
      </c>
      <c r="O101" t="inlineStr">
        <is>
          <t>031-681-1863</t>
        </is>
      </c>
      <c r="P101" s="3">
        <f>HYPERLINK("http://www.suntekco.co.kr", "http://www.suntekco.co.kr")</f>
        <v/>
      </c>
      <c r="Q101" t="inlineStr">
        <is>
          <t>1348127131</t>
        </is>
      </c>
      <c r="R101" t="inlineStr">
        <is>
          <t>1350110047297</t>
        </is>
      </c>
      <c r="S101" t="inlineStr">
        <is>
          <t>대상아님</t>
        </is>
      </c>
      <c r="T101" t="inlineStr">
        <is>
          <t>일반법인</t>
        </is>
      </c>
      <c r="U101" t="inlineStr">
        <is>
          <t>중견기업</t>
        </is>
      </c>
      <c r="V101" t="inlineStr">
        <is>
          <t>외부감사대상</t>
        </is>
      </c>
      <c r="W101" s="6" t="inlineStr">
        <is>
          <t>1995-06-22</t>
        </is>
      </c>
      <c r="X101" t="inlineStr">
        <is>
          <t>KRI:10C2399200</t>
        </is>
      </c>
      <c r="Y101" t="inlineStr">
        <is>
          <t>연마재 제조업</t>
        </is>
      </c>
      <c r="Z101" t="inlineStr">
        <is>
          <t>연마재 제조,가공,도매</t>
        </is>
      </c>
      <c r="AA101" t="inlineStr">
        <is>
          <t>경기 평택시 포승읍 원정리 1205-7번지</t>
        </is>
      </c>
      <c r="AB101" t="inlineStr">
        <is>
          <t>경기 평택시 포승읍 평택항만길 399-8</t>
        </is>
      </c>
    </row>
    <row r="102" ht="19.2" customHeight="1" s="1">
      <c r="A102" t="inlineStr">
        <is>
          <t>NICE:392179</t>
        </is>
      </c>
      <c r="B102" t="inlineStr">
        <is>
          <t>나우이엘</t>
        </is>
      </c>
      <c r="C102" s="5" t="n">
        <v>23794081000</v>
      </c>
      <c r="D102" s="5" t="n">
        <v>6890042000</v>
      </c>
      <c r="E102" s="5" t="n">
        <v>16904039000</v>
      </c>
      <c r="F102" s="5" t="n">
        <v>26837842000</v>
      </c>
      <c r="G102" s="5" t="n">
        <v>3940387000</v>
      </c>
      <c r="H102" s="5" t="n">
        <v>25642978000</v>
      </c>
      <c r="I102" s="5" t="n">
        <v>3789399000</v>
      </c>
      <c r="J102" s="4" t="n">
        <v>2.112499952316284</v>
      </c>
      <c r="K102" s="4" t="n">
        <v>0.4075999855995178</v>
      </c>
      <c r="L102" s="4" t="n">
        <v>0.1467999964952469</v>
      </c>
      <c r="M102" t="inlineStr">
        <is>
          <t>김인호</t>
        </is>
      </c>
      <c r="N102" t="inlineStr">
        <is>
          <t>031-997-4271</t>
        </is>
      </c>
      <c r="O102" t="inlineStr">
        <is>
          <t>0507-0325-6482</t>
        </is>
      </c>
      <c r="P102" s="3">
        <f>HYPERLINK("http://www.nawooel.com", "http://www.nawooel.com")</f>
        <v/>
      </c>
      <c r="Q102" t="inlineStr">
        <is>
          <t>1378147140</t>
        </is>
      </c>
      <c r="R102" t="inlineStr">
        <is>
          <t>1244110055287</t>
        </is>
      </c>
      <c r="S102" t="inlineStr">
        <is>
          <t>대상아님</t>
        </is>
      </c>
      <c r="T102" t="inlineStr">
        <is>
          <t>일반법인</t>
        </is>
      </c>
      <c r="U102" t="inlineStr">
        <is>
          <t>중소기업</t>
        </is>
      </c>
      <c r="V102" t="inlineStr">
        <is>
          <t>외부감사대상</t>
        </is>
      </c>
      <c r="W102" s="6" t="inlineStr">
        <is>
          <t>2002-07-11</t>
        </is>
      </c>
      <c r="X102" t="inlineStr">
        <is>
          <t>KRI:10C2512100</t>
        </is>
      </c>
      <c r="Y102" t="inlineStr">
        <is>
          <t>산업용 난방보일러 및 방열기 제조업</t>
        </is>
      </c>
      <c r="Z102" t="inlineStr">
        <is>
          <t>냉,난방기,전기제품,공기조화기,제습기,전기용품 제조/전기제품,기름난방기 도매,무역,통신판매</t>
        </is>
      </c>
      <c r="AA102" t="inlineStr">
        <is>
          <t>경기 김포시 대곶면 송마리 104-19번지</t>
        </is>
      </c>
      <c r="AB102" t="inlineStr">
        <is>
          <t>경기 김포시 대곶면 율생중앙로169번길 76</t>
        </is>
      </c>
    </row>
    <row r="103" ht="19.2" customHeight="1" s="1">
      <c r="A103" t="inlineStr">
        <is>
          <t>NICE:IO7240</t>
        </is>
      </c>
      <c r="B103" t="inlineStr">
        <is>
          <t>에스제이머티리얼즈</t>
        </is>
      </c>
      <c r="C103" s="5" t="n">
        <v>17996355000</v>
      </c>
      <c r="D103" s="5" t="n">
        <v>3109275000</v>
      </c>
      <c r="E103" s="5" t="n">
        <v>14887080000</v>
      </c>
      <c r="F103" s="5" t="n">
        <v>32800676000</v>
      </c>
      <c r="G103" s="5" t="n">
        <v>4461576000</v>
      </c>
      <c r="H103" s="5" t="n">
        <v>26975462000</v>
      </c>
      <c r="I103" s="5" t="n">
        <v>3467271000</v>
      </c>
      <c r="J103" s="4" t="n">
        <v>4.040799617767334</v>
      </c>
      <c r="K103" s="4" t="n">
        <v>0.2088999897241592</v>
      </c>
      <c r="L103" s="4" t="n">
        <v>0.136000007390976</v>
      </c>
      <c r="M103" t="inlineStr">
        <is>
          <t>표지웅/최재호</t>
        </is>
      </c>
      <c r="N103" t="inlineStr">
        <is>
          <t>02-588-9993</t>
        </is>
      </c>
      <c r="O103" t="inlineStr">
        <is>
          <t>02-588-9996</t>
        </is>
      </c>
      <c r="P103" s="3">
        <f>HYPERLINK("http://www.sjmtrs.com", "http://www.sjmtrs.com")</f>
        <v/>
      </c>
      <c r="Q103" t="inlineStr">
        <is>
          <t>3078600716</t>
        </is>
      </c>
      <c r="R103" t="inlineStr">
        <is>
          <t>1101116350047</t>
        </is>
      </c>
      <c r="S103" t="inlineStr">
        <is>
          <t>대상아님</t>
        </is>
      </c>
      <c r="T103" t="inlineStr">
        <is>
          <t>일반법인</t>
        </is>
      </c>
      <c r="U103" t="inlineStr">
        <is>
          <t>중소기업</t>
        </is>
      </c>
      <c r="V103" t="inlineStr">
        <is>
          <t>외부감사대상</t>
        </is>
      </c>
      <c r="W103" s="6" t="inlineStr">
        <is>
          <t>2017-03-20</t>
        </is>
      </c>
      <c r="X103" t="inlineStr">
        <is>
          <t>KRI:10C1922900</t>
        </is>
      </c>
      <c r="Y103" t="inlineStr">
        <is>
          <t>기타 석유정제물 재처리업</t>
        </is>
      </c>
      <c r="Z103" t="inlineStr">
        <is>
          <t>석유정제물 재처리</t>
        </is>
      </c>
      <c r="AA103" t="inlineStr">
        <is>
          <t>서울 서초구 서초동 1629-3번지</t>
        </is>
      </c>
      <c r="AB103" t="inlineStr">
        <is>
          <t>서울 서초구 사임당로 86</t>
        </is>
      </c>
    </row>
    <row r="104" ht="19.2" customHeight="1" s="1">
      <c r="A104" t="inlineStr">
        <is>
          <t>NICE:IX7720</t>
        </is>
      </c>
      <c r="B104" t="inlineStr">
        <is>
          <t>동아</t>
        </is>
      </c>
      <c r="C104" s="5" t="n">
        <v>117450300000</v>
      </c>
      <c r="D104" s="5" t="n">
        <v>39503414000</v>
      </c>
      <c r="E104" s="5" t="n">
        <v>77946885000</v>
      </c>
      <c r="F104" s="5" t="n">
        <v>94641370000</v>
      </c>
      <c r="G104" s="5" t="n">
        <v>11927162000</v>
      </c>
      <c r="H104" s="5" t="n">
        <v>92657288000</v>
      </c>
      <c r="I104" s="5" t="n">
        <v>11370180000</v>
      </c>
      <c r="J104" s="4" t="n">
        <v>1.726799845695496</v>
      </c>
      <c r="K104" s="4" t="n">
        <v>0.5067999958992004</v>
      </c>
      <c r="L104" s="4" t="n">
        <v>0.1260000020265579</v>
      </c>
      <c r="M104" t="inlineStr">
        <is>
          <t>도성득</t>
        </is>
      </c>
      <c r="N104" t="inlineStr">
        <is>
          <t>055-273-2111</t>
        </is>
      </c>
      <c r="O104" t="inlineStr">
        <is>
          <t>055-273-2115</t>
        </is>
      </c>
      <c r="P104" s="3">
        <f>HYPERLINK("http://www.dongahbolt.co.kr", "http://www.dongahbolt.co.kr")</f>
        <v/>
      </c>
      <c r="Q104" t="inlineStr">
        <is>
          <t>1668601069</t>
        </is>
      </c>
      <c r="R104" t="inlineStr">
        <is>
          <t>1942110280298</t>
        </is>
      </c>
      <c r="S104" t="inlineStr">
        <is>
          <t>대상아님</t>
        </is>
      </c>
      <c r="T104" t="inlineStr">
        <is>
          <t>일반법인</t>
        </is>
      </c>
      <c r="U104" t="inlineStr">
        <is>
          <t>중견기업</t>
        </is>
      </c>
      <c r="V104" t="inlineStr">
        <is>
          <t>외부감사대상</t>
        </is>
      </c>
      <c r="W104" s="6" t="inlineStr">
        <is>
          <t>2018-01-02</t>
        </is>
      </c>
      <c r="X104" t="inlineStr">
        <is>
          <t>KRI:10C2594100</t>
        </is>
      </c>
      <c r="Y104" t="inlineStr">
        <is>
          <t>볼트 및 너트류 제조업</t>
        </is>
      </c>
      <c r="Z104" t="inlineStr">
        <is>
          <t>볼트,너트,금속소재열처리 제조/부동산 임대</t>
        </is>
      </c>
      <c r="AA104" t="inlineStr">
        <is>
          <t>경남 창원시 성산구 대원동 91번지</t>
        </is>
      </c>
      <c r="AB104" t="inlineStr">
        <is>
          <t>경남 창원시 성산구 남면로113번길 20</t>
        </is>
      </c>
    </row>
    <row r="105" ht="19.2" customHeight="1" s="1">
      <c r="A105" t="inlineStr">
        <is>
          <t>NICE:356565</t>
        </is>
      </c>
      <c r="B105" t="inlineStr">
        <is>
          <t>에이치에이코리아</t>
        </is>
      </c>
      <c r="C105" s="5" t="n">
        <v>29906539000</v>
      </c>
      <c r="D105" s="5" t="n">
        <v>8457968000</v>
      </c>
      <c r="E105" s="5" t="n">
        <v>21448571000</v>
      </c>
      <c r="F105" s="5" t="n">
        <v>41991964000</v>
      </c>
      <c r="G105" s="5" t="n">
        <v>4892233000</v>
      </c>
      <c r="H105" s="5" t="n">
        <v>44858587000</v>
      </c>
      <c r="I105" s="5" t="n">
        <v>5425723000</v>
      </c>
      <c r="J105" s="4" t="n">
        <v>2.004899978637695</v>
      </c>
      <c r="K105" s="4" t="n">
        <v>0.3942999839782715</v>
      </c>
      <c r="L105" s="4" t="n">
        <v>0.1164999902248383</v>
      </c>
      <c r="M105" t="inlineStr">
        <is>
          <t>배기호</t>
        </is>
      </c>
      <c r="N105" t="inlineStr">
        <is>
          <t>031-364-0410</t>
        </is>
      </c>
      <c r="O105" t="inlineStr">
        <is>
          <t>031-499-1249</t>
        </is>
      </c>
      <c r="P105" s="3">
        <f>HYPERLINK("http://www.hakorea.co.kr", "http://www.hakorea.co.kr")</f>
        <v/>
      </c>
      <c r="Q105" t="inlineStr">
        <is>
          <t>1338125673</t>
        </is>
      </c>
      <c r="R105" t="inlineStr">
        <is>
          <t>1201110054867</t>
        </is>
      </c>
      <c r="S105" t="inlineStr">
        <is>
          <t>대상아님</t>
        </is>
      </c>
      <c r="T105" t="inlineStr">
        <is>
          <t>일반법인</t>
        </is>
      </c>
      <c r="U105" t="inlineStr">
        <is>
          <t>중견기업</t>
        </is>
      </c>
      <c r="V105" t="inlineStr">
        <is>
          <t>외부감사대상</t>
        </is>
      </c>
      <c r="W105" s="6" t="inlineStr">
        <is>
          <t>1989-11-30</t>
        </is>
      </c>
      <c r="X105" t="inlineStr">
        <is>
          <t>KRI:10C2049900</t>
        </is>
      </c>
      <c r="Y105" t="inlineStr">
        <is>
          <t>그 외 기타 분류 안된 화학제품 제조업</t>
        </is>
      </c>
      <c r="Z105" t="inlineStr">
        <is>
          <t>주물용,마찰재용,지석연마용 점결제 제조,도매</t>
        </is>
      </c>
      <c r="AA105" t="inlineStr">
        <is>
          <t>경기 시흥시 정왕동 1237-4번지</t>
        </is>
      </c>
      <c r="AB105" t="inlineStr">
        <is>
          <t>경기 시흥시 경제로 45</t>
        </is>
      </c>
    </row>
    <row r="106" ht="19.2" customHeight="1" s="1">
      <c r="A106" t="inlineStr">
        <is>
          <t>NICE:030248</t>
        </is>
      </c>
      <c r="B106" t="inlineStr">
        <is>
          <t>한국스미토모상사</t>
        </is>
      </c>
      <c r="C106" s="5" t="n">
        <v>40883963000</v>
      </c>
      <c r="D106" s="5" t="n">
        <v>17702184000</v>
      </c>
      <c r="E106" s="5" t="n">
        <v>23181780000</v>
      </c>
      <c r="F106" s="5" t="n">
        <v>28302878000</v>
      </c>
      <c r="G106" s="5" t="n">
        <v>3468787000</v>
      </c>
      <c r="H106" s="5" t="n">
        <v>36468061000</v>
      </c>
      <c r="I106" s="5" t="n">
        <v>4563975000</v>
      </c>
      <c r="J106" s="4" t="n">
        <v>1.821099996566772</v>
      </c>
      <c r="K106" s="4" t="n">
        <v>0.7635999917984009</v>
      </c>
      <c r="L106" s="4" t="n">
        <v>0.1225999966263771</v>
      </c>
      <c r="M106" t="inlineStr">
        <is>
          <t>이나바마코토</t>
        </is>
      </c>
      <c r="N106" t="inlineStr">
        <is>
          <t>02-721-1114</t>
        </is>
      </c>
      <c r="O106" t="inlineStr">
        <is>
          <t>02-721-1411</t>
        </is>
      </c>
      <c r="P106" s="3">
        <f>HYPERLINK("http://www.sumitomocorp.co.kr", "http://www.sumitomocorp.co.kr")</f>
        <v/>
      </c>
      <c r="Q106" t="inlineStr">
        <is>
          <t>1028134616</t>
        </is>
      </c>
      <c r="R106" t="inlineStr">
        <is>
          <t>1101111043267</t>
        </is>
      </c>
      <c r="S106" t="inlineStr">
        <is>
          <t>대상아님</t>
        </is>
      </c>
      <c r="T106" t="inlineStr">
        <is>
          <t>일반법인</t>
        </is>
      </c>
      <c r="U106" t="inlineStr">
        <is>
          <t>중소기업</t>
        </is>
      </c>
      <c r="V106" t="inlineStr">
        <is>
          <t>외부감사대상</t>
        </is>
      </c>
      <c r="W106" s="6" t="inlineStr">
        <is>
          <t>1994-06-03</t>
        </is>
      </c>
      <c r="X106" t="inlineStr">
        <is>
          <t>KRI:10G4680000</t>
        </is>
      </c>
      <c r="Y106" t="inlineStr">
        <is>
          <t>상품 종합 도매업</t>
        </is>
      </c>
      <c r="Z106" t="inlineStr">
        <is>
          <t>무역</t>
        </is>
      </c>
      <c r="AA106" t="inlineStr">
        <is>
          <t>서울 종로구 종로1가 1번지 교보생명빌딩 20층</t>
        </is>
      </c>
      <c r="AB106" t="inlineStr">
        <is>
          <t>서울 종로구 종로 1, 20층 (종로1가,교보생명빌딩)</t>
        </is>
      </c>
    </row>
    <row r="107" ht="19.2" customHeight="1" s="1">
      <c r="A107" t="inlineStr">
        <is>
          <t>NICE:719250</t>
        </is>
      </c>
      <c r="B107" t="inlineStr">
        <is>
          <t>한국퀄컴</t>
        </is>
      </c>
      <c r="C107" s="5" t="n">
        <v>35026795000</v>
      </c>
      <c r="D107" s="5" t="n">
        <v>26460910000</v>
      </c>
      <c r="E107" s="5" t="n">
        <v>8565885000</v>
      </c>
      <c r="F107" s="5" t="n">
        <v>79339864000</v>
      </c>
      <c r="G107" s="5" t="n">
        <v>10819955000</v>
      </c>
      <c r="H107" s="5" t="n">
        <v>78295954000</v>
      </c>
      <c r="I107" s="5" t="n">
        <v>10369352000</v>
      </c>
      <c r="J107" s="4" t="n">
        <v>1.163800001144409</v>
      </c>
      <c r="K107" s="4" t="n">
        <v>3.089099884033203</v>
      </c>
      <c r="L107" s="4" t="n">
        <v>0.1363999992609024</v>
      </c>
      <c r="M107" t="inlineStr">
        <is>
          <t>디셈버그린엔리케즈</t>
        </is>
      </c>
      <c r="N107" t="inlineStr">
        <is>
          <t>02-3404-1114</t>
        </is>
      </c>
      <c r="O107" t="inlineStr">
        <is>
          <t>02-3404-1123</t>
        </is>
      </c>
      <c r="P107" s="3">
        <f>HYPERLINK("http://www.qualcomm.com", "http://www.qualcomm.com")</f>
        <v/>
      </c>
      <c r="Q107" t="inlineStr">
        <is>
          <t>1208176201</t>
        </is>
      </c>
      <c r="R107" t="inlineStr">
        <is>
          <t>1101140228898</t>
        </is>
      </c>
      <c r="S107" t="inlineStr">
        <is>
          <t>대상아님</t>
        </is>
      </c>
      <c r="T107" t="inlineStr">
        <is>
          <t>일반법인</t>
        </is>
      </c>
      <c r="U107" t="inlineStr">
        <is>
          <t>중소기업</t>
        </is>
      </c>
      <c r="V107" t="inlineStr">
        <is>
          <t>외부감사대상</t>
        </is>
      </c>
      <c r="W107" s="6" t="inlineStr">
        <is>
          <t>1997-09-12</t>
        </is>
      </c>
      <c r="X107" t="inlineStr">
        <is>
          <t>KRI:10H5210100</t>
        </is>
      </c>
      <c r="Y107" t="inlineStr">
        <is>
          <t>일반 창고업</t>
        </is>
      </c>
      <c r="Z107" t="inlineStr">
        <is>
          <t>창고/통신장비,전기용기계장비,관련기자재,산업용기계장비 도소매/무역,무역중개/토목공사,통신공사</t>
        </is>
      </c>
      <c r="AA107" t="inlineStr">
        <is>
          <t>서울 용산구 한강로2가 424번지 15층</t>
        </is>
      </c>
      <c r="AB107" t="inlineStr">
        <is>
          <t>서울 용산구 한강대로 100, 15층</t>
        </is>
      </c>
    </row>
    <row r="108" ht="19.2" customHeight="1" s="1">
      <c r="A108" t="inlineStr">
        <is>
          <t>NICE:394287</t>
        </is>
      </c>
      <c r="B108" t="inlineStr">
        <is>
          <t>베스컴글로벌</t>
        </is>
      </c>
      <c r="C108" s="5" t="n">
        <v>28117205000</v>
      </c>
      <c r="D108" s="5" t="n">
        <v>8135945000</v>
      </c>
      <c r="E108" s="5" t="n">
        <v>19981260000</v>
      </c>
      <c r="F108" s="5" t="n">
        <v>30337139000</v>
      </c>
      <c r="G108" s="5" t="n">
        <v>3538221000</v>
      </c>
      <c r="H108" s="5" t="n">
        <v>46061943000</v>
      </c>
      <c r="I108" s="5" t="n">
        <v>7110307000</v>
      </c>
      <c r="J108" s="4" t="n">
        <v>3.731299877166748</v>
      </c>
      <c r="K108" s="4" t="n">
        <v>0.4072000086307526</v>
      </c>
      <c r="L108" s="4" t="n">
        <v>0.1165999993681908</v>
      </c>
      <c r="M108" t="inlineStr">
        <is>
          <t>서종욱</t>
        </is>
      </c>
      <c r="N108" t="inlineStr">
        <is>
          <t>02-3415-2255</t>
        </is>
      </c>
      <c r="O108" t="inlineStr">
        <is>
          <t>02-2135-5337</t>
        </is>
      </c>
      <c r="P108" s="3">
        <f>HYPERLINK("http://www.bescomm.com", "http://www.bescomm.com")</f>
        <v/>
      </c>
      <c r="Q108" t="inlineStr">
        <is>
          <t>2148646026</t>
        </is>
      </c>
      <c r="R108" t="inlineStr">
        <is>
          <t>1101111852428</t>
        </is>
      </c>
      <c r="S108" t="inlineStr">
        <is>
          <t>대상아님</t>
        </is>
      </c>
      <c r="T108" t="inlineStr">
        <is>
          <t>일반법인</t>
        </is>
      </c>
      <c r="U108" t="inlineStr">
        <is>
          <t>중소기업</t>
        </is>
      </c>
      <c r="V108" t="inlineStr">
        <is>
          <t>외부감사대상</t>
        </is>
      </c>
      <c r="W108" s="6" t="inlineStr">
        <is>
          <t>2000-01-14</t>
        </is>
      </c>
      <c r="X108" t="inlineStr">
        <is>
          <t>KRI:10G4672100</t>
        </is>
      </c>
      <c r="Y108" t="inlineStr">
        <is>
          <t>1차 금속제품 도매업</t>
        </is>
      </c>
      <c r="Z108" t="inlineStr">
        <is>
          <t>전자부품 도소매,제조</t>
        </is>
      </c>
      <c r="AA108" t="inlineStr">
        <is>
          <t>서울 서초구 서초동 1438-7번지 벰스빌딩 3층</t>
        </is>
      </c>
      <c r="AB108" t="inlineStr">
        <is>
          <t>서울 서초구 효령로 358, 3층 (서초동,벰스빌딩)</t>
        </is>
      </c>
    </row>
    <row r="109" s="1">
      <c r="A109" t="inlineStr">
        <is>
          <t>NICE:B93921</t>
        </is>
      </c>
      <c r="B109" t="inlineStr">
        <is>
          <t>대한축구협회</t>
        </is>
      </c>
      <c r="C109" s="5" t="n">
        <v>204200889000</v>
      </c>
      <c r="D109" s="5" t="n">
        <v>91687740000</v>
      </c>
      <c r="E109" s="5" t="n">
        <v>112513149000</v>
      </c>
      <c r="F109" s="5" t="n">
        <v>115765974000</v>
      </c>
      <c r="G109" s="5" t="n">
        <v>17238841000</v>
      </c>
      <c r="H109" s="5" t="n">
        <v>112647332000</v>
      </c>
      <c r="I109" s="5" t="n">
        <v>18982819000</v>
      </c>
      <c r="J109" s="4" t="n">
        <v>2.896600008010864</v>
      </c>
      <c r="K109" s="4" t="n">
        <v>0.8148999810218811</v>
      </c>
      <c r="L109" s="4" t="n">
        <v>0.1489000022411346</v>
      </c>
      <c r="M109" t="inlineStr">
        <is>
          <t>정몽규</t>
        </is>
      </c>
      <c r="N109" t="inlineStr">
        <is>
          <t>02-2002-0707</t>
        </is>
      </c>
      <c r="O109" t="inlineStr">
        <is>
          <t>02-2002-0611</t>
        </is>
      </c>
      <c r="P109">
        <f>HYPERLINK("http://www.kfa.or.kr", "http://www.kfa.or.kr")</f>
        <v/>
      </c>
      <c r="Q109" t="inlineStr">
        <is>
          <t>1028200068</t>
        </is>
      </c>
      <c r="R109" t="inlineStr">
        <is>
          <t>1101210040932</t>
        </is>
      </c>
      <c r="S109" t="inlineStr">
        <is>
          <t>대상아님</t>
        </is>
      </c>
      <c r="T109" t="inlineStr">
        <is>
          <t>비영리법인</t>
        </is>
      </c>
      <c r="U109" t="inlineStr">
        <is>
          <t>대상아님</t>
        </is>
      </c>
      <c r="V109" t="inlineStr">
        <is>
          <t>외부감사비대상</t>
        </is>
      </c>
      <c r="W109" s="6" t="inlineStr">
        <is>
          <t>2005-11-02</t>
        </is>
      </c>
      <c r="X109" t="inlineStr">
        <is>
          <t>KRI:10S9499000</t>
        </is>
      </c>
      <c r="Y109" t="inlineStr">
        <is>
          <t>그 외 기타 협회 및 단체</t>
        </is>
      </c>
      <c r="Z109" t="inlineStr">
        <is>
          <t>협회/경기 단체,후원/통신 판매/부동산 임대</t>
        </is>
      </c>
      <c r="AA109" t="inlineStr">
        <is>
          <t>충남 천안시 서북구 입장면 가산리 690번지 코리아풋볼파크</t>
        </is>
      </c>
      <c r="AB109" t="inlineStr">
        <is>
          <t>충남 천안시 서북구 입장면 코리아풋볼파크1로 55 (가산리,코리아풋볼파크)</t>
        </is>
      </c>
    </row>
    <row r="110" ht="19.2" customHeight="1" s="1">
      <c r="A110" t="inlineStr">
        <is>
          <t>NICE:C81475</t>
        </is>
      </c>
      <c r="B110" t="inlineStr">
        <is>
          <t>민성</t>
        </is>
      </c>
      <c r="C110" s="5" t="n">
        <v>43880045000</v>
      </c>
      <c r="D110" s="5" t="n">
        <v>22904739000</v>
      </c>
      <c r="E110" s="5" t="n">
        <v>20975306000</v>
      </c>
      <c r="F110" s="5" t="n">
        <v>110756070000</v>
      </c>
      <c r="G110" s="5" t="n">
        <v>13739519000</v>
      </c>
      <c r="H110" s="5" t="n">
        <v>118850647000</v>
      </c>
      <c r="I110" s="5" t="n">
        <v>4311137000</v>
      </c>
      <c r="J110" s="4" t="n">
        <v>1.834999918937683</v>
      </c>
      <c r="K110" s="4" t="n">
        <v>1.091999888420105</v>
      </c>
      <c r="L110" s="4" t="n">
        <v>0.1240999922156334</v>
      </c>
      <c r="M110" t="inlineStr">
        <is>
          <t>권택장</t>
        </is>
      </c>
      <c r="N110" t="inlineStr">
        <is>
          <t>052-266-6417</t>
        </is>
      </c>
      <c r="O110" t="inlineStr">
        <is>
          <t>052-266-6419</t>
        </is>
      </c>
      <c r="P110" s="3">
        <f>HYPERLINK("http://www.minsungei.co.kr", "http://www.minsungei.co.kr")</f>
        <v/>
      </c>
      <c r="Q110" t="inlineStr">
        <is>
          <t>6108189801</t>
        </is>
      </c>
      <c r="R110" t="inlineStr">
        <is>
          <t>2301110138048</t>
        </is>
      </c>
      <c r="S110" t="inlineStr">
        <is>
          <t>대상아님</t>
        </is>
      </c>
      <c r="T110" t="inlineStr">
        <is>
          <t>일반법인</t>
        </is>
      </c>
      <c r="U110" t="inlineStr">
        <is>
          <t>중소기업</t>
        </is>
      </c>
      <c r="V110" t="inlineStr">
        <is>
          <t>외부감사대상</t>
        </is>
      </c>
      <c r="W110" s="6" t="inlineStr">
        <is>
          <t>2007-11-09</t>
        </is>
      </c>
      <c r="X110" t="inlineStr">
        <is>
          <t>KRI:10F4231100</t>
        </is>
      </c>
      <c r="Y110" t="inlineStr">
        <is>
          <t>일반전기 공사업</t>
        </is>
      </c>
      <c r="Z110" t="inlineStr">
        <is>
          <t>전기공사,정보통신공사,소방시설공사/배전반,전기자동제어 제조/전기자재 도소매</t>
        </is>
      </c>
      <c r="AA110" t="inlineStr">
        <is>
          <t>울산 울주군 청량읍 상남리 800-8번지</t>
        </is>
      </c>
      <c r="AB110" t="inlineStr">
        <is>
          <t>울산 울주군 청량읍 상남2길 25-4</t>
        </is>
      </c>
    </row>
    <row r="111" ht="19.2" customHeight="1" s="1">
      <c r="A111" t="inlineStr">
        <is>
          <t>NICE:G41645</t>
        </is>
      </c>
      <c r="B111" t="inlineStr">
        <is>
          <t>케이솔루션</t>
        </is>
      </c>
      <c r="C111" s="5" t="n">
        <v>42890538000</v>
      </c>
      <c r="D111" s="5" t="n">
        <v>24637349000</v>
      </c>
      <c r="E111" s="5" t="n">
        <v>18253190000</v>
      </c>
      <c r="F111" s="5" t="n">
        <v>34565454000</v>
      </c>
      <c r="G111" s="5" t="n">
        <v>4455403000</v>
      </c>
      <c r="H111" s="5" t="n">
        <v>22852247000</v>
      </c>
      <c r="I111" s="5" t="n">
        <v>1716533000</v>
      </c>
      <c r="J111" s="4" t="n">
        <v>1.077099919319153</v>
      </c>
      <c r="K111" s="4" t="n">
        <v>1.349799871444702</v>
      </c>
      <c r="L111" s="4" t="n">
        <v>0.1289000064134598</v>
      </c>
      <c r="M111" t="inlineStr">
        <is>
          <t>홍진기</t>
        </is>
      </c>
      <c r="N111" t="inlineStr">
        <is>
          <t>041-533-9194</t>
        </is>
      </c>
      <c r="O111" t="inlineStr">
        <is>
          <t>0505-515-9194</t>
        </is>
      </c>
      <c r="P111" s="3">
        <f>HYPERLINK("http://www.ke-solution.co.kr", "http://www.ke-solution.co.kr")</f>
        <v/>
      </c>
      <c r="Q111" t="inlineStr">
        <is>
          <t>1258177374</t>
        </is>
      </c>
      <c r="R111" t="inlineStr">
        <is>
          <t>1346110040026</t>
        </is>
      </c>
      <c r="S111" t="inlineStr">
        <is>
          <t>대상아님</t>
        </is>
      </c>
      <c r="T111" t="inlineStr">
        <is>
          <t>일반법인</t>
        </is>
      </c>
      <c r="U111" t="inlineStr">
        <is>
          <t>중소기업</t>
        </is>
      </c>
      <c r="V111" t="inlineStr">
        <is>
          <t>외부감사대상</t>
        </is>
      </c>
      <c r="W111" s="6" t="inlineStr">
        <is>
          <t>2008-10-16</t>
        </is>
      </c>
      <c r="X111" t="inlineStr">
        <is>
          <t>KRI:10C2916100</t>
        </is>
      </c>
      <c r="Y111" t="inlineStr">
        <is>
          <t>산업용 트럭 및 적재기 제조업</t>
        </is>
      </c>
      <c r="Z111" t="inlineStr">
        <is>
          <t>지게차,배터리 제조</t>
        </is>
      </c>
      <c r="AA111" t="inlineStr">
        <is>
          <t>충남 아산시 영인면 신봉리 430-2번지</t>
        </is>
      </c>
      <c r="AB111" t="inlineStr">
        <is>
          <t>충남 아산시 영인면 신봉길242번길 35-5</t>
        </is>
      </c>
    </row>
    <row r="112" ht="19.2" customHeight="1" s="1">
      <c r="A112" t="inlineStr">
        <is>
          <t>NICE:514560</t>
        </is>
      </c>
      <c r="B112" t="inlineStr">
        <is>
          <t>두원</t>
        </is>
      </c>
      <c r="C112" s="5" t="n">
        <v>316009601000</v>
      </c>
      <c r="D112" s="5" t="n">
        <v>38400146000</v>
      </c>
      <c r="E112" s="5" t="n">
        <v>277609454000</v>
      </c>
      <c r="F112" s="5" t="n">
        <v>198842060000</v>
      </c>
      <c r="G112" s="5" t="n">
        <v>22346578000</v>
      </c>
      <c r="H112" s="5" t="n">
        <v>169955320000</v>
      </c>
      <c r="I112" s="5" t="n">
        <v>19053729000</v>
      </c>
      <c r="J112" s="4" t="n">
        <v>4.279799938201904</v>
      </c>
      <c r="K112" s="4" t="n">
        <v>0.1383000016212463</v>
      </c>
      <c r="L112" s="4" t="n">
        <v>0.1123999953269958</v>
      </c>
      <c r="M112" t="inlineStr">
        <is>
          <t>김나영</t>
        </is>
      </c>
      <c r="N112" t="inlineStr">
        <is>
          <t>041-536-1031</t>
        </is>
      </c>
      <c r="O112" t="inlineStr">
        <is>
          <t>041-562-4380</t>
        </is>
      </c>
      <c r="P112" s="3">
        <f>HYPERLINK("http://www.doowoncorp.com", "http://www.doowoncorp.com")</f>
        <v/>
      </c>
      <c r="Q112" t="inlineStr">
        <is>
          <t>2118180957</t>
        </is>
      </c>
      <c r="R112" t="inlineStr">
        <is>
          <t>1101110345672</t>
        </is>
      </c>
      <c r="S112" t="inlineStr">
        <is>
          <t>대상아님</t>
        </is>
      </c>
      <c r="T112" t="inlineStr">
        <is>
          <t>일반법인</t>
        </is>
      </c>
      <c r="U112" t="inlineStr">
        <is>
          <t>중견기업</t>
        </is>
      </c>
      <c r="V112" t="inlineStr">
        <is>
          <t>외부감사대상</t>
        </is>
      </c>
      <c r="W112" s="6" t="inlineStr">
        <is>
          <t>1983-03-11</t>
        </is>
      </c>
      <c r="X112" t="inlineStr">
        <is>
          <t>KRI:10G4521900</t>
        </is>
      </c>
      <c r="Y112" t="inlineStr">
        <is>
          <t>기타 자동차 신품 부품 및 내장품 판매업</t>
        </is>
      </c>
      <c r="Z112" t="inlineStr">
        <is>
          <t>자동차용연료분사장치,연료분사장치,냉방장치 판매,제조/부동산 임대</t>
        </is>
      </c>
      <c r="AA112" t="inlineStr">
        <is>
          <t>충남 아산시 음봉면 삼거리 91-11번지</t>
        </is>
      </c>
      <c r="AB112" t="inlineStr">
        <is>
          <t>충남 아산시 음봉면 음봉면로 90</t>
        </is>
      </c>
    </row>
    <row r="113" ht="19.2" customHeight="1" s="1">
      <c r="A113" t="inlineStr">
        <is>
          <t>NICE:I78976</t>
        </is>
      </c>
      <c r="B113" t="inlineStr">
        <is>
          <t>에이치에스하이테크</t>
        </is>
      </c>
      <c r="C113" s="5" t="n">
        <v>33143534000</v>
      </c>
      <c r="D113" s="5" t="n">
        <v>19619912000</v>
      </c>
      <c r="E113" s="5" t="n">
        <v>13523622000</v>
      </c>
      <c r="F113" s="5" t="n">
        <v>26783744000</v>
      </c>
      <c r="G113" s="5" t="n">
        <v>4061978000</v>
      </c>
      <c r="H113" s="5" t="n">
        <v>24781551000</v>
      </c>
      <c r="I113" s="5" t="n">
        <v>4315552000</v>
      </c>
      <c r="J113" s="4" t="n">
        <v>1.280200004577637</v>
      </c>
      <c r="K113" s="4" t="n">
        <v>1.450799942016602</v>
      </c>
      <c r="L113" s="4" t="n">
        <v>0.1516999900341034</v>
      </c>
      <c r="M113" t="inlineStr">
        <is>
          <t>이인오/이인각</t>
        </is>
      </c>
      <c r="N113" t="inlineStr">
        <is>
          <t>031-312-1907</t>
        </is>
      </c>
      <c r="O113" t="inlineStr">
        <is>
          <t>031-312-1908</t>
        </is>
      </c>
      <c r="P113" s="3">
        <f>HYPERLINK("http://www.hshi-tech.co.kr", "http://www.hshi-tech.co.kr")</f>
        <v/>
      </c>
      <c r="Q113" t="inlineStr">
        <is>
          <t>1348691545</t>
        </is>
      </c>
      <c r="R113" t="inlineStr">
        <is>
          <t>1314110280108</t>
        </is>
      </c>
      <c r="S113" t="inlineStr">
        <is>
          <t>대상아님</t>
        </is>
      </c>
      <c r="T113" t="inlineStr">
        <is>
          <t>일반법인</t>
        </is>
      </c>
      <c r="U113" t="inlineStr">
        <is>
          <t>중소기업</t>
        </is>
      </c>
      <c r="V113" t="inlineStr">
        <is>
          <t>외부감사대상</t>
        </is>
      </c>
      <c r="W113" s="6" t="inlineStr">
        <is>
          <t>2012-07-03</t>
        </is>
      </c>
      <c r="X113" t="inlineStr">
        <is>
          <t>KRI:10C2927100</t>
        </is>
      </c>
      <c r="Y113" t="inlineStr">
        <is>
          <t>반도체 제조용 기계 제조업</t>
        </is>
      </c>
      <c r="Z113" t="inlineStr">
        <is>
          <t>반도체제조장비,부품,쓰리디(3D) 프린팅 제조</t>
        </is>
      </c>
      <c r="AA113" t="inlineStr">
        <is>
          <t>경기 화성시 효행구 정남면 음양리 915번지</t>
        </is>
      </c>
      <c r="AB113" t="inlineStr">
        <is>
          <t>경기 화성시 효행구 정남면 정남산단로 100</t>
        </is>
      </c>
    </row>
    <row r="114" ht="19.2" customHeight="1" s="1">
      <c r="A114" t="inlineStr">
        <is>
          <t>NICE:000604</t>
        </is>
      </c>
      <c r="B114" t="inlineStr">
        <is>
          <t>대한파카라이징</t>
        </is>
      </c>
      <c r="C114" s="5" t="n">
        <v>59059906000</v>
      </c>
      <c r="D114" s="5" t="n">
        <v>4162870000</v>
      </c>
      <c r="E114" s="5" t="n">
        <v>54897036000</v>
      </c>
      <c r="F114" s="5" t="n">
        <v>30052268000</v>
      </c>
      <c r="G114" s="5" t="n">
        <v>4435526000</v>
      </c>
      <c r="H114" s="5" t="n">
        <v>30234789000</v>
      </c>
      <c r="I114" s="5" t="n">
        <v>4919591000</v>
      </c>
      <c r="J114" s="4" t="n">
        <v>10.96280002593994</v>
      </c>
      <c r="K114" s="4" t="n">
        <v>0.07579999417066574</v>
      </c>
      <c r="L114" s="4" t="n">
        <v>0.147599995136261</v>
      </c>
      <c r="M114" t="inlineStr">
        <is>
          <t>혼다타쿠미</t>
        </is>
      </c>
      <c r="N114" t="inlineStr">
        <is>
          <t>02-333-5821</t>
        </is>
      </c>
      <c r="O114" t="inlineStr">
        <is>
          <t>02-333-6092</t>
        </is>
      </c>
      <c r="P114" s="3">
        <f>HYPERLINK("http://www.d-parker.co.kr", "http://www.d-parker.co.kr")</f>
        <v/>
      </c>
      <c r="Q114" t="inlineStr">
        <is>
          <t>1058127512</t>
        </is>
      </c>
      <c r="R114" t="inlineStr">
        <is>
          <t>1101110316392</t>
        </is>
      </c>
      <c r="S114" t="inlineStr">
        <is>
          <t>대상아님</t>
        </is>
      </c>
      <c r="T114" t="inlineStr">
        <is>
          <t>일반법인</t>
        </is>
      </c>
      <c r="U114" t="inlineStr">
        <is>
          <t>중견기업</t>
        </is>
      </c>
      <c r="V114" t="inlineStr">
        <is>
          <t>외부감사대상</t>
        </is>
      </c>
      <c r="W114" s="6" t="inlineStr">
        <is>
          <t>1982-04-02</t>
        </is>
      </c>
      <c r="X114" t="inlineStr">
        <is>
          <t>KRI:10C2013200</t>
        </is>
      </c>
      <c r="Y114" t="inlineStr">
        <is>
          <t>염료, 조제 무기안료, 유연제 및 기타 착색제 제조업</t>
        </is>
      </c>
      <c r="Z114" t="inlineStr">
        <is>
          <t>화공약품(피막제,친수제,방청유) 제조/무역</t>
        </is>
      </c>
      <c r="AA114" t="inlineStr">
        <is>
          <t>서울 마포구 대흥동 445번지 광성벤처프라자빌딩 5층</t>
        </is>
      </c>
      <c r="AB114" t="inlineStr">
        <is>
          <t>서울 마포구 독막로 275, 5층 (대흥동,광성벤처프라자빌딩)</t>
        </is>
      </c>
    </row>
    <row r="115" ht="19.2" customHeight="1" s="1">
      <c r="A115" t="inlineStr">
        <is>
          <t>NICE:L30353</t>
        </is>
      </c>
      <c r="B115" t="inlineStr">
        <is>
          <t>슈퍼셀코리아</t>
        </is>
      </c>
      <c r="C115" s="5" t="n">
        <v>36269803000</v>
      </c>
      <c r="D115" s="5" t="n">
        <v>8933718000</v>
      </c>
      <c r="E115" s="5" t="n">
        <v>27336085000</v>
      </c>
      <c r="F115" s="5" t="n">
        <v>24952942000</v>
      </c>
      <c r="G115" s="5" t="n">
        <v>8586545000</v>
      </c>
      <c r="H115" s="5" t="n">
        <v>21086213000</v>
      </c>
      <c r="I115" s="5" t="n">
        <v>5939113000</v>
      </c>
      <c r="J115" s="4" t="n">
        <v>6.14109992980957</v>
      </c>
      <c r="K115" s="4" t="n">
        <v>0.3267999887466431</v>
      </c>
      <c r="L115" s="4" t="n">
        <v>0.3440999984741211</v>
      </c>
      <c r="M115" t="inlineStr">
        <is>
          <t>마쿠안테로이그네이셔스/얀네올라비스넬만</t>
        </is>
      </c>
      <c r="P115" s="3" t="n"/>
      <c r="Q115" t="inlineStr">
        <is>
          <t>2208870317</t>
        </is>
      </c>
      <c r="R115" t="inlineStr">
        <is>
          <t>1101140139748</t>
        </is>
      </c>
      <c r="S115" t="inlineStr">
        <is>
          <t>대상아님</t>
        </is>
      </c>
      <c r="T115" t="inlineStr">
        <is>
          <t>일반법인</t>
        </is>
      </c>
      <c r="U115" t="inlineStr">
        <is>
          <t>중소기업</t>
        </is>
      </c>
      <c r="V115" t="inlineStr">
        <is>
          <t>외부감사대상</t>
        </is>
      </c>
      <c r="W115" s="6" t="inlineStr">
        <is>
          <t>2013-12-17</t>
        </is>
      </c>
      <c r="X115" t="inlineStr">
        <is>
          <t>KRI:10M7131000</t>
        </is>
      </c>
      <c r="Y115" t="inlineStr">
        <is>
          <t>광고 대행업</t>
        </is>
      </c>
      <c r="Z115" t="inlineStr">
        <is>
          <t>온라인게임프로모션,마케팅</t>
        </is>
      </c>
      <c r="AA115" t="inlineStr">
        <is>
          <t>서울 성동구 성수동2가 314-11번지 7층</t>
        </is>
      </c>
      <c r="AB115" t="inlineStr">
        <is>
          <t>서울 성동구 연무장7길 13, 7층</t>
        </is>
      </c>
    </row>
    <row r="116" s="1">
      <c r="A116" t="inlineStr">
        <is>
          <t>NICE:G36626</t>
        </is>
      </c>
      <c r="B116" t="inlineStr">
        <is>
          <t>아그리젠토</t>
        </is>
      </c>
      <c r="C116" s="5" t="n">
        <v>33570930000</v>
      </c>
      <c r="D116" s="5" t="n">
        <v>15240316000</v>
      </c>
      <c r="E116" s="5" t="n">
        <v>18330614000</v>
      </c>
      <c r="F116" s="5" t="n">
        <v>23339322000</v>
      </c>
      <c r="G116" s="5" t="n">
        <v>3478873000</v>
      </c>
      <c r="H116" s="5" t="n">
        <v>22170604000</v>
      </c>
      <c r="I116" s="5" t="n">
        <v>3370238000</v>
      </c>
      <c r="J116" s="4" t="n">
        <v>2.843899965286255</v>
      </c>
      <c r="K116" s="4" t="n">
        <v>0.8313999772071838</v>
      </c>
      <c r="L116" s="4" t="n">
        <v>0.1490999907255173</v>
      </c>
      <c r="M116" t="inlineStr">
        <is>
          <t>진남수</t>
        </is>
      </c>
      <c r="N116" t="inlineStr">
        <is>
          <t>055-943-9176</t>
        </is>
      </c>
      <c r="O116" t="inlineStr">
        <is>
          <t>055-943-9179</t>
        </is>
      </c>
      <c r="P116">
        <f>HYPERLINK("http://www.agrigento.or.kr", "http://www.agrigento.or.kr")</f>
        <v/>
      </c>
      <c r="Q116" t="inlineStr">
        <is>
          <t>6118119443</t>
        </is>
      </c>
      <c r="R116" t="inlineStr">
        <is>
          <t>1914110008855</t>
        </is>
      </c>
      <c r="S116" t="inlineStr">
        <is>
          <t>대상아님</t>
        </is>
      </c>
      <c r="T116" t="inlineStr">
        <is>
          <t>일반법인</t>
        </is>
      </c>
      <c r="U116" t="inlineStr">
        <is>
          <t>중소기업</t>
        </is>
      </c>
      <c r="V116" t="inlineStr">
        <is>
          <t>외부감사대상</t>
        </is>
      </c>
      <c r="W116" s="6" t="inlineStr">
        <is>
          <t>2010-08-10</t>
        </is>
      </c>
      <c r="X116" t="inlineStr">
        <is>
          <t>KRI:10C2032100</t>
        </is>
      </c>
      <c r="Y116" t="inlineStr">
        <is>
          <t>화학 살균ㆍ살충제 및 농업용 약제 제조업</t>
        </is>
      </c>
      <c r="Z116" t="inlineStr">
        <is>
          <t>농약 제조</t>
        </is>
      </c>
      <c r="AA116" t="inlineStr">
        <is>
          <t>경남 거창군 가조면 석강리 1411번지</t>
        </is>
      </c>
      <c r="AB116" t="inlineStr">
        <is>
          <t>경남 거창군 가조면 석강3길 60</t>
        </is>
      </c>
    </row>
    <row r="117" ht="19.2" customHeight="1" s="1">
      <c r="A117" t="inlineStr">
        <is>
          <t>NICE:201356</t>
        </is>
      </c>
      <c r="B117" t="inlineStr">
        <is>
          <t>삼보산업</t>
        </is>
      </c>
      <c r="C117" s="5" t="n">
        <v>34981501000</v>
      </c>
      <c r="D117" s="5" t="n">
        <v>16658890000</v>
      </c>
      <c r="E117" s="5" t="n">
        <v>18322611000</v>
      </c>
      <c r="F117" s="5" t="n">
        <v>21365738000</v>
      </c>
      <c r="G117" s="5" t="n">
        <v>2171905000</v>
      </c>
      <c r="H117" s="5" t="n">
        <v>25235179000</v>
      </c>
      <c r="I117" s="5" t="n">
        <v>1113255000</v>
      </c>
      <c r="J117" s="4" t="n">
        <v>1.472799897193909</v>
      </c>
      <c r="K117" s="4" t="n">
        <v>0.9091999530792236</v>
      </c>
      <c r="L117" s="4" t="n">
        <v>0.1017000004649162</v>
      </c>
      <c r="M117" t="inlineStr">
        <is>
          <t>박계동/윤정환</t>
        </is>
      </c>
      <c r="N117" t="inlineStr">
        <is>
          <t>055-585-8788</t>
        </is>
      </c>
      <c r="O117" t="inlineStr">
        <is>
          <t>055-583-1066</t>
        </is>
      </c>
      <c r="P117" s="3" t="n"/>
      <c r="Q117" t="inlineStr">
        <is>
          <t>6088123602</t>
        </is>
      </c>
      <c r="R117" t="inlineStr">
        <is>
          <t>1943110004133</t>
        </is>
      </c>
      <c r="S117" t="inlineStr">
        <is>
          <t>대상아님</t>
        </is>
      </c>
      <c r="T117" t="inlineStr">
        <is>
          <t>일반법인</t>
        </is>
      </c>
      <c r="U117" t="inlineStr">
        <is>
          <t>중소기업</t>
        </is>
      </c>
      <c r="V117" t="inlineStr">
        <is>
          <t>외부감사대상</t>
        </is>
      </c>
      <c r="W117" s="6" t="inlineStr">
        <is>
          <t>1995-08-14</t>
        </is>
      </c>
      <c r="X117" t="inlineStr">
        <is>
          <t>KRI:10C2332200</t>
        </is>
      </c>
      <c r="Y117" t="inlineStr">
        <is>
          <t>레미콘 제조업</t>
        </is>
      </c>
      <c r="Z117" t="inlineStr">
        <is>
          <t>레미콘,아스콘,기계 제조,도소매/토사석 채취,도매/부동산 임대</t>
        </is>
      </c>
      <c r="AA117" t="inlineStr">
        <is>
          <t>경남 함안군 대산면 옥렬리 69번지</t>
        </is>
      </c>
      <c r="AB117" t="inlineStr">
        <is>
          <t>경남 함안군 대산면 송산로 621</t>
        </is>
      </c>
    </row>
    <row r="118" s="1">
      <c r="A118" t="inlineStr">
        <is>
          <t>NICE:294863</t>
        </is>
      </c>
      <c r="B118" t="inlineStr">
        <is>
          <t>쏘나브이피씨코리아</t>
        </is>
      </c>
      <c r="C118" s="5" t="n">
        <v>172290845000</v>
      </c>
      <c r="D118" s="5" t="n">
        <v>33182250000</v>
      </c>
      <c r="E118" s="5" t="n">
        <v>139108595000</v>
      </c>
      <c r="F118" s="5" t="n">
        <v>48669610000</v>
      </c>
      <c r="G118" s="5" t="n">
        <v>14392699000</v>
      </c>
      <c r="H118" s="5" t="n">
        <v>51974007000</v>
      </c>
      <c r="I118" s="5" t="n">
        <v>15017992000</v>
      </c>
      <c r="J118" s="4" t="n">
        <v>4.502900123596191</v>
      </c>
      <c r="K118" s="4" t="n">
        <v>0.2384999990463257</v>
      </c>
      <c r="L118" s="4" t="n">
        <v>0.2956999838352203</v>
      </c>
      <c r="M118" t="inlineStr">
        <is>
          <t>손영호</t>
        </is>
      </c>
      <c r="N118" t="inlineStr">
        <is>
          <t>02-3448-1400</t>
        </is>
      </c>
      <c r="O118" t="inlineStr">
        <is>
          <t>031-358-4805</t>
        </is>
      </c>
      <c r="Q118" t="inlineStr">
        <is>
          <t>2118625885</t>
        </is>
      </c>
      <c r="R118" t="inlineStr">
        <is>
          <t>1101111482598</t>
        </is>
      </c>
      <c r="S118" t="inlineStr">
        <is>
          <t>대상아님</t>
        </is>
      </c>
      <c r="T118" t="inlineStr">
        <is>
          <t>일반법인</t>
        </is>
      </c>
      <c r="U118" t="inlineStr">
        <is>
          <t>중소기업</t>
        </is>
      </c>
      <c r="V118" t="inlineStr">
        <is>
          <t>외부감사대상</t>
        </is>
      </c>
      <c r="W118" s="6" t="inlineStr">
        <is>
          <t>1997-11-10</t>
        </is>
      </c>
      <c r="X118" t="inlineStr">
        <is>
          <t>KRI:10S9521100</t>
        </is>
      </c>
      <c r="Y118" t="inlineStr">
        <is>
          <t>자동차 종합 수리업</t>
        </is>
      </c>
      <c r="Z118" t="inlineStr">
        <is>
          <t>PDI차량 점검,수리,운송 용역/자동차부품 도소매,제조</t>
        </is>
      </c>
      <c r="AA118" t="inlineStr">
        <is>
          <t>서울 강남구 신사동 588-19번지 동남빌딩 204호</t>
        </is>
      </c>
      <c r="AB118" t="inlineStr">
        <is>
          <t>서울 강남구 도산대로 221, 204호 (신사동,동남빌딩)</t>
        </is>
      </c>
    </row>
    <row r="119" ht="19.2" customHeight="1" s="1">
      <c r="A119" t="inlineStr">
        <is>
          <t>NICE:485554</t>
        </is>
      </c>
      <c r="B119" t="inlineStr">
        <is>
          <t>폰테가데아코리아</t>
        </is>
      </c>
      <c r="C119" s="5" t="n">
        <v>189371000000</v>
      </c>
      <c r="D119" s="5" t="n">
        <v>83340000000</v>
      </c>
      <c r="E119" s="5" t="n">
        <v>106031000000</v>
      </c>
      <c r="F119" s="5" t="n">
        <v>23070000000</v>
      </c>
      <c r="G119" s="5" t="n">
        <v>12338000000</v>
      </c>
      <c r="H119" s="5" t="n">
        <v>23067000000</v>
      </c>
      <c r="I119" s="5" t="n">
        <v>11258000000</v>
      </c>
      <c r="J119" s="4" t="n">
        <v>13.03829956054688</v>
      </c>
      <c r="K119" s="4" t="n">
        <v>0.7859999537467957</v>
      </c>
      <c r="L119" s="4" t="n">
        <v>0.5347999930381775</v>
      </c>
      <c r="M119" t="inlineStr">
        <is>
          <t>로베르토시베일라모르예르아스</t>
        </is>
      </c>
      <c r="N119" t="inlineStr">
        <is>
          <t>02-727-3108</t>
        </is>
      </c>
      <c r="P119" s="3" t="n"/>
      <c r="Q119" t="inlineStr">
        <is>
          <t>2018194508</t>
        </is>
      </c>
      <c r="R119" t="inlineStr">
        <is>
          <t>1101113325225</t>
        </is>
      </c>
      <c r="S119" t="inlineStr">
        <is>
          <t>대상아님</t>
        </is>
      </c>
      <c r="T119" t="inlineStr">
        <is>
          <t>일반법인</t>
        </is>
      </c>
      <c r="U119" t="inlineStr">
        <is>
          <t>중소기업</t>
        </is>
      </c>
      <c r="V119" t="inlineStr">
        <is>
          <t>외부감사대상</t>
        </is>
      </c>
      <c r="W119" s="6" t="inlineStr">
        <is>
          <t>2005-10-18</t>
        </is>
      </c>
      <c r="X119" t="inlineStr">
        <is>
          <t>KRI:10L6811200</t>
        </is>
      </c>
      <c r="Y119" t="inlineStr">
        <is>
          <t>비주거용 건물 임대업</t>
        </is>
      </c>
      <c r="Z119" t="inlineStr">
        <is>
          <t>부동산 임대,운영관리,취득,처분</t>
        </is>
      </c>
      <c r="AA119" t="inlineStr">
        <is>
          <t>서울 중구 명동2가 31-1번지</t>
        </is>
      </c>
      <c r="AB119" t="inlineStr">
        <is>
          <t>서울 중구 명동8길 27</t>
        </is>
      </c>
    </row>
    <row r="120" ht="19.2" customHeight="1" s="1">
      <c r="A120" t="inlineStr">
        <is>
          <t>NICE:600619</t>
        </is>
      </c>
      <c r="B120" t="inlineStr">
        <is>
          <t>타스지혁</t>
        </is>
      </c>
      <c r="C120" s="5" t="n">
        <v>45461676000</v>
      </c>
      <c r="D120" s="5" t="n">
        <v>9816364000</v>
      </c>
      <c r="E120" s="5" t="n">
        <v>35645312000</v>
      </c>
      <c r="F120" s="5" t="n">
        <v>53565367000</v>
      </c>
      <c r="G120" s="5" t="n">
        <v>6792675000</v>
      </c>
      <c r="H120" s="5" t="n">
        <v>65724552000</v>
      </c>
      <c r="I120" s="5" t="n">
        <v>6472331000</v>
      </c>
      <c r="J120" s="4" t="n">
        <v>7.996900081634521</v>
      </c>
      <c r="K120" s="4" t="n">
        <v>0.2754000127315521</v>
      </c>
      <c r="L120" s="4" t="n">
        <v>0.126800000667572</v>
      </c>
      <c r="M120" t="inlineStr">
        <is>
          <t>이규석</t>
        </is>
      </c>
      <c r="N120" t="inlineStr">
        <is>
          <t>054-971-8225</t>
        </is>
      </c>
      <c r="O120" t="inlineStr">
        <is>
          <t>054-975-8825</t>
        </is>
      </c>
      <c r="P120" s="3" t="n"/>
      <c r="Q120" t="inlineStr">
        <is>
          <t>5038156676</t>
        </is>
      </c>
      <c r="R120" t="inlineStr">
        <is>
          <t>1701110228347</t>
        </is>
      </c>
      <c r="S120" t="inlineStr">
        <is>
          <t>대상아님</t>
        </is>
      </c>
      <c r="T120" t="inlineStr">
        <is>
          <t>일반법인</t>
        </is>
      </c>
      <c r="U120" t="inlineStr">
        <is>
          <t>중소기업</t>
        </is>
      </c>
      <c r="V120" t="inlineStr">
        <is>
          <t>외부감사대상</t>
        </is>
      </c>
      <c r="W120" s="6" t="inlineStr">
        <is>
          <t>1999-05-20</t>
        </is>
      </c>
      <c r="X120" t="inlineStr">
        <is>
          <t>KRI:10C2221400</t>
        </is>
      </c>
      <c r="Y120" t="inlineStr">
        <is>
          <t>플라스틱 합성피혁 제조업</t>
        </is>
      </c>
      <c r="Z120" t="inlineStr">
        <is>
          <t>인조피혁 제조/부동산 임대</t>
        </is>
      </c>
      <c r="AA120" t="inlineStr">
        <is>
          <t>경북 칠곡군 왜관읍 삼청리 1107번지 57</t>
        </is>
      </c>
      <c r="AB120" t="inlineStr">
        <is>
          <t>경북 칠곡군 왜관읍 공단로1길 51, 57</t>
        </is>
      </c>
    </row>
    <row r="121" ht="19.2" customHeight="1" s="1">
      <c r="A121" t="inlineStr">
        <is>
          <t>NICE:IN1659</t>
        </is>
      </c>
      <c r="B121" t="inlineStr">
        <is>
          <t>티엠지종합엔지니어링건축사사무소</t>
        </is>
      </c>
      <c r="C121" s="5" t="n">
        <v>8766618000</v>
      </c>
      <c r="D121" s="5" t="n">
        <v>4298654000</v>
      </c>
      <c r="E121" s="5" t="n">
        <v>4467964000</v>
      </c>
      <c r="F121" s="5" t="n">
        <v>21169816000</v>
      </c>
      <c r="G121" s="5" t="n">
        <v>2757694000</v>
      </c>
      <c r="H121" s="5" t="n">
        <v>11123262000</v>
      </c>
      <c r="I121" s="5" t="n">
        <v>1133731000</v>
      </c>
      <c r="J121" s="4" t="n">
        <v>1.702799916267395</v>
      </c>
      <c r="K121" s="4" t="n">
        <v>0.9620999693870544</v>
      </c>
      <c r="L121" s="4" t="n">
        <v>0.1303000003099442</v>
      </c>
      <c r="M121" t="inlineStr">
        <is>
          <t>류정우/정민영</t>
        </is>
      </c>
      <c r="N121" t="inlineStr">
        <is>
          <t>031-391-9600</t>
        </is>
      </c>
      <c r="O121" t="inlineStr">
        <is>
          <t>031-391-9601</t>
        </is>
      </c>
      <c r="P121" s="3">
        <f>HYPERLINK("http://www.tmg.kr", "http://www.tmg.kr")</f>
        <v/>
      </c>
      <c r="Q121" t="inlineStr">
        <is>
          <t>1978800660</t>
        </is>
      </c>
      <c r="R121" t="inlineStr">
        <is>
          <t>1341110460456</t>
        </is>
      </c>
      <c r="S121" t="inlineStr">
        <is>
          <t>대상아님</t>
        </is>
      </c>
      <c r="T121" t="inlineStr">
        <is>
          <t>일반법인</t>
        </is>
      </c>
      <c r="U121" t="inlineStr">
        <is>
          <t>중소기업</t>
        </is>
      </c>
      <c r="V121" t="inlineStr">
        <is>
          <t>외부감사비대상</t>
        </is>
      </c>
      <c r="W121" s="6" t="inlineStr">
        <is>
          <t>2017-02-01</t>
        </is>
      </c>
      <c r="X121" t="inlineStr">
        <is>
          <t>KRI:10M7212100</t>
        </is>
      </c>
      <c r="Y121" t="inlineStr">
        <is>
          <t>건물 및 토목 엔지니어링 서비스업</t>
        </is>
      </c>
      <c r="Z121" t="inlineStr">
        <is>
          <t>토목엔지니어링,지질조사,지질탐사,건축설계/고장력커플러 제조</t>
        </is>
      </c>
      <c r="AA121" t="inlineStr">
        <is>
          <t>경기 안양시 동안구 호계동 555-2번지 금정역2차에스케이브이1타워 1609호, 1610호, 1611호, 1612호, 1613호, 1614호, 1615호, 1618호</t>
        </is>
      </c>
      <c r="AB121" t="inlineStr">
        <is>
          <t>경기 안양시 동안구 엘에스로 136, 1609호, 1610호, 1611호, 1612호, 1613호, 1614호, 1615호, 1618호  (호계동,금정역2차에스케이브이1타</t>
        </is>
      </c>
    </row>
    <row r="122" ht="19.2" customHeight="1" s="1">
      <c r="A122" t="inlineStr">
        <is>
          <t>NICE:611425</t>
        </is>
      </c>
      <c r="B122" t="inlineStr">
        <is>
          <t>진진</t>
        </is>
      </c>
      <c r="C122" s="5" t="n">
        <v>64580256000</v>
      </c>
      <c r="D122" s="5" t="n">
        <v>12725368000</v>
      </c>
      <c r="E122" s="5" t="n">
        <v>51854887000</v>
      </c>
      <c r="F122" s="5" t="n">
        <v>43905682000</v>
      </c>
      <c r="G122" s="5" t="n">
        <v>5579510000</v>
      </c>
      <c r="H122" s="5" t="n">
        <v>50763359000</v>
      </c>
      <c r="I122" s="5" t="n">
        <v>5044714000</v>
      </c>
      <c r="J122" s="4" t="n">
        <v>3.218800067901611</v>
      </c>
      <c r="K122" s="4" t="n">
        <v>0.245399996638298</v>
      </c>
      <c r="L122" s="4" t="n">
        <v>0.1270999908447266</v>
      </c>
      <c r="M122" t="inlineStr">
        <is>
          <t>황찬홍</t>
        </is>
      </c>
      <c r="N122" t="inlineStr">
        <is>
          <t>02-567-7711</t>
        </is>
      </c>
      <c r="O122" t="inlineStr">
        <is>
          <t>02-567-3211</t>
        </is>
      </c>
      <c r="P122" s="3">
        <f>HYPERLINK("http://www.jinjintex.com", "http://www.jinjintex.com")</f>
        <v/>
      </c>
      <c r="Q122" t="inlineStr">
        <is>
          <t>1208158557</t>
        </is>
      </c>
      <c r="R122" t="inlineStr">
        <is>
          <t>1101110194730</t>
        </is>
      </c>
      <c r="S122" t="inlineStr">
        <is>
          <t>대상아님</t>
        </is>
      </c>
      <c r="T122" t="inlineStr">
        <is>
          <t>일반법인</t>
        </is>
      </c>
      <c r="U122" t="inlineStr">
        <is>
          <t>중소기업</t>
        </is>
      </c>
      <c r="V122" t="inlineStr">
        <is>
          <t>외부감사대상</t>
        </is>
      </c>
      <c r="W122" s="6" t="inlineStr">
        <is>
          <t>1976-04-17</t>
        </is>
      </c>
      <c r="X122" t="inlineStr">
        <is>
          <t>KRI:10C1340200</t>
        </is>
      </c>
      <c r="Y122" t="inlineStr">
        <is>
          <t>직물, 편조원단 및 의복류 염색 가공업</t>
        </is>
      </c>
      <c r="Z122" t="inlineStr">
        <is>
          <t>인견직물,화섬직물 제조,염색 가공/부동산(건물)임대</t>
        </is>
      </c>
      <c r="AA122" t="inlineStr">
        <is>
          <t>서울 강남구 대치동 946-1번지</t>
        </is>
      </c>
      <c r="AB122" t="inlineStr">
        <is>
          <t>서울 강남구 테헤란로 534</t>
        </is>
      </c>
    </row>
    <row r="123" ht="19.2" customHeight="1" s="1">
      <c r="A123" t="inlineStr">
        <is>
          <t>NICE:223800</t>
        </is>
      </c>
      <c r="B123" t="inlineStr">
        <is>
          <t>다이헨한국</t>
        </is>
      </c>
      <c r="C123" s="5" t="n">
        <v>25258101000</v>
      </c>
      <c r="D123" s="5" t="n">
        <v>6916669000</v>
      </c>
      <c r="E123" s="5" t="n">
        <v>18341432000</v>
      </c>
      <c r="F123" s="5" t="n">
        <v>31717947000</v>
      </c>
      <c r="G123" s="5" t="n">
        <v>4352152000</v>
      </c>
      <c r="H123" s="5" t="n">
        <v>28142804000</v>
      </c>
      <c r="I123" s="5" t="n">
        <v>2237121000</v>
      </c>
      <c r="J123" s="4" t="n">
        <v>3.081499814987183</v>
      </c>
      <c r="K123" s="4" t="n">
        <v>0.3770999908447266</v>
      </c>
      <c r="L123" s="4" t="n">
        <v>0.1371999979019165</v>
      </c>
      <c r="M123" t="inlineStr">
        <is>
          <t>히라하라요리오</t>
        </is>
      </c>
      <c r="N123" t="inlineStr">
        <is>
          <t>031-686-7445</t>
        </is>
      </c>
      <c r="O123" t="inlineStr">
        <is>
          <t>031-686-7464</t>
        </is>
      </c>
      <c r="P123" s="3">
        <f>HYPERLINK("http://www.daihen.co.kr", "http://www.daihen.co.kr")</f>
        <v/>
      </c>
      <c r="Q123" t="inlineStr">
        <is>
          <t>1198156845</t>
        </is>
      </c>
      <c r="R123" t="inlineStr">
        <is>
          <t>1101112518178</t>
        </is>
      </c>
      <c r="S123" t="inlineStr">
        <is>
          <t>대상아님</t>
        </is>
      </c>
      <c r="T123" t="inlineStr">
        <is>
          <t>일반법인</t>
        </is>
      </c>
      <c r="U123" t="inlineStr">
        <is>
          <t>중소기업</t>
        </is>
      </c>
      <c r="V123" t="inlineStr">
        <is>
          <t>외부감사대상</t>
        </is>
      </c>
      <c r="W123" s="6" t="inlineStr">
        <is>
          <t>2002-05-08</t>
        </is>
      </c>
      <c r="X123" t="inlineStr">
        <is>
          <t>KRI:10C2927100</t>
        </is>
      </c>
      <c r="Y123" t="inlineStr">
        <is>
          <t>반도체 제조용 기계 제조업</t>
        </is>
      </c>
      <c r="Z123" t="inlineStr">
        <is>
          <t>LCD반송장치 제조,도소매/수리,용접기,용접로보트 도소매</t>
        </is>
      </c>
      <c r="AA123" t="inlineStr">
        <is>
          <t>경기 평택시 청북읍 현곡리 463-1번지 (현곡산업단지11블럭)</t>
        </is>
      </c>
      <c r="AB123" t="inlineStr">
        <is>
          <t>경기 평택시 청북읍 현곡산단로 85, (현곡산업단지11블럭)</t>
        </is>
      </c>
    </row>
    <row r="124" ht="19.2" customHeight="1" s="1">
      <c r="A124" t="inlineStr">
        <is>
          <t>NICE:198844</t>
        </is>
      </c>
      <c r="B124" t="inlineStr">
        <is>
          <t>현대에코텍</t>
        </is>
      </c>
      <c r="C124" s="5" t="n">
        <v>50925978000</v>
      </c>
      <c r="D124" s="5" t="n">
        <v>12173549000</v>
      </c>
      <c r="E124" s="5" t="n">
        <v>38752428000</v>
      </c>
      <c r="F124" s="5" t="n">
        <v>27192856000</v>
      </c>
      <c r="G124" s="5" t="n">
        <v>5975683000</v>
      </c>
      <c r="H124" s="5" t="n">
        <v>34555564000</v>
      </c>
      <c r="I124" s="5" t="n">
        <v>6315185000</v>
      </c>
      <c r="J124" s="4" t="n">
        <v>3.282999753952026</v>
      </c>
      <c r="K124" s="4" t="n">
        <v>0.3140999972820282</v>
      </c>
      <c r="L124" s="4" t="n">
        <v>0.2197999954223633</v>
      </c>
      <c r="M124" t="inlineStr">
        <is>
          <t>이경선/최동철</t>
        </is>
      </c>
      <c r="N124" t="inlineStr">
        <is>
          <t>032-818-2295</t>
        </is>
      </c>
      <c r="O124" t="inlineStr">
        <is>
          <t>032-818-2262</t>
        </is>
      </c>
      <c r="P124" s="3" t="n"/>
      <c r="Q124" t="inlineStr">
        <is>
          <t>1398122655</t>
        </is>
      </c>
      <c r="R124" t="inlineStr">
        <is>
          <t>1201110120155</t>
        </is>
      </c>
      <c r="S124" t="inlineStr">
        <is>
          <t>대상아님</t>
        </is>
      </c>
      <c r="T124" t="inlineStr">
        <is>
          <t>일반법인</t>
        </is>
      </c>
      <c r="U124" t="inlineStr">
        <is>
          <t>중견기업</t>
        </is>
      </c>
      <c r="V124" t="inlineStr">
        <is>
          <t>외부감사대상</t>
        </is>
      </c>
      <c r="W124" s="6" t="inlineStr">
        <is>
          <t>1995-06-28</t>
        </is>
      </c>
      <c r="X124" t="inlineStr">
        <is>
          <t>KRI:10E3832200</t>
        </is>
      </c>
      <c r="Y124" t="inlineStr">
        <is>
          <t>비금속류 원료 재생업</t>
        </is>
      </c>
      <c r="Z124" t="inlineStr">
        <is>
          <t>비금속재생재료 가공처리/고철 제조,도매</t>
        </is>
      </c>
      <c r="AA124" t="inlineStr">
        <is>
          <t>인천 남동구 논현동 442-41번지</t>
        </is>
      </c>
      <c r="AB124" t="inlineStr">
        <is>
          <t>인천 남동구 남동대로262번길 30-43</t>
        </is>
      </c>
    </row>
    <row r="125" ht="19.2" customHeight="1" s="1">
      <c r="A125" t="inlineStr">
        <is>
          <t>NICE:790656</t>
        </is>
      </c>
      <c r="B125" t="inlineStr">
        <is>
          <t>에스와이탱크터미널</t>
        </is>
      </c>
      <c r="C125" s="5" t="n">
        <v>95264881000</v>
      </c>
      <c r="D125" s="5" t="n">
        <v>3479836000</v>
      </c>
      <c r="E125" s="5" t="n">
        <v>91785045000</v>
      </c>
      <c r="F125" s="5" t="n">
        <v>28377545000</v>
      </c>
      <c r="G125" s="5" t="n">
        <v>11212810000</v>
      </c>
      <c r="H125" s="5" t="n">
        <v>26363010000</v>
      </c>
      <c r="I125" s="5" t="n">
        <v>9644569000</v>
      </c>
      <c r="J125" s="4" t="n">
        <v>5.436399936676025</v>
      </c>
      <c r="K125" s="4" t="n">
        <v>0.03789999708533287</v>
      </c>
      <c r="L125" s="4" t="n">
        <v>0.3950999677181244</v>
      </c>
      <c r="M125" t="inlineStr">
        <is>
          <t>박태경</t>
        </is>
      </c>
      <c r="N125" t="inlineStr">
        <is>
          <t>02-3476-5151</t>
        </is>
      </c>
      <c r="O125" t="inlineStr">
        <is>
          <t>02-3476-5155</t>
        </is>
      </c>
      <c r="P125" s="3">
        <f>HYPERLINK("http://www.sytankterminal.co.kr/", "http://www.sytankterminal.co.kr/")</f>
        <v/>
      </c>
      <c r="Q125" t="inlineStr">
        <is>
          <t>1148174697</t>
        </is>
      </c>
      <c r="R125" t="inlineStr">
        <is>
          <t>1101110626139</t>
        </is>
      </c>
      <c r="S125" t="inlineStr">
        <is>
          <t>대상아님</t>
        </is>
      </c>
      <c r="T125" t="inlineStr">
        <is>
          <t>일반법인</t>
        </is>
      </c>
      <c r="U125" t="inlineStr">
        <is>
          <t>중소기업</t>
        </is>
      </c>
      <c r="V125" t="inlineStr">
        <is>
          <t>외부감사대상</t>
        </is>
      </c>
      <c r="W125" s="6" t="inlineStr">
        <is>
          <t>1989-05-01</t>
        </is>
      </c>
      <c r="X125" t="inlineStr">
        <is>
          <t>KRI:10H5210400</t>
        </is>
      </c>
      <c r="Y125" t="inlineStr">
        <is>
          <t>위험물품 보관업</t>
        </is>
      </c>
      <c r="Z125" t="inlineStr">
        <is>
          <t>파이프라인(나프타) 보관,운송/항만시설 운영,하역</t>
        </is>
      </c>
      <c r="AA125" t="inlineStr">
        <is>
          <t>서울 강남구 삼성동 77-20번지 3층</t>
        </is>
      </c>
      <c r="AB125" t="inlineStr">
        <is>
          <t>서울 강남구 봉은사로 541, 3층</t>
        </is>
      </c>
    </row>
    <row r="126" s="1">
      <c r="A126" t="inlineStr">
        <is>
          <t>NICE:386103</t>
        </is>
      </c>
      <c r="B126" t="inlineStr">
        <is>
          <t>동미전기공업</t>
        </is>
      </c>
      <c r="C126" s="5" t="n">
        <v>93613779000</v>
      </c>
      <c r="D126" s="5" t="n">
        <v>22047181000</v>
      </c>
      <c r="E126" s="5" t="n">
        <v>71566597000</v>
      </c>
      <c r="F126" s="5" t="n">
        <v>100263419000</v>
      </c>
      <c r="G126" s="5" t="n">
        <v>41592660000</v>
      </c>
      <c r="H126" s="5" t="n">
        <v>104439403000</v>
      </c>
      <c r="I126" s="5" t="n">
        <v>37659578000</v>
      </c>
      <c r="J126" s="4" t="n">
        <v>3.549799919128418</v>
      </c>
      <c r="K126" s="4" t="n">
        <v>0.3080999851226807</v>
      </c>
      <c r="L126" s="4" t="n">
        <v>0.4147999882698059</v>
      </c>
      <c r="M126" t="inlineStr">
        <is>
          <t>한상욱</t>
        </is>
      </c>
      <c r="N126" t="inlineStr">
        <is>
          <t>031-491-2581</t>
        </is>
      </c>
      <c r="O126" t="inlineStr">
        <is>
          <t>031-491-4537</t>
        </is>
      </c>
      <c r="P126">
        <f>HYPERLINK("http://www.dongmi.co.kr", "http://www.dongmi.co.kr")</f>
        <v/>
      </c>
      <c r="Q126" t="inlineStr">
        <is>
          <t>1348107533</t>
        </is>
      </c>
      <c r="R126" t="inlineStr">
        <is>
          <t>1101110138134</t>
        </is>
      </c>
      <c r="S126" t="inlineStr">
        <is>
          <t>대상아님</t>
        </is>
      </c>
      <c r="T126" t="inlineStr">
        <is>
          <t>일반법인</t>
        </is>
      </c>
      <c r="U126" t="inlineStr">
        <is>
          <t>중소기업</t>
        </is>
      </c>
      <c r="V126" t="inlineStr">
        <is>
          <t>외부감사대상</t>
        </is>
      </c>
      <c r="W126" s="6" t="inlineStr">
        <is>
          <t>1972-12-29</t>
        </is>
      </c>
      <c r="X126" t="inlineStr">
        <is>
          <t>KRI:10C2811200</t>
        </is>
      </c>
      <c r="Y126" t="inlineStr">
        <is>
          <t>변압기 제조업</t>
        </is>
      </c>
      <c r="Z126" t="inlineStr">
        <is>
          <t>변압기 제조</t>
        </is>
      </c>
      <c r="AA126" t="inlineStr">
        <is>
          <t>경기 화성시 만세구 남양읍 북양리 506-50번지</t>
        </is>
      </c>
      <c r="AB126" t="inlineStr">
        <is>
          <t>경기 화성시 만세구 남양읍 주석로175번길 4-19</t>
        </is>
      </c>
    </row>
    <row r="127" ht="19.2" customHeight="1" s="1">
      <c r="A127" t="inlineStr">
        <is>
          <t>NICE:990159</t>
        </is>
      </c>
      <c r="B127" t="inlineStr">
        <is>
          <t>두산베어스</t>
        </is>
      </c>
      <c r="C127" s="5" t="n">
        <v>55297637000</v>
      </c>
      <c r="D127" s="5" t="n">
        <v>38526382000</v>
      </c>
      <c r="E127" s="5" t="n">
        <v>16771256000</v>
      </c>
      <c r="F127" s="5" t="n">
        <v>79529194000</v>
      </c>
      <c r="G127" s="5" t="n">
        <v>8707477000</v>
      </c>
      <c r="H127" s="5" t="n">
        <v>69743726000</v>
      </c>
      <c r="I127" s="5" t="n">
        <v>11773851000</v>
      </c>
      <c r="J127" s="4" t="n">
        <v>0.3349999785423279</v>
      </c>
      <c r="K127" s="4" t="n">
        <v>2.297199964523315</v>
      </c>
      <c r="L127" s="4" t="n">
        <v>0.1094999983906746</v>
      </c>
      <c r="M127" t="inlineStr">
        <is>
          <t>고영섭</t>
        </is>
      </c>
      <c r="N127" t="inlineStr">
        <is>
          <t>02-2240-1717</t>
        </is>
      </c>
      <c r="O127" t="inlineStr">
        <is>
          <t>02-2240-1788</t>
        </is>
      </c>
      <c r="P127" s="3">
        <f>HYPERLINK("http://www.doosanbears.com", "http://www.doosanbears.com")</f>
        <v/>
      </c>
      <c r="Q127" t="inlineStr">
        <is>
          <t>1078113241</t>
        </is>
      </c>
      <c r="R127" t="inlineStr">
        <is>
          <t>1101110346919</t>
        </is>
      </c>
      <c r="S127" t="inlineStr">
        <is>
          <t>대상아님</t>
        </is>
      </c>
      <c r="T127" t="inlineStr">
        <is>
          <t>일반법인</t>
        </is>
      </c>
      <c r="U127" t="inlineStr">
        <is>
          <t>대기업</t>
        </is>
      </c>
      <c r="V127" t="inlineStr">
        <is>
          <t>외부감사대상</t>
        </is>
      </c>
      <c r="W127" s="6" t="inlineStr">
        <is>
          <t>1983-03-24</t>
        </is>
      </c>
      <c r="X127" t="inlineStr">
        <is>
          <t>KRI:10R9119100</t>
        </is>
      </c>
      <c r="Y127" t="inlineStr">
        <is>
          <t>스포츠 클럽 운영업</t>
        </is>
      </c>
      <c r="Z127" t="inlineStr">
        <is>
          <t>프로야구단 운영/광고/운동기구,일용잡화 도소매/보험 대리,중개/부동산 임대</t>
        </is>
      </c>
      <c r="AA127" t="inlineStr">
        <is>
          <t>서울 송파구 잠실동 10번지</t>
        </is>
      </c>
      <c r="AB127" t="inlineStr">
        <is>
          <t>서울 송파구 올림픽로 25</t>
        </is>
      </c>
    </row>
    <row r="128" s="1">
      <c r="A128" t="inlineStr">
        <is>
          <t>NICE:E71111</t>
        </is>
      </c>
      <c r="B128" t="inlineStr">
        <is>
          <t>네스필러피케이지</t>
        </is>
      </c>
      <c r="C128" s="5" t="n">
        <v>9493393000</v>
      </c>
      <c r="D128" s="5" t="n">
        <v>5654100000</v>
      </c>
      <c r="E128" s="5" t="n">
        <v>3839293000</v>
      </c>
      <c r="F128" s="5" t="n">
        <v>20860473000</v>
      </c>
      <c r="G128" s="5" t="n">
        <v>3296711000</v>
      </c>
      <c r="H128" s="5" t="n">
        <v>23011401000</v>
      </c>
      <c r="I128" s="5" t="n">
        <v>3991677000</v>
      </c>
      <c r="J128" s="4" t="n">
        <v>1.56850004196167</v>
      </c>
      <c r="K128" s="4" t="n">
        <v>1.472699999809265</v>
      </c>
      <c r="L128" s="4" t="n">
        <v>0.1579999923706055</v>
      </c>
      <c r="M128" t="inlineStr">
        <is>
          <t>심윤석</t>
        </is>
      </c>
      <c r="N128" t="inlineStr">
        <is>
          <t>032-323-6060</t>
        </is>
      </c>
      <c r="O128" t="inlineStr">
        <is>
          <t>032-328-4349</t>
        </is>
      </c>
      <c r="P128">
        <f>HYPERLINK("http://www.nest-filler.com", "http://www.nest-filler.com")</f>
        <v/>
      </c>
      <c r="Q128" t="inlineStr">
        <is>
          <t>1308637423</t>
        </is>
      </c>
      <c r="R128" t="inlineStr">
        <is>
          <t>1211110177626</t>
        </is>
      </c>
      <c r="S128" t="inlineStr">
        <is>
          <t>대상아님</t>
        </is>
      </c>
      <c r="T128" t="inlineStr">
        <is>
          <t>일반법인</t>
        </is>
      </c>
      <c r="U128" t="inlineStr">
        <is>
          <t>중소기업</t>
        </is>
      </c>
      <c r="V128" t="inlineStr">
        <is>
          <t>외부감사비대상</t>
        </is>
      </c>
      <c r="W128" s="6" t="inlineStr">
        <is>
          <t>2008-09-23</t>
        </is>
      </c>
      <c r="X128" t="inlineStr">
        <is>
          <t>KRI:10C2223200</t>
        </is>
      </c>
      <c r="Y128" t="inlineStr">
        <is>
          <t>포장용 플라스틱 성형용기 제조업</t>
        </is>
      </c>
      <c r="Z128" t="inlineStr">
        <is>
          <t>포장용기,금형 제조/무역/산업디자인</t>
        </is>
      </c>
      <c r="AA128" t="inlineStr">
        <is>
          <t>경기 부천시 원미구 춘의동 75-8번지 네스필러타워 6층,7층,8층</t>
        </is>
      </c>
      <c r="AB128" t="inlineStr">
        <is>
          <t>경기 부천시 원미구 길주로 433, 6층,7층,8층 (춘의동,네스필러타워)</t>
        </is>
      </c>
    </row>
    <row r="129" ht="19.2" customHeight="1" s="1">
      <c r="A129" t="inlineStr">
        <is>
          <t>NICE:135305</t>
        </is>
      </c>
      <c r="B129" t="inlineStr">
        <is>
          <t>은산건업</t>
        </is>
      </c>
      <c r="C129" s="5" t="n">
        <v>23713901000</v>
      </c>
      <c r="D129" s="5" t="n">
        <v>6353650000</v>
      </c>
      <c r="E129" s="5" t="n">
        <v>17360251000</v>
      </c>
      <c r="F129" s="5" t="n">
        <v>52762554000</v>
      </c>
      <c r="G129" s="5" t="n">
        <v>6235907000</v>
      </c>
      <c r="H129" s="5" t="n">
        <v>72100683000</v>
      </c>
      <c r="I129" s="5" t="n">
        <v>7106942000</v>
      </c>
      <c r="J129" s="4" t="n">
        <v>2.772599935531616</v>
      </c>
      <c r="K129" s="4" t="n">
        <v>0.3659999668598175</v>
      </c>
      <c r="L129" s="4" t="n">
        <v>0.118199996650219</v>
      </c>
      <c r="M129" t="inlineStr">
        <is>
          <t>박병길</t>
        </is>
      </c>
      <c r="N129" t="inlineStr">
        <is>
          <t>051-756-3494</t>
        </is>
      </c>
      <c r="O129" t="inlineStr">
        <is>
          <t>051-756-3493</t>
        </is>
      </c>
      <c r="P129" s="3">
        <f>HYPERLINK("http://www.eunsanwin.co.kr", "http://www.eunsanwin.co.kr")</f>
        <v/>
      </c>
      <c r="Q129" t="inlineStr">
        <is>
          <t>6178113414</t>
        </is>
      </c>
      <c r="R129" t="inlineStr">
        <is>
          <t>1801110161256</t>
        </is>
      </c>
      <c r="S129" t="inlineStr">
        <is>
          <t>대상아님</t>
        </is>
      </c>
      <c r="T129" t="inlineStr">
        <is>
          <t>일반법인</t>
        </is>
      </c>
      <c r="U129" t="inlineStr">
        <is>
          <t>중소기업</t>
        </is>
      </c>
      <c r="V129" t="inlineStr">
        <is>
          <t>외부감사대상</t>
        </is>
      </c>
      <c r="W129" s="6" t="inlineStr">
        <is>
          <t>1990-01-01</t>
        </is>
      </c>
      <c r="X129" t="inlineStr">
        <is>
          <t>KRI:10F4242000</t>
        </is>
      </c>
      <c r="Y129" t="inlineStr">
        <is>
          <t>유리 및 창호 공사업</t>
        </is>
      </c>
      <c r="Z129" t="inlineStr">
        <is>
          <t>창호공사,철물공사,건축물조립공사/창호 제조</t>
        </is>
      </c>
      <c r="AA129" t="inlineStr">
        <is>
          <t>부산 북구 만덕동 302번지 다산타워 301호</t>
        </is>
      </c>
      <c r="AB129" t="inlineStr">
        <is>
          <t>부산 북구 만덕2로17번길 1, 301호 (만덕동,다산타워)</t>
        </is>
      </c>
    </row>
    <row r="130" s="1">
      <c r="A130" t="inlineStr">
        <is>
          <t>NICE:HP6565</t>
        </is>
      </c>
      <c r="B130" t="inlineStr">
        <is>
          <t>에이치오케이코리아</t>
        </is>
      </c>
      <c r="C130" s="5" t="n">
        <v>36905722000</v>
      </c>
      <c r="D130" s="5" t="n">
        <v>18507436000</v>
      </c>
      <c r="E130" s="5" t="n">
        <v>18398286000</v>
      </c>
      <c r="F130" s="5" t="n">
        <v>29620299000</v>
      </c>
      <c r="G130" s="5" t="n">
        <v>6212502000</v>
      </c>
      <c r="H130" s="5" t="n">
        <v>24511131000</v>
      </c>
      <c r="I130" s="5" t="n">
        <v>4731832000</v>
      </c>
      <c r="J130" s="4" t="n">
        <v>1.412500023841858</v>
      </c>
      <c r="K130" s="4" t="n">
        <v>1.005899906158447</v>
      </c>
      <c r="L130" s="4" t="n">
        <v>0.2096999883651733</v>
      </c>
      <c r="M130" t="inlineStr">
        <is>
          <t>문성식</t>
        </is>
      </c>
      <c r="N130" t="inlineStr">
        <is>
          <t>02-518-8708</t>
        </is>
      </c>
      <c r="O130" t="inlineStr">
        <is>
          <t>02-3448-5311</t>
        </is>
      </c>
      <c r="P130">
        <f>HYPERLINK("http://www.huperoptik.co.kr", "http://www.huperoptik.co.kr")</f>
        <v/>
      </c>
      <c r="Q130" t="inlineStr">
        <is>
          <t>1238700323</t>
        </is>
      </c>
      <c r="R130" t="inlineStr">
        <is>
          <t>1101116045028</t>
        </is>
      </c>
      <c r="S130" t="inlineStr">
        <is>
          <t>대상아님</t>
        </is>
      </c>
      <c r="T130" t="inlineStr">
        <is>
          <t>일반법인</t>
        </is>
      </c>
      <c r="U130" t="inlineStr">
        <is>
          <t>중소기업</t>
        </is>
      </c>
      <c r="V130" t="inlineStr">
        <is>
          <t>외부감사대상</t>
        </is>
      </c>
      <c r="W130" s="6" t="inlineStr">
        <is>
          <t>2016-04-26</t>
        </is>
      </c>
      <c r="X130" t="inlineStr">
        <is>
          <t>KRI:10G4679900</t>
        </is>
      </c>
      <c r="Y130" t="inlineStr">
        <is>
          <t>그 외 기타 상품 전문 도매업</t>
        </is>
      </c>
      <c r="Z130" t="inlineStr">
        <is>
          <t>강화, 단열필름 도매</t>
        </is>
      </c>
      <c r="AA130" t="inlineStr">
        <is>
          <t>서울 강남구 역삼동 708-33번지 파라다이스벤처타워 6층 602호</t>
        </is>
      </c>
      <c r="AB130" t="inlineStr">
        <is>
          <t>서울 강남구 테헤란로52길 21, 6층 602호 (역삼동,파라다이스벤처타워)</t>
        </is>
      </c>
    </row>
    <row r="131" s="1">
      <c r="A131" t="inlineStr">
        <is>
          <t>NICE:I22128</t>
        </is>
      </c>
      <c r="B131" t="inlineStr">
        <is>
          <t>세원의료재단</t>
        </is>
      </c>
      <c r="C131" s="5" t="n">
        <v>27952820000</v>
      </c>
      <c r="D131" s="5" t="n">
        <v>23138919000</v>
      </c>
      <c r="E131" s="5" t="n">
        <v>4813900000</v>
      </c>
      <c r="F131" s="5" t="n">
        <v>26130305000</v>
      </c>
      <c r="G131" s="5" t="n">
        <v>4688477000</v>
      </c>
      <c r="H131" s="5" t="n">
        <v>20865868000</v>
      </c>
      <c r="I131" s="5" t="n">
        <v>2384649000</v>
      </c>
      <c r="J131" s="4" t="n">
        <v>1.455399870872498</v>
      </c>
      <c r="K131" s="4" t="n">
        <v>4.806700229644775</v>
      </c>
      <c r="L131" s="4" t="n">
        <v>0.1793999969959259</v>
      </c>
      <c r="M131" t="inlineStr">
        <is>
          <t>김광중</t>
        </is>
      </c>
      <c r="N131" t="inlineStr">
        <is>
          <t>02-2191-3911</t>
        </is>
      </c>
      <c r="Q131" t="inlineStr">
        <is>
          <t>2208201521</t>
        </is>
      </c>
      <c r="R131" t="inlineStr">
        <is>
          <t>1146330008657</t>
        </is>
      </c>
      <c r="S131" t="inlineStr">
        <is>
          <t>대상아님</t>
        </is>
      </c>
      <c r="T131" t="inlineStr">
        <is>
          <t>비영리법인</t>
        </is>
      </c>
      <c r="U131" t="inlineStr">
        <is>
          <t>대상아님</t>
        </is>
      </c>
      <c r="V131" t="inlineStr">
        <is>
          <t>외부감사비대상</t>
        </is>
      </c>
      <c r="W131" s="6" t="inlineStr">
        <is>
          <t>1992-10-22</t>
        </is>
      </c>
      <c r="X131" t="inlineStr">
        <is>
          <t>KRI:10Q8620100</t>
        </is>
      </c>
      <c r="Y131" t="inlineStr">
        <is>
          <t>일반 의원</t>
        </is>
      </c>
      <c r="Z131" t="inlineStr">
        <is>
          <t>일반과,내과,소아과</t>
        </is>
      </c>
      <c r="AA131" t="inlineStr">
        <is>
          <t>서울 강남구 역삼동 606-13번지</t>
        </is>
      </c>
      <c r="AB131" t="inlineStr">
        <is>
          <t>서울 강남구 논현로105길 6-9</t>
        </is>
      </c>
    </row>
    <row r="132" ht="19.2" customHeight="1" s="1">
      <c r="A132" t="inlineStr">
        <is>
          <t>NICE:F16929</t>
        </is>
      </c>
      <c r="B132" t="inlineStr">
        <is>
          <t>문화상사</t>
        </is>
      </c>
      <c r="C132" s="5" t="n">
        <v>24362066000</v>
      </c>
      <c r="D132" s="5" t="n">
        <v>7452467000</v>
      </c>
      <c r="E132" s="5" t="n">
        <v>16909599000</v>
      </c>
      <c r="F132" s="5" t="n">
        <v>39219842000</v>
      </c>
      <c r="G132" s="5" t="n">
        <v>5312130000</v>
      </c>
      <c r="H132" s="5" t="n">
        <v>43790592000</v>
      </c>
      <c r="I132" s="5" t="n">
        <v>6967878000</v>
      </c>
      <c r="J132" s="4" t="n">
        <v>0.939300000667572</v>
      </c>
      <c r="K132" s="4" t="n">
        <v>0.4406999945640564</v>
      </c>
      <c r="L132" s="4" t="n">
        <v>0.1353999972343445</v>
      </c>
      <c r="M132" t="inlineStr">
        <is>
          <t>박상헌/박중우</t>
        </is>
      </c>
      <c r="N132" t="inlineStr">
        <is>
          <t>051-519-6356</t>
        </is>
      </c>
      <c r="O132" t="inlineStr">
        <is>
          <t>051-714-1817</t>
        </is>
      </c>
      <c r="P132" s="3" t="n"/>
      <c r="Q132" t="inlineStr">
        <is>
          <t>6078183500</t>
        </is>
      </c>
      <c r="R132" t="inlineStr">
        <is>
          <t>1801110617134</t>
        </is>
      </c>
      <c r="S132" t="inlineStr">
        <is>
          <t>대상아님</t>
        </is>
      </c>
      <c r="T132" t="inlineStr">
        <is>
          <t>일반법인</t>
        </is>
      </c>
      <c r="U132" t="inlineStr">
        <is>
          <t>중소기업</t>
        </is>
      </c>
      <c r="V132" t="inlineStr">
        <is>
          <t>외부감사대상</t>
        </is>
      </c>
      <c r="W132" s="6" t="inlineStr">
        <is>
          <t>2007-12-28</t>
        </is>
      </c>
      <c r="X132" t="inlineStr">
        <is>
          <t>KRI:10G4632900</t>
        </is>
      </c>
      <c r="Y132" t="inlineStr">
        <is>
          <t>기타 가공식품 도매업</t>
        </is>
      </c>
      <c r="Z132" t="inlineStr">
        <is>
          <t>건강기능식품 도소매/전자상거래,통신판매/부동산 매매/경영 컨설팅</t>
        </is>
      </c>
      <c r="AA132" t="inlineStr">
        <is>
          <t>부산 동래구 온천동 1429-29번지 문화빌딩 3층</t>
        </is>
      </c>
      <c r="AB132" t="inlineStr">
        <is>
          <t>부산 동래구 중앙대로1335번길 77, 3층 (온천동,문화빌딩)</t>
        </is>
      </c>
    </row>
    <row r="133" s="1">
      <c r="A133" t="inlineStr">
        <is>
          <t>NICE:166770</t>
        </is>
      </c>
      <c r="B133" t="inlineStr">
        <is>
          <t>특수법인소프트웨어공제조합</t>
        </is>
      </c>
      <c r="C133" s="5" t="n">
        <v>759654213000</v>
      </c>
      <c r="D133" s="5" t="n">
        <v>51203258000</v>
      </c>
      <c r="E133" s="5" t="n">
        <v>708450955000</v>
      </c>
      <c r="F133" s="5" t="n">
        <v>42131135000</v>
      </c>
      <c r="G133" s="5" t="n">
        <v>15592940000</v>
      </c>
      <c r="H133" s="5" t="n">
        <v>38880910000</v>
      </c>
      <c r="I133" s="5" t="n">
        <v>14273089000</v>
      </c>
      <c r="J133" s="4" t="n">
        <v>4.650100231170654</v>
      </c>
      <c r="K133" s="4" t="n">
        <v>0.07230000197887421</v>
      </c>
      <c r="L133" s="4" t="n">
        <v>0.3700999617576599</v>
      </c>
      <c r="M133" t="inlineStr">
        <is>
          <t>이득춘</t>
        </is>
      </c>
      <c r="N133" t="inlineStr">
        <is>
          <t>02-2141-7800</t>
        </is>
      </c>
      <c r="O133" t="inlineStr">
        <is>
          <t>02-2141-7801</t>
        </is>
      </c>
      <c r="P133">
        <f>HYPERLINK("https://www.ksfc.or.kr", "https://www.ksfc.or.kr")</f>
        <v/>
      </c>
      <c r="Q133" t="inlineStr">
        <is>
          <t>2118212456</t>
        </is>
      </c>
      <c r="R133" t="inlineStr">
        <is>
          <t>1146710023309</t>
        </is>
      </c>
      <c r="S133" t="inlineStr">
        <is>
          <t>대상아님</t>
        </is>
      </c>
      <c r="T133" t="inlineStr">
        <is>
          <t>비영리법인</t>
        </is>
      </c>
      <c r="U133" t="inlineStr">
        <is>
          <t>대상아님</t>
        </is>
      </c>
      <c r="V133" t="inlineStr">
        <is>
          <t>외부감사비대상</t>
        </is>
      </c>
      <c r="W133" s="6" t="inlineStr">
        <is>
          <t>1998-01-03</t>
        </is>
      </c>
      <c r="X133" t="inlineStr">
        <is>
          <t>KRI:10K6530200</t>
        </is>
      </c>
      <c r="Y133" t="inlineStr">
        <is>
          <t>사업 공제업</t>
        </is>
      </c>
      <c r="Z133" t="inlineStr">
        <is>
          <t>공제사업 운영/부동산 임대/S/W공제사업 조사,연구</t>
        </is>
      </c>
      <c r="AA133" t="inlineStr">
        <is>
          <t>서울 강남구 역삼동 702-2번지</t>
        </is>
      </c>
      <c r="AB133" t="inlineStr">
        <is>
          <t>서울 강남구 테헤란로 309</t>
        </is>
      </c>
    </row>
    <row r="134" s="1">
      <c r="A134" t="inlineStr">
        <is>
          <t>NICE:813753</t>
        </is>
      </c>
      <c r="B134" t="inlineStr">
        <is>
          <t>금보개발</t>
        </is>
      </c>
      <c r="C134" s="5" t="n">
        <v>259897154000</v>
      </c>
      <c r="D134" s="5" t="n">
        <v>194049696000</v>
      </c>
      <c r="E134" s="5" t="n">
        <v>65847458000</v>
      </c>
      <c r="F134" s="5" t="n">
        <v>60442600000</v>
      </c>
      <c r="G134" s="5" t="n">
        <v>8826875000</v>
      </c>
      <c r="H134" s="5" t="n">
        <v>97126624000</v>
      </c>
      <c r="I134" s="5" t="n">
        <v>10781126000</v>
      </c>
      <c r="J134" s="4" t="n">
        <v>0.1121999993920326</v>
      </c>
      <c r="K134" s="4" t="n">
        <v>2.947000026702881</v>
      </c>
      <c r="L134" s="4" t="n">
        <v>0.1459999978542328</v>
      </c>
      <c r="M134" t="inlineStr">
        <is>
          <t>정원석</t>
        </is>
      </c>
      <c r="N134" t="inlineStr">
        <is>
          <t>031-280-4130</t>
        </is>
      </c>
      <c r="O134" t="inlineStr">
        <is>
          <t>031-280-4115</t>
        </is>
      </c>
      <c r="P134">
        <f>HYPERLINK("http://www.namboocc.co.kr", "http://www.namboocc.co.kr")</f>
        <v/>
      </c>
      <c r="Q134" t="inlineStr">
        <is>
          <t>1358108307</t>
        </is>
      </c>
      <c r="R134" t="inlineStr">
        <is>
          <t>1301110004422</t>
        </is>
      </c>
      <c r="S134" t="inlineStr">
        <is>
          <t>대상아님</t>
        </is>
      </c>
      <c r="T134" t="inlineStr">
        <is>
          <t>일반법인</t>
        </is>
      </c>
      <c r="U134" t="inlineStr">
        <is>
          <t>중견기업</t>
        </is>
      </c>
      <c r="V134" t="inlineStr">
        <is>
          <t>외부감사대상</t>
        </is>
      </c>
      <c r="W134" s="6" t="inlineStr">
        <is>
          <t>1979-04-13</t>
        </is>
      </c>
      <c r="X134" t="inlineStr">
        <is>
          <t>KRI:10R9112100</t>
        </is>
      </c>
      <c r="Y134" t="inlineStr">
        <is>
          <t>골프장 운영업</t>
        </is>
      </c>
      <c r="Z134" t="inlineStr">
        <is>
          <t>골프장,관광호텔 운영</t>
        </is>
      </c>
      <c r="AA134" t="inlineStr">
        <is>
          <t>경기 용인시 기흥구 보라동 1-35번지</t>
        </is>
      </c>
      <c r="AB134" t="inlineStr">
        <is>
          <t>경기 용인시 기흥구 사은로 163</t>
        </is>
      </c>
    </row>
    <row r="135" s="1">
      <c r="A135" t="inlineStr">
        <is>
          <t>NICE:308560</t>
        </is>
      </c>
      <c r="B135" t="inlineStr">
        <is>
          <t>동양환경</t>
        </is>
      </c>
      <c r="C135" s="5" t="n">
        <v>131983585000</v>
      </c>
      <c r="D135" s="5" t="n">
        <v>73517802000</v>
      </c>
      <c r="E135" s="5" t="n">
        <v>58465782000</v>
      </c>
      <c r="F135" s="5" t="n">
        <v>35907006000</v>
      </c>
      <c r="G135" s="5" t="n">
        <v>5941248000</v>
      </c>
      <c r="H135" s="5" t="n">
        <v>33403546000</v>
      </c>
      <c r="I135" s="5" t="n">
        <v>7799351000</v>
      </c>
      <c r="J135" s="4" t="n">
        <v>1.618299961090088</v>
      </c>
      <c r="K135" s="4" t="n">
        <v>1.257499933242798</v>
      </c>
      <c r="L135" s="4" t="n">
        <v>0.1654999852180481</v>
      </c>
      <c r="M135" t="inlineStr">
        <is>
          <t>채상협</t>
        </is>
      </c>
      <c r="N135" t="inlineStr">
        <is>
          <t>042-933-0450-1</t>
        </is>
      </c>
      <c r="O135" t="inlineStr">
        <is>
          <t>042-933-0452</t>
        </is>
      </c>
      <c r="Q135" t="inlineStr">
        <is>
          <t>3068115434</t>
        </is>
      </c>
      <c r="R135" t="inlineStr">
        <is>
          <t>1601110032980</t>
        </is>
      </c>
      <c r="S135" t="inlineStr">
        <is>
          <t>대상아님</t>
        </is>
      </c>
      <c r="T135" t="inlineStr">
        <is>
          <t>일반법인</t>
        </is>
      </c>
      <c r="U135" t="inlineStr">
        <is>
          <t>중소기업</t>
        </is>
      </c>
      <c r="V135" t="inlineStr">
        <is>
          <t>외부감사대상</t>
        </is>
      </c>
      <c r="W135" s="6" t="inlineStr">
        <is>
          <t>1992-10-08</t>
        </is>
      </c>
      <c r="X135" t="inlineStr">
        <is>
          <t>KRI:10E3821000</t>
        </is>
      </c>
      <c r="Y135" t="inlineStr">
        <is>
          <t>지정 외 폐기물 처리업</t>
        </is>
      </c>
      <c r="Z135" t="inlineStr">
        <is>
          <t>산업폐기물 처리.폐품 재생</t>
        </is>
      </c>
      <c r="AA135" t="inlineStr">
        <is>
          <t>대전 대덕구 문평동 69-3번지</t>
        </is>
      </c>
      <c r="AB135" t="inlineStr">
        <is>
          <t>대전 대덕구 문평동로48번길 125</t>
        </is>
      </c>
    </row>
    <row r="136" s="1">
      <c r="A136" t="inlineStr">
        <is>
          <t>NICE:467799</t>
        </is>
      </c>
      <c r="B136" t="inlineStr">
        <is>
          <t>한국테루모</t>
        </is>
      </c>
      <c r="C136" s="5" t="n">
        <v>37901782000</v>
      </c>
      <c r="D136" s="5" t="n">
        <v>16784503000</v>
      </c>
      <c r="E136" s="5" t="n">
        <v>21117279000</v>
      </c>
      <c r="F136" s="5" t="n">
        <v>66183205000</v>
      </c>
      <c r="G136" s="5" t="n">
        <v>10936684000</v>
      </c>
      <c r="H136" s="5" t="n">
        <v>59890185000</v>
      </c>
      <c r="I136" s="5" t="n">
        <v>7966000000</v>
      </c>
      <c r="J136" s="4" t="n">
        <v>2.250699996948242</v>
      </c>
      <c r="K136" s="4" t="n">
        <v>0.7948000431060791</v>
      </c>
      <c r="L136" s="4" t="n">
        <v>0.1651999950408936</v>
      </c>
      <c r="M136" t="inlineStr">
        <is>
          <t>김훈</t>
        </is>
      </c>
      <c r="N136" t="inlineStr">
        <is>
          <t>02-565-9225</t>
        </is>
      </c>
      <c r="O136" t="inlineStr">
        <is>
          <t>02-565-9224</t>
        </is>
      </c>
      <c r="P136">
        <f>HYPERLINK("http://www.terumo.co.kr", "http://www.terumo.co.kr")</f>
        <v/>
      </c>
      <c r="Q136" t="inlineStr">
        <is>
          <t>2208638555</t>
        </is>
      </c>
      <c r="R136" t="inlineStr">
        <is>
          <t>1101112486333</t>
        </is>
      </c>
      <c r="S136" t="inlineStr">
        <is>
          <t>대상아님</t>
        </is>
      </c>
      <c r="T136" t="inlineStr">
        <is>
          <t>일반법인</t>
        </is>
      </c>
      <c r="U136" t="inlineStr">
        <is>
          <t>중소기업</t>
        </is>
      </c>
      <c r="V136" t="inlineStr">
        <is>
          <t>외부감사대상</t>
        </is>
      </c>
      <c r="W136" s="6" t="inlineStr">
        <is>
          <t>2002-04-01</t>
        </is>
      </c>
      <c r="X136" t="inlineStr">
        <is>
          <t>KRI:10G4659200</t>
        </is>
      </c>
      <c r="Y136" t="inlineStr">
        <is>
          <t>의료기기 도매업</t>
        </is>
      </c>
      <c r="Z136" t="inlineStr">
        <is>
          <t>의료기기,의료용품 도소매</t>
        </is>
      </c>
      <c r="AA136" t="inlineStr">
        <is>
          <t>서울 서초구 서초동 1317-23번지 23층 1호</t>
        </is>
      </c>
      <c r="AB136" t="inlineStr">
        <is>
          <t>서울 서초구 서초대로 411, 23층 1호</t>
        </is>
      </c>
    </row>
    <row r="137" s="1">
      <c r="A137" t="inlineStr">
        <is>
          <t>NICE:IP9389</t>
        </is>
      </c>
      <c r="B137" t="inlineStr">
        <is>
          <t>에이스바이옴</t>
        </is>
      </c>
      <c r="C137" s="5" t="n">
        <v>175035900000</v>
      </c>
      <c r="D137" s="5" t="n">
        <v>55685111000</v>
      </c>
      <c r="E137" s="5" t="n">
        <v>119350789000</v>
      </c>
      <c r="F137" s="5" t="n">
        <v>307139511000</v>
      </c>
      <c r="G137" s="5" t="n">
        <v>34413514000</v>
      </c>
      <c r="H137" s="5" t="n">
        <v>268805795000</v>
      </c>
      <c r="I137" s="5" t="n">
        <v>32202535000</v>
      </c>
      <c r="J137" s="4" t="n">
        <v>7.342000007629395</v>
      </c>
      <c r="K137" s="4" t="n">
        <v>0.4666000008583069</v>
      </c>
      <c r="L137" s="4" t="n">
        <v>0.1119999960064888</v>
      </c>
      <c r="M137" t="inlineStr">
        <is>
          <t>김명희</t>
        </is>
      </c>
      <c r="N137" t="inlineStr">
        <is>
          <t>042-335-0623</t>
        </is>
      </c>
      <c r="O137" t="inlineStr">
        <is>
          <t>042-335-6022</t>
        </is>
      </c>
      <c r="P137">
        <f>HYPERLINK("http://www.acebiome.com", "http://www.acebiome.com")</f>
        <v/>
      </c>
      <c r="Q137" t="inlineStr">
        <is>
          <t>2988700665</t>
        </is>
      </c>
      <c r="R137" t="inlineStr">
        <is>
          <t>1311110481257</t>
        </is>
      </c>
      <c r="S137" t="inlineStr">
        <is>
          <t>대상아님</t>
        </is>
      </c>
      <c r="T137" t="inlineStr">
        <is>
          <t>일반법인</t>
        </is>
      </c>
      <c r="U137" t="inlineStr">
        <is>
          <t>중견기업</t>
        </is>
      </c>
      <c r="V137" t="inlineStr">
        <is>
          <t>외부감사대상</t>
        </is>
      </c>
      <c r="W137" s="6" t="inlineStr">
        <is>
          <t>2017-04-28</t>
        </is>
      </c>
      <c r="X137" t="inlineStr">
        <is>
          <t>KRI:10C1079700</t>
        </is>
      </c>
      <c r="Y137" t="inlineStr">
        <is>
          <t>건강기능식품 제조업</t>
        </is>
      </c>
      <c r="Z137" t="inlineStr">
        <is>
          <t>건강기능식품 제조,도소매/연구개발용역</t>
        </is>
      </c>
      <c r="AA137" t="inlineStr">
        <is>
          <t>서울 강남구 삼성동 159-1번지 트레이드타워 4203호</t>
        </is>
      </c>
      <c r="AB137" t="inlineStr">
        <is>
          <t>서울 강남구 영동대로 511, 4203호 (삼성동,트레이드타워)</t>
        </is>
      </c>
    </row>
    <row r="138" ht="19.2" customHeight="1" s="1">
      <c r="A138" t="inlineStr">
        <is>
          <t>NICE:IV2104</t>
        </is>
      </c>
      <c r="B138" t="inlineStr">
        <is>
          <t>뮤카</t>
        </is>
      </c>
      <c r="C138" s="5" t="n">
        <v>23324214000</v>
      </c>
      <c r="D138" s="5" t="n">
        <v>9856495000</v>
      </c>
      <c r="E138" s="5" t="n">
        <v>13467719000</v>
      </c>
      <c r="F138" s="5" t="n">
        <v>39265329000</v>
      </c>
      <c r="G138" s="5" t="n">
        <v>5466024000</v>
      </c>
      <c r="H138" s="5" t="n">
        <v>32178836000</v>
      </c>
      <c r="I138" s="5" t="n">
        <v>4584333000</v>
      </c>
      <c r="J138" s="4" t="n">
        <v>1.449599981307983</v>
      </c>
      <c r="K138" s="4" t="n">
        <v>0.7319000363349915</v>
      </c>
      <c r="L138" s="4" t="n">
        <v>0.1392000019550323</v>
      </c>
      <c r="M138" t="inlineStr">
        <is>
          <t>김건식</t>
        </is>
      </c>
      <c r="N138" t="inlineStr">
        <is>
          <t>02-784-3999</t>
        </is>
      </c>
      <c r="O138" t="inlineStr">
        <is>
          <t>02-784-7041</t>
        </is>
      </c>
      <c r="P138" s="3" t="n"/>
      <c r="Q138" t="inlineStr">
        <is>
          <t>2618800883</t>
        </is>
      </c>
      <c r="R138" t="inlineStr">
        <is>
          <t>1101116540953</t>
        </is>
      </c>
      <c r="S138" t="inlineStr">
        <is>
          <t>대상아님</t>
        </is>
      </c>
      <c r="T138" t="inlineStr">
        <is>
          <t>일반법인</t>
        </is>
      </c>
      <c r="U138" t="inlineStr">
        <is>
          <t>중소기업</t>
        </is>
      </c>
      <c r="V138" t="inlineStr">
        <is>
          <t>외부감사대상</t>
        </is>
      </c>
      <c r="W138" s="6" t="inlineStr">
        <is>
          <t>2017-10-18</t>
        </is>
      </c>
      <c r="X138" t="inlineStr">
        <is>
          <t>KRI:10G4512000</t>
        </is>
      </c>
      <c r="Y138" t="inlineStr">
        <is>
          <t>중고 자동차 판매업</t>
        </is>
      </c>
      <c r="Z138" t="inlineStr">
        <is>
          <t>중고자동차 중개알선,판매</t>
        </is>
      </c>
      <c r="AA138" t="inlineStr">
        <is>
          <t>서울 강서구 가양동 50-5번지 서서울모터리움 903호</t>
        </is>
      </c>
      <c r="AB138" t="inlineStr">
        <is>
          <t>서울 강서구 양천로53길 30, 903호 (가양동,서서울모터리움)</t>
        </is>
      </c>
    </row>
    <row r="139" ht="19.2" customHeight="1" s="1">
      <c r="A139" t="inlineStr">
        <is>
          <t>NICE:185153</t>
        </is>
      </c>
      <c r="B139" t="inlineStr">
        <is>
          <t>유성화학</t>
        </is>
      </c>
      <c r="C139" s="5" t="n">
        <v>22011936000</v>
      </c>
      <c r="D139" s="5" t="n">
        <v>5516522000</v>
      </c>
      <c r="E139" s="5" t="n">
        <v>16495414000</v>
      </c>
      <c r="F139" s="5" t="n">
        <v>23025544000</v>
      </c>
      <c r="G139" s="5" t="n">
        <v>3321202000</v>
      </c>
      <c r="H139" s="5" t="n">
        <v>25756560000</v>
      </c>
      <c r="I139" s="5" t="n">
        <v>3617030000</v>
      </c>
      <c r="J139" s="4" t="n">
        <v>2.625100135803223</v>
      </c>
      <c r="K139" s="4" t="n">
        <v>0.3343999683856964</v>
      </c>
      <c r="L139" s="4" t="n">
        <v>0.1441999971866608</v>
      </c>
      <c r="M139" t="inlineStr">
        <is>
          <t>류창열</t>
        </is>
      </c>
      <c r="N139" t="inlineStr">
        <is>
          <t>055-364-3868</t>
        </is>
      </c>
      <c r="O139" t="inlineStr">
        <is>
          <t>055-366-3214</t>
        </is>
      </c>
      <c r="P139" s="3" t="n"/>
      <c r="Q139" t="inlineStr">
        <is>
          <t>6218604544</t>
        </is>
      </c>
      <c r="R139" t="inlineStr">
        <is>
          <t>2341110072797</t>
        </is>
      </c>
      <c r="S139" t="inlineStr">
        <is>
          <t>대상아님</t>
        </is>
      </c>
      <c r="T139" t="inlineStr">
        <is>
          <t>일반법인</t>
        </is>
      </c>
      <c r="U139" t="inlineStr">
        <is>
          <t>중소기업</t>
        </is>
      </c>
      <c r="V139" t="inlineStr">
        <is>
          <t>외부감사대상</t>
        </is>
      </c>
      <c r="W139" s="6" t="inlineStr">
        <is>
          <t>1995-10-15</t>
        </is>
      </c>
      <c r="X139" t="inlineStr">
        <is>
          <t>KRI:10C2224100</t>
        </is>
      </c>
      <c r="Y139" t="inlineStr">
        <is>
          <t>운송장비 조립용 플라스틱제품 제조업</t>
        </is>
      </c>
      <c r="Z139" t="inlineStr">
        <is>
          <t>자동차부품 제조/부동산 임대</t>
        </is>
      </c>
      <c r="AA139" t="inlineStr">
        <is>
          <t>경남 양산시 매곡동 984-1번지</t>
        </is>
      </c>
      <c r="AB139" t="inlineStr">
        <is>
          <t>경남 양산시 그린공단2길 2</t>
        </is>
      </c>
    </row>
    <row r="140" ht="19.2" customHeight="1" s="1">
      <c r="A140" t="inlineStr">
        <is>
          <t>NICE:HC6111</t>
        </is>
      </c>
      <c r="B140" t="inlineStr">
        <is>
          <t>바운스</t>
        </is>
      </c>
      <c r="C140" s="5" t="n">
        <v>31277736000</v>
      </c>
      <c r="D140" s="5" t="n">
        <v>10575755000</v>
      </c>
      <c r="E140" s="5" t="n">
        <v>20701981000</v>
      </c>
      <c r="F140" s="5" t="n">
        <v>36486058000</v>
      </c>
      <c r="G140" s="5" t="n">
        <v>3940405000</v>
      </c>
      <c r="H140" s="5" t="n">
        <v>33608033000</v>
      </c>
      <c r="I140" s="5" t="n">
        <v>4306022000</v>
      </c>
      <c r="J140" s="4" t="n">
        <v>1.166299939155579</v>
      </c>
      <c r="K140" s="4" t="n">
        <v>0.5108999609947205</v>
      </c>
      <c r="L140" s="4" t="n">
        <v>0.1080000028014183</v>
      </c>
      <c r="M140" t="inlineStr">
        <is>
          <t>류호준</t>
        </is>
      </c>
      <c r="N140" t="inlineStr">
        <is>
          <t>1599-9583</t>
        </is>
      </c>
      <c r="O140" t="inlineStr">
        <is>
          <t>02-3445-0151</t>
        </is>
      </c>
      <c r="P140" s="3">
        <f>HYPERLINK("http://www.vaunce.co.kr", "http://www.vaunce.co.kr")</f>
        <v/>
      </c>
      <c r="Q140" t="inlineStr">
        <is>
          <t>6318600114</t>
        </is>
      </c>
      <c r="R140" t="inlineStr">
        <is>
          <t>1101115701879</t>
        </is>
      </c>
      <c r="S140" t="inlineStr">
        <is>
          <t>대상아님</t>
        </is>
      </c>
      <c r="T140" t="inlineStr">
        <is>
          <t>일반법인</t>
        </is>
      </c>
      <c r="U140" t="inlineStr">
        <is>
          <t>중견기업</t>
        </is>
      </c>
      <c r="V140" t="inlineStr">
        <is>
          <t>외부감사대상</t>
        </is>
      </c>
      <c r="W140" s="6" t="inlineStr">
        <is>
          <t>2015-04-20</t>
        </is>
      </c>
      <c r="X140" t="inlineStr">
        <is>
          <t>KRI:10R9029000</t>
        </is>
      </c>
      <c r="Y140" t="inlineStr">
        <is>
          <t>기타 유사 여가관련 서비스업</t>
        </is>
      </c>
      <c r="Z140" t="inlineStr">
        <is>
          <t>여가관련서비스/놀이터용장비 제조,전자상거래/도배,실내장식,내장목공사/일반음식점/인테리어 디자인</t>
        </is>
      </c>
      <c r="AA140" t="inlineStr">
        <is>
          <t>서울 강남구 삼성동 159번지 스파크플러스코엑스점 비130호, 비131호</t>
        </is>
      </c>
      <c r="AB140" t="inlineStr">
        <is>
          <t>서울 강남구 봉은사로 524, 비130호, 비131호 (삼성동,스파크플러스코엑스점)</t>
        </is>
      </c>
    </row>
    <row r="141" ht="19.2" customHeight="1" s="1">
      <c r="A141" t="inlineStr">
        <is>
          <t>NICE:J04092</t>
        </is>
      </c>
      <c r="B141" t="inlineStr">
        <is>
          <t>서도건설</t>
        </is>
      </c>
      <c r="C141" s="5" t="n">
        <v>71753005000</v>
      </c>
      <c r="D141" s="5" t="n">
        <v>33671830000</v>
      </c>
      <c r="E141" s="5" t="n">
        <v>38081175000</v>
      </c>
      <c r="F141" s="5" t="n">
        <v>24374206000</v>
      </c>
      <c r="G141" s="5" t="n">
        <v>4150790000</v>
      </c>
      <c r="H141" s="5" t="n">
        <v>20094399000</v>
      </c>
      <c r="I141" s="5" t="n">
        <v>3056109000</v>
      </c>
      <c r="J141" s="4" t="n">
        <v>1.81879997253418</v>
      </c>
      <c r="K141" s="4" t="n">
        <v>0.8841999769210815</v>
      </c>
      <c r="L141" s="4" t="n">
        <v>0.1703000068664551</v>
      </c>
      <c r="M141" t="inlineStr">
        <is>
          <t>전기홍</t>
        </is>
      </c>
      <c r="N141" t="inlineStr">
        <is>
          <t>02-596-8838</t>
        </is>
      </c>
      <c r="O141" t="inlineStr">
        <is>
          <t>02-596-8846</t>
        </is>
      </c>
      <c r="P141" s="3" t="n"/>
      <c r="Q141" t="inlineStr">
        <is>
          <t>6108620281</t>
        </is>
      </c>
      <c r="R141" t="inlineStr">
        <is>
          <t>2301110204998</t>
        </is>
      </c>
      <c r="S141" t="inlineStr">
        <is>
          <t>대상아님</t>
        </is>
      </c>
      <c r="T141" t="inlineStr">
        <is>
          <t>일반법인</t>
        </is>
      </c>
      <c r="U141" t="inlineStr">
        <is>
          <t>중소기업</t>
        </is>
      </c>
      <c r="V141" t="inlineStr">
        <is>
          <t>외부감사대상</t>
        </is>
      </c>
      <c r="W141" s="6" t="inlineStr">
        <is>
          <t>2013-03-15</t>
        </is>
      </c>
      <c r="X141" t="inlineStr">
        <is>
          <t>KRI:10F4111000</t>
        </is>
      </c>
      <c r="Y141" t="inlineStr">
        <is>
          <t>주거용 건물 건설업</t>
        </is>
      </c>
      <c r="Z141" t="inlineStr">
        <is>
          <t>건축공사,토목공사/목재 문,관련제품,플라스틱 창호 제조/비주거용 건물 임대/부동산개발,건설사업관리</t>
        </is>
      </c>
      <c r="AA141" t="inlineStr">
        <is>
          <t>서울 성동구 성수동2가 269-63번지 성수에이원센터 6층 607호</t>
        </is>
      </c>
      <c r="AB141" t="inlineStr">
        <is>
          <t>서울 성동구 뚝섬로17가길 48, 6층 607호 (성수동2가,성수에이원센터)</t>
        </is>
      </c>
    </row>
    <row r="142" ht="19.2" customHeight="1" s="1">
      <c r="A142" t="inlineStr">
        <is>
          <t>NICE:189373</t>
        </is>
      </c>
      <c r="B142" t="inlineStr">
        <is>
          <t>이가에이씨엠건축사사무소</t>
        </is>
      </c>
      <c r="C142" s="5" t="n">
        <v>46304462000</v>
      </c>
      <c r="D142" s="5" t="n">
        <v>13148275000</v>
      </c>
      <c r="E142" s="5" t="n">
        <v>33156187000</v>
      </c>
      <c r="F142" s="5" t="n">
        <v>52229891000</v>
      </c>
      <c r="G142" s="5" t="n">
        <v>6241174000</v>
      </c>
      <c r="H142" s="5" t="n">
        <v>50485729000</v>
      </c>
      <c r="I142" s="5" t="n">
        <v>5378210000</v>
      </c>
      <c r="J142" s="4" t="n">
        <v>2.13730001449585</v>
      </c>
      <c r="K142" s="4" t="n">
        <v>0.3965999782085419</v>
      </c>
      <c r="L142" s="4" t="n">
        <v>0.119499996304512</v>
      </c>
      <c r="M142" t="inlineStr">
        <is>
          <t>오혁근</t>
        </is>
      </c>
      <c r="N142" t="inlineStr">
        <is>
          <t>053-939-6717</t>
        </is>
      </c>
      <c r="O142" t="inlineStr">
        <is>
          <t>053-939-6718</t>
        </is>
      </c>
      <c r="P142" s="3">
        <f>HYPERLINK("http://ega.egaacm.com", "http://ega.egaacm.com")</f>
        <v/>
      </c>
      <c r="Q142" t="inlineStr">
        <is>
          <t>2158108826</t>
        </is>
      </c>
      <c r="R142" t="inlineStr">
        <is>
          <t>1101110660434</t>
        </is>
      </c>
      <c r="S142" t="inlineStr">
        <is>
          <t>대상아님</t>
        </is>
      </c>
      <c r="T142" t="inlineStr">
        <is>
          <t>일반법인</t>
        </is>
      </c>
      <c r="U142" t="inlineStr">
        <is>
          <t>중소기업</t>
        </is>
      </c>
      <c r="V142" t="inlineStr">
        <is>
          <t>외부감사대상</t>
        </is>
      </c>
      <c r="W142" s="6" t="inlineStr">
        <is>
          <t>1983-04-28</t>
        </is>
      </c>
      <c r="X142" t="inlineStr">
        <is>
          <t>KRI:10M7211100</t>
        </is>
      </c>
      <c r="Y142" t="inlineStr">
        <is>
          <t>건축설계 및 관련 서비스업</t>
        </is>
      </c>
      <c r="Z142" t="inlineStr">
        <is>
          <t>건축,토목 설계,종합감리,건설사업관리</t>
        </is>
      </c>
      <c r="AA142" t="inlineStr">
        <is>
          <t>경북 경산시 정평동 186-1번지 5층</t>
        </is>
      </c>
      <c r="AB142" t="inlineStr">
        <is>
          <t>경북 경산시 성동로 15-1, 5층</t>
        </is>
      </c>
    </row>
    <row r="143" ht="19.2" customHeight="1" s="1">
      <c r="A143" t="inlineStr">
        <is>
          <t>NICE:I15628</t>
        </is>
      </c>
      <c r="B143" t="inlineStr">
        <is>
          <t>영농조합법인무지개농장</t>
        </is>
      </c>
      <c r="C143" s="5" t="n">
        <v>39119023000</v>
      </c>
      <c r="D143" s="5" t="n">
        <v>11797771000</v>
      </c>
      <c r="E143" s="5" t="n">
        <v>27321251000</v>
      </c>
      <c r="F143" s="5" t="n">
        <v>21990087000</v>
      </c>
      <c r="G143" s="5" t="n">
        <v>6283851000</v>
      </c>
      <c r="H143" s="5" t="n">
        <v>19822443000</v>
      </c>
      <c r="I143" s="5" t="n">
        <v>4410734000</v>
      </c>
      <c r="J143" s="4" t="n">
        <v>7.674699306488037</v>
      </c>
      <c r="K143" s="4" t="n">
        <v>0.4318000078201294</v>
      </c>
      <c r="L143" s="4" t="n">
        <v>0.2857999801635742</v>
      </c>
      <c r="M143" t="inlineStr">
        <is>
          <t>한만혁/한만응</t>
        </is>
      </c>
      <c r="N143" t="inlineStr">
        <is>
          <t>043-856-3940</t>
        </is>
      </c>
      <c r="P143" s="3" t="n"/>
      <c r="Q143" t="inlineStr">
        <is>
          <t>3038166540</t>
        </is>
      </c>
      <c r="R143" t="inlineStr">
        <is>
          <t>1511710003837</t>
        </is>
      </c>
      <c r="S143" t="inlineStr">
        <is>
          <t>대상아님</t>
        </is>
      </c>
      <c r="T143" t="inlineStr">
        <is>
          <t>일반법인</t>
        </is>
      </c>
      <c r="U143" t="inlineStr">
        <is>
          <t>중소기업</t>
        </is>
      </c>
      <c r="V143" t="inlineStr">
        <is>
          <t>외부감사비대상</t>
        </is>
      </c>
      <c r="W143" s="6" t="inlineStr">
        <is>
          <t>2012-06-22</t>
        </is>
      </c>
      <c r="X143" t="inlineStr">
        <is>
          <t>KRI:10A0123100</t>
        </is>
      </c>
      <c r="Y143" t="inlineStr">
        <is>
          <t>양계업</t>
        </is>
      </c>
      <c r="Z143" t="inlineStr">
        <is>
          <t>산란계,작물재배업,가축분퇴비</t>
        </is>
      </c>
      <c r="AA143" t="inlineStr">
        <is>
          <t>충북 충주시 소태면 주치리 562번지</t>
        </is>
      </c>
      <c r="AB143" t="inlineStr">
        <is>
          <t>충북 충주시 소태면 주치길 478-50</t>
        </is>
      </c>
    </row>
    <row r="144" ht="19.2" customHeight="1" s="1">
      <c r="A144" t="inlineStr">
        <is>
          <t>NICE:C86231</t>
        </is>
      </c>
      <c r="B144" t="inlineStr">
        <is>
          <t>목포신항만운영</t>
        </is>
      </c>
      <c r="C144" s="5" t="n">
        <v>21290494000</v>
      </c>
      <c r="D144" s="5" t="n">
        <v>6453286000</v>
      </c>
      <c r="E144" s="5" t="n">
        <v>14837208000</v>
      </c>
      <c r="F144" s="5" t="n">
        <v>41245206000</v>
      </c>
      <c r="G144" s="5" t="n">
        <v>7935116000</v>
      </c>
      <c r="H144" s="5" t="n">
        <v>40337502000</v>
      </c>
      <c r="I144" s="5" t="n">
        <v>7862509000</v>
      </c>
      <c r="J144" s="4" t="n">
        <v>2.959800004959106</v>
      </c>
      <c r="K144" s="4" t="n">
        <v>0.4349000155925751</v>
      </c>
      <c r="L144" s="4" t="n">
        <v>0.1923999935388565</v>
      </c>
      <c r="M144" t="inlineStr">
        <is>
          <t>신회식</t>
        </is>
      </c>
      <c r="N144" t="inlineStr">
        <is>
          <t>061-460-8114</t>
        </is>
      </c>
      <c r="O144" t="inlineStr">
        <is>
          <t>061-460-8115</t>
        </is>
      </c>
      <c r="P144" s="3">
        <f>HYPERLINK("http://www.mokport.com", "http://www.mokport.com")</f>
        <v/>
      </c>
      <c r="Q144" t="inlineStr">
        <is>
          <t>4118156528</t>
        </is>
      </c>
      <c r="R144" t="inlineStr">
        <is>
          <t>2011110029648</t>
        </is>
      </c>
      <c r="S144" t="inlineStr">
        <is>
          <t>대상아님</t>
        </is>
      </c>
      <c r="T144" t="inlineStr">
        <is>
          <t>일반법인</t>
        </is>
      </c>
      <c r="U144" t="inlineStr">
        <is>
          <t>중견기업</t>
        </is>
      </c>
      <c r="V144" t="inlineStr">
        <is>
          <t>외부감사대상</t>
        </is>
      </c>
      <c r="W144" s="6" t="inlineStr">
        <is>
          <t>2009-02-05</t>
        </is>
      </c>
      <c r="X144" t="inlineStr">
        <is>
          <t>KRI:10H5012200</t>
        </is>
      </c>
      <c r="Y144" t="inlineStr">
        <is>
          <t>내항 화물 운송업</t>
        </is>
      </c>
      <c r="Z144" t="inlineStr">
        <is>
          <t>내외항,화물 운수,중개,대리/주택공사/무역/부동산 임대</t>
        </is>
      </c>
      <c r="AA144" t="inlineStr">
        <is>
          <t>전남 목포시 달동 1329번지</t>
        </is>
      </c>
      <c r="AB144" t="inlineStr">
        <is>
          <t>전남 목포시 신항로294번길 45</t>
        </is>
      </c>
    </row>
    <row r="145" ht="19.2" customHeight="1" s="1">
      <c r="A145" t="inlineStr">
        <is>
          <t>NICE:101098</t>
        </is>
      </c>
      <c r="B145" t="inlineStr">
        <is>
          <t>강남드라이브</t>
        </is>
      </c>
      <c r="C145" s="5" t="n">
        <v>18856637000</v>
      </c>
      <c r="D145" s="5" t="n">
        <v>9795382000</v>
      </c>
      <c r="E145" s="5" t="n">
        <v>9061256000</v>
      </c>
      <c r="F145" s="5" t="n">
        <v>22960062000</v>
      </c>
      <c r="G145" s="5" t="n">
        <v>2678451000</v>
      </c>
      <c r="H145" s="5" t="n">
        <v>18844628000</v>
      </c>
      <c r="I145" s="5" t="n">
        <v>2326291000</v>
      </c>
      <c r="J145" s="4" t="n">
        <v>1.470599889755249</v>
      </c>
      <c r="K145" s="4" t="n">
        <v>1.080999970436096</v>
      </c>
      <c r="L145" s="4" t="n">
        <v>0.1167000010609627</v>
      </c>
      <c r="M145" t="inlineStr">
        <is>
          <t>정만영</t>
        </is>
      </c>
      <c r="N145" t="inlineStr">
        <is>
          <t>02-497-4505</t>
        </is>
      </c>
      <c r="O145" t="inlineStr">
        <is>
          <t>02-497-4506</t>
        </is>
      </c>
      <c r="P145" s="3">
        <f>HYPERLINK("http://www.kangnamdrive.co.kr", "http://www.kangnamdrive.co.kr")</f>
        <v/>
      </c>
      <c r="Q145" t="inlineStr">
        <is>
          <t>2188119808</t>
        </is>
      </c>
      <c r="R145" t="inlineStr">
        <is>
          <t>1101111347776</t>
        </is>
      </c>
      <c r="S145" t="inlineStr">
        <is>
          <t>대상아님</t>
        </is>
      </c>
      <c r="T145" t="inlineStr">
        <is>
          <t>일반법인</t>
        </is>
      </c>
      <c r="U145" t="inlineStr">
        <is>
          <t>중소기업</t>
        </is>
      </c>
      <c r="V145" t="inlineStr">
        <is>
          <t>외부감사대상</t>
        </is>
      </c>
      <c r="W145" s="6" t="inlineStr">
        <is>
          <t>1994-03-18</t>
        </is>
      </c>
      <c r="X145" t="inlineStr">
        <is>
          <t>KRI:10C2812300</t>
        </is>
      </c>
      <c r="Y145" t="inlineStr">
        <is>
          <t>배전반 및 전기 자동제어반 제조업</t>
        </is>
      </c>
      <c r="Z145" t="inlineStr">
        <is>
          <t>전기제어장치 제조,신재생에너지산업/산업용기기,정보통신 도소매,기술용역/수출입</t>
        </is>
      </c>
      <c r="AA145" t="inlineStr">
        <is>
          <t>서울 성동구 성수동1가 16-4번지 에스케이테크노빌딩 807호</t>
        </is>
      </c>
      <c r="AB145" t="inlineStr">
        <is>
          <t>서울 성동구 성수일로 55, 807호 (성수동1가,에스케이테크노빌딩)</t>
        </is>
      </c>
    </row>
    <row r="146" s="1">
      <c r="A146" t="inlineStr">
        <is>
          <t>NICE:JD0109</t>
        </is>
      </c>
      <c r="B146" t="inlineStr">
        <is>
          <t>스타필드안성</t>
        </is>
      </c>
      <c r="C146" s="5" t="n">
        <v>663498147000</v>
      </c>
      <c r="D146" s="5" t="n">
        <v>413491491000</v>
      </c>
      <c r="E146" s="5" t="n">
        <v>250006656000</v>
      </c>
      <c r="F146" s="5" t="n">
        <v>77434025000</v>
      </c>
      <c r="G146" s="5" t="n">
        <v>25646471000</v>
      </c>
      <c r="H146" s="5" t="n">
        <v>74826804000</v>
      </c>
      <c r="I146" s="5" t="n">
        <v>22198904000</v>
      </c>
      <c r="J146" s="4" t="n">
        <v>1.965199947357178</v>
      </c>
      <c r="K146" s="4" t="n">
        <v>1.653899908065796</v>
      </c>
      <c r="L146" s="4" t="n">
        <v>0.33119997382164</v>
      </c>
      <c r="M146" t="inlineStr">
        <is>
          <t>신동우</t>
        </is>
      </c>
      <c r="N146" t="inlineStr">
        <is>
          <t>031-8092-1010</t>
        </is>
      </c>
      <c r="O146" t="inlineStr">
        <is>
          <t>031-8092-1100</t>
        </is>
      </c>
      <c r="P146">
        <f>HYPERLINK("http://www.starfield.co.kr", "http://www.starfield.co.kr")</f>
        <v/>
      </c>
      <c r="Q146" t="inlineStr">
        <is>
          <t>2638100949</t>
        </is>
      </c>
      <c r="R146" t="inlineStr">
        <is>
          <t>1346110091475</t>
        </is>
      </c>
      <c r="S146" t="inlineStr">
        <is>
          <t>대상아님</t>
        </is>
      </c>
      <c r="T146" t="inlineStr">
        <is>
          <t>일반법인</t>
        </is>
      </c>
      <c r="U146" t="inlineStr">
        <is>
          <t>대기업</t>
        </is>
      </c>
      <c r="V146" t="inlineStr">
        <is>
          <t>외부감사대상</t>
        </is>
      </c>
      <c r="W146" s="6" t="inlineStr">
        <is>
          <t>2018-05-28</t>
        </is>
      </c>
      <c r="X146" t="inlineStr">
        <is>
          <t>KRI:10L6811200</t>
        </is>
      </c>
      <c r="Y146" t="inlineStr">
        <is>
          <t>비주거용 건물 임대업</t>
        </is>
      </c>
      <c r="Z146" t="inlineStr">
        <is>
          <t>부동산 임대</t>
        </is>
      </c>
      <c r="AA146" t="inlineStr">
        <is>
          <t>경기 안성시 공도읍 진사리 354번지</t>
        </is>
      </c>
      <c r="AB146" t="inlineStr">
        <is>
          <t>경기 안성시 공도읍 서동대로 3930-39</t>
        </is>
      </c>
    </row>
    <row r="147" s="1">
      <c r="A147" t="inlineStr">
        <is>
          <t>NICE:294911</t>
        </is>
      </c>
      <c r="B147" t="inlineStr">
        <is>
          <t>성원애드피아</t>
        </is>
      </c>
      <c r="C147" s="5" t="n">
        <v>264454895000</v>
      </c>
      <c r="D147" s="5" t="n">
        <v>38275600000</v>
      </c>
      <c r="E147" s="5" t="n">
        <v>226179296000</v>
      </c>
      <c r="F147" s="5" t="n">
        <v>105577629000</v>
      </c>
      <c r="G147" s="5" t="n">
        <v>14391285000</v>
      </c>
      <c r="H147" s="5" t="n">
        <v>107545923000</v>
      </c>
      <c r="I147" s="5" t="n">
        <v>12744780000</v>
      </c>
      <c r="J147" s="4" t="n">
        <v>3.57480001449585</v>
      </c>
      <c r="K147" s="4" t="n">
        <v>0.1692000031471252</v>
      </c>
      <c r="L147" s="4" t="n">
        <v>0.1362999975681305</v>
      </c>
      <c r="M147" t="inlineStr">
        <is>
          <t>정대원</t>
        </is>
      </c>
      <c r="N147" t="inlineStr">
        <is>
          <t>02-6262-5729</t>
        </is>
      </c>
      <c r="O147" t="inlineStr">
        <is>
          <t>02-6499-0606</t>
        </is>
      </c>
      <c r="P147">
        <f>HYPERLINK("http://www.swadpia.co.kr", "http://www.swadpia.co.kr")</f>
        <v/>
      </c>
      <c r="Q147" t="inlineStr">
        <is>
          <t>2018186819</t>
        </is>
      </c>
      <c r="R147" t="inlineStr">
        <is>
          <t>1101112997215</t>
        </is>
      </c>
      <c r="S147" t="inlineStr">
        <is>
          <t>대상아님</t>
        </is>
      </c>
      <c r="T147" t="inlineStr">
        <is>
          <t>일반법인</t>
        </is>
      </c>
      <c r="U147" t="inlineStr">
        <is>
          <t>중견기업</t>
        </is>
      </c>
      <c r="V147" t="inlineStr">
        <is>
          <t>외부감사대상</t>
        </is>
      </c>
      <c r="W147" s="6" t="inlineStr">
        <is>
          <t>2004-04-21</t>
        </is>
      </c>
      <c r="X147" t="inlineStr">
        <is>
          <t>KRI:10C1811900</t>
        </is>
      </c>
      <c r="Y147" t="inlineStr">
        <is>
          <t>기타 인쇄업</t>
        </is>
      </c>
      <c r="Z147" t="inlineStr">
        <is>
          <t>카탈로그,명함,전단지,스티커,봉투 인쇄,출판/무역/광고/비주거용건물 임대/광고</t>
        </is>
      </c>
      <c r="AA147" t="inlineStr">
        <is>
          <t>서울 중구 충무로4가 112-1번지</t>
        </is>
      </c>
      <c r="AB147" t="inlineStr">
        <is>
          <t>서울 중구 퇴계로41길 6</t>
        </is>
      </c>
    </row>
    <row r="148" s="1">
      <c r="A148" t="inlineStr">
        <is>
          <t>NICE:219392</t>
        </is>
      </c>
      <c r="B148" t="inlineStr">
        <is>
          <t>나주관광개발</t>
        </is>
      </c>
      <c r="C148" s="5" t="n">
        <v>300043332000</v>
      </c>
      <c r="D148" s="5" t="n">
        <v>141521634000</v>
      </c>
      <c r="E148" s="5" t="n">
        <v>158521698000</v>
      </c>
      <c r="F148" s="5" t="n">
        <v>28496327000</v>
      </c>
      <c r="G148" s="5" t="n">
        <v>3984020000</v>
      </c>
      <c r="H148" s="5" t="n">
        <v>31352415000</v>
      </c>
      <c r="I148" s="5" t="n">
        <v>7631065000</v>
      </c>
      <c r="J148" s="4" t="n">
        <v>0.06309999525547028</v>
      </c>
      <c r="K148" s="4" t="n">
        <v>0.892799973487854</v>
      </c>
      <c r="L148" s="4" t="n">
        <v>0.1397999972105026</v>
      </c>
      <c r="M148" t="inlineStr">
        <is>
          <t>김석철</t>
        </is>
      </c>
      <c r="N148" t="inlineStr">
        <is>
          <t>061-339-3000</t>
        </is>
      </c>
      <c r="O148" t="inlineStr">
        <is>
          <t>061-339-3100</t>
        </is>
      </c>
      <c r="Q148" t="inlineStr">
        <is>
          <t>4098134803</t>
        </is>
      </c>
      <c r="R148" t="inlineStr">
        <is>
          <t>2001110068754</t>
        </is>
      </c>
      <c r="S148" t="inlineStr">
        <is>
          <t>대상아님</t>
        </is>
      </c>
      <c r="T148" t="inlineStr">
        <is>
          <t>일반법인</t>
        </is>
      </c>
      <c r="U148" t="inlineStr">
        <is>
          <t>대기업</t>
        </is>
      </c>
      <c r="V148" t="inlineStr">
        <is>
          <t>외부감사대상</t>
        </is>
      </c>
      <c r="W148" s="6" t="inlineStr">
        <is>
          <t>1996-09-16</t>
        </is>
      </c>
      <c r="X148" t="inlineStr">
        <is>
          <t>KRI:10R9112100</t>
        </is>
      </c>
      <c r="Y148" t="inlineStr">
        <is>
          <t>골프장 운영업</t>
        </is>
      </c>
      <c r="Z148" t="inlineStr">
        <is>
          <t>골프장,헬스크럽,라켓볼,스쿼시,스트레스해소방,관광휴양/주택건설공사/식품잡화 소매,전자상거래/일반음식</t>
        </is>
      </c>
      <c r="AA148" t="inlineStr">
        <is>
          <t>전남 나주시 남평읍 우산리 2356-4번지</t>
        </is>
      </c>
      <c r="AB148" t="inlineStr">
        <is>
          <t>전남 나주시 남평읍 나주호로 442-129</t>
        </is>
      </c>
    </row>
    <row r="149" ht="19.2" customHeight="1" s="1">
      <c r="A149" t="inlineStr">
        <is>
          <t>NICE:100126</t>
        </is>
      </c>
      <c r="B149" t="inlineStr">
        <is>
          <t>한조</t>
        </is>
      </c>
      <c r="C149" s="5" t="n">
        <v>40417257000</v>
      </c>
      <c r="D149" s="5" t="n">
        <v>9988555000</v>
      </c>
      <c r="E149" s="5" t="n">
        <v>30428702000</v>
      </c>
      <c r="F149" s="5" t="n">
        <v>31225628000</v>
      </c>
      <c r="G149" s="5" t="n">
        <v>6271657000</v>
      </c>
      <c r="H149" s="5" t="n">
        <v>22378032000</v>
      </c>
      <c r="I149" s="5" t="n">
        <v>2018882000</v>
      </c>
      <c r="J149" s="4" t="n">
        <v>0.8594999313354492</v>
      </c>
      <c r="K149" s="4" t="n">
        <v>0.3282999992370605</v>
      </c>
      <c r="L149" s="4" t="n">
        <v>0.2008000016212463</v>
      </c>
      <c r="M149" t="inlineStr">
        <is>
          <t>김승재</t>
        </is>
      </c>
      <c r="N149" t="inlineStr">
        <is>
          <t>051-414-7201</t>
        </is>
      </c>
      <c r="O149" t="inlineStr">
        <is>
          <t>051-413-9878</t>
        </is>
      </c>
      <c r="P149" s="3">
        <f>HYPERLINK("http://www.hanjoms.co.kr", "http://www.hanjoms.co.kr")</f>
        <v/>
      </c>
      <c r="Q149" t="inlineStr">
        <is>
          <t>6108122173</t>
        </is>
      </c>
      <c r="R149" t="inlineStr">
        <is>
          <t>1812110032868</t>
        </is>
      </c>
      <c r="S149" t="inlineStr">
        <is>
          <t>대상아님</t>
        </is>
      </c>
      <c r="T149" t="inlineStr">
        <is>
          <t>일반법인</t>
        </is>
      </c>
      <c r="U149" t="inlineStr">
        <is>
          <t>중소기업</t>
        </is>
      </c>
      <c r="V149" t="inlineStr">
        <is>
          <t>외부감사대상</t>
        </is>
      </c>
      <c r="W149" s="6" t="inlineStr">
        <is>
          <t>1995-06-10</t>
        </is>
      </c>
      <c r="X149" t="inlineStr">
        <is>
          <t>KRI:10C3111400</t>
        </is>
      </c>
      <c r="Y149" t="inlineStr">
        <is>
          <t>선박 구성 부분품 제조업</t>
        </is>
      </c>
      <c r="Z149" t="inlineStr">
        <is>
          <t>선박구성부품(필터),휠타제조기계부품,액체기체여과청정기,탭,밸브유사장치,자동차부품 제조</t>
        </is>
      </c>
      <c r="AA149" t="inlineStr">
        <is>
          <t>부산 영도구 남항동3가 141-127번지</t>
        </is>
      </c>
      <c r="AB149" t="inlineStr">
        <is>
          <t>부산 영도구 남항서로 20</t>
        </is>
      </c>
    </row>
    <row r="150" ht="19.2" customHeight="1" s="1">
      <c r="A150" t="inlineStr">
        <is>
          <t>NICE:G44578</t>
        </is>
      </c>
      <c r="B150" t="inlineStr">
        <is>
          <t>에스더블유에스코리아</t>
        </is>
      </c>
      <c r="C150" s="5" t="n">
        <v>16976115000</v>
      </c>
      <c r="D150" s="5" t="n">
        <v>6935928000</v>
      </c>
      <c r="E150" s="5" t="n">
        <v>10040187000</v>
      </c>
      <c r="F150" s="5" t="n">
        <v>37763008000</v>
      </c>
      <c r="G150" s="5" t="n">
        <v>6471055000</v>
      </c>
      <c r="H150" s="5" t="n">
        <v>36804660000</v>
      </c>
      <c r="I150" s="5" t="n">
        <v>6753689000</v>
      </c>
      <c r="J150" s="4" t="n">
        <v>2.400700092315674</v>
      </c>
      <c r="K150" s="4" t="n">
        <v>0.6908000111579895</v>
      </c>
      <c r="L150" s="4" t="n">
        <v>0.1713999956846237</v>
      </c>
      <c r="M150" t="inlineStr">
        <is>
          <t>고마다신타로</t>
        </is>
      </c>
      <c r="N150" t="inlineStr">
        <is>
          <t>031-719-9712</t>
        </is>
      </c>
      <c r="O150" t="inlineStr">
        <is>
          <t>031-719-9719</t>
        </is>
      </c>
      <c r="P150" s="3">
        <f>HYPERLINK("http://www.sws.co.jp", "http://www.sws.co.jp")</f>
        <v/>
      </c>
      <c r="Q150" t="inlineStr">
        <is>
          <t>1298640990</t>
        </is>
      </c>
      <c r="R150" t="inlineStr">
        <is>
          <t>1311110245934</t>
        </is>
      </c>
      <c r="S150" t="inlineStr">
        <is>
          <t>대상아님</t>
        </is>
      </c>
      <c r="T150" t="inlineStr">
        <is>
          <t>일반법인</t>
        </is>
      </c>
      <c r="U150" t="inlineStr">
        <is>
          <t>중소기업</t>
        </is>
      </c>
      <c r="V150" t="inlineStr">
        <is>
          <t>외부감사대상</t>
        </is>
      </c>
      <c r="W150" s="6" t="inlineStr">
        <is>
          <t>2009-12-23</t>
        </is>
      </c>
      <c r="X150" t="inlineStr">
        <is>
          <t>KRI:10G4521900</t>
        </is>
      </c>
      <c r="Y150" t="inlineStr">
        <is>
          <t>기타 자동차 신품 부품 및 내장품 판매업</t>
        </is>
      </c>
      <c r="Z150" t="inlineStr">
        <is>
          <t>자동차부품(와이어하네스) 도소매,제조/무역</t>
        </is>
      </c>
      <c r="AA150" t="inlineStr">
        <is>
          <t>경기 성남시 분당구 정자동 25-1번지</t>
        </is>
      </c>
      <c r="AB150" t="inlineStr">
        <is>
          <t>경기 성남시 분당구 성남대로331번길 8</t>
        </is>
      </c>
    </row>
    <row r="151" ht="19.2" customHeight="1" s="1">
      <c r="A151" t="inlineStr">
        <is>
          <t>NICE:838314</t>
        </is>
      </c>
      <c r="B151" t="inlineStr">
        <is>
          <t>코텍전자</t>
        </is>
      </c>
      <c r="C151" s="5" t="n">
        <v>37901835000</v>
      </c>
      <c r="D151" s="5" t="n">
        <v>8015700000</v>
      </c>
      <c r="E151" s="5" t="n">
        <v>29886135000</v>
      </c>
      <c r="F151" s="5" t="n">
        <v>48606397000</v>
      </c>
      <c r="G151" s="5" t="n">
        <v>8898391000</v>
      </c>
      <c r="H151" s="5" t="n">
        <v>34099982000</v>
      </c>
      <c r="I151" s="5" t="n">
        <v>6018367000</v>
      </c>
      <c r="J151" s="4" t="n">
        <v>3.586099863052368</v>
      </c>
      <c r="K151" s="4" t="n">
        <v>0.2681999802589417</v>
      </c>
      <c r="L151" s="4" t="n">
        <v>0.1830999851226807</v>
      </c>
      <c r="M151" t="inlineStr">
        <is>
          <t>김인기</t>
        </is>
      </c>
      <c r="N151" t="inlineStr">
        <is>
          <t>031-790-1880</t>
        </is>
      </c>
      <c r="O151" t="inlineStr">
        <is>
          <t>031-790-1808</t>
        </is>
      </c>
      <c r="P151" s="3">
        <f>HYPERLINK("http://www.e-kotech.co.kr", "http://www.e-kotech.co.kr")</f>
        <v/>
      </c>
      <c r="Q151" t="inlineStr">
        <is>
          <t>2048146553</t>
        </is>
      </c>
      <c r="R151" t="inlineStr">
        <is>
          <t>1101111849376</t>
        </is>
      </c>
      <c r="S151" t="inlineStr">
        <is>
          <t>대상아님</t>
        </is>
      </c>
      <c r="T151" t="inlineStr">
        <is>
          <t>일반법인</t>
        </is>
      </c>
      <c r="U151" t="inlineStr">
        <is>
          <t>중소기업</t>
        </is>
      </c>
      <c r="V151" t="inlineStr">
        <is>
          <t>외부감사대상</t>
        </is>
      </c>
      <c r="W151" s="6" t="inlineStr">
        <is>
          <t>1988-02-01</t>
        </is>
      </c>
      <c r="X151" t="inlineStr">
        <is>
          <t>KRI:10C2629900</t>
        </is>
      </c>
      <c r="Y151" t="inlineStr">
        <is>
          <t>그 외 기타 전자부품 제조업</t>
        </is>
      </c>
      <c r="Z151" t="inlineStr">
        <is>
          <t>전자기기(물류자동화시스템),컴퓨터주변기기 제조/물류자동화설비,전자기기,컴퓨터주변기기 도매,무역</t>
        </is>
      </c>
      <c r="AA151" t="inlineStr">
        <is>
          <t>경기 하남시 덕풍동 762번지 아이테코 114호, 560호</t>
        </is>
      </c>
      <c r="AB151" t="inlineStr">
        <is>
          <t>경기 하남시 조정대로 150, 114호, 560호 (덕풍동,아이테코)</t>
        </is>
      </c>
    </row>
    <row r="152" ht="19.2" customHeight="1" s="1">
      <c r="A152" t="inlineStr">
        <is>
          <t>NICE:JK7539</t>
        </is>
      </c>
      <c r="B152" t="inlineStr">
        <is>
          <t>에스플랜트</t>
        </is>
      </c>
      <c r="C152" s="5" t="n">
        <v>9884043000</v>
      </c>
      <c r="D152" s="5" t="n">
        <v>1691523000</v>
      </c>
      <c r="E152" s="5" t="n">
        <v>8192520000</v>
      </c>
      <c r="F152" s="5" t="n">
        <v>21276997000</v>
      </c>
      <c r="G152" s="5" t="n">
        <v>3342704000</v>
      </c>
      <c r="H152" s="5" t="n">
        <v>15577029000</v>
      </c>
      <c r="I152" s="5" t="n">
        <v>1532460000</v>
      </c>
      <c r="J152" s="4" t="n">
        <v>2.848599672317505</v>
      </c>
      <c r="K152" s="4" t="n">
        <v>0.2064999938011169</v>
      </c>
      <c r="L152" s="4" t="n">
        <v>0.1570999920368195</v>
      </c>
      <c r="M152" t="inlineStr">
        <is>
          <t>김민기</t>
        </is>
      </c>
      <c r="N152" t="inlineStr">
        <is>
          <t>041-935-7021</t>
        </is>
      </c>
      <c r="O152" t="inlineStr">
        <is>
          <t>041-935-7022</t>
        </is>
      </c>
      <c r="P152" s="3" t="n"/>
      <c r="Q152" t="inlineStr">
        <is>
          <t>3998701292</t>
        </is>
      </c>
      <c r="R152" t="inlineStr">
        <is>
          <t>1645110031683</t>
        </is>
      </c>
      <c r="S152" t="inlineStr">
        <is>
          <t>대상아님</t>
        </is>
      </c>
      <c r="T152" t="inlineStr">
        <is>
          <t>일반법인</t>
        </is>
      </c>
      <c r="U152" t="inlineStr">
        <is>
          <t>중소기업</t>
        </is>
      </c>
      <c r="V152" t="inlineStr">
        <is>
          <t>외부감사비대상</t>
        </is>
      </c>
      <c r="W152" s="6" t="inlineStr">
        <is>
          <t>2019-01-10</t>
        </is>
      </c>
      <c r="X152" t="inlineStr">
        <is>
          <t>KRI:10F4213700</t>
        </is>
      </c>
      <c r="Y152" t="inlineStr">
        <is>
          <t>비계 및 형틀 공사업</t>
        </is>
      </c>
      <c r="Z152" t="inlineStr">
        <is>
          <t>비계공사,기계설비공사,플랜트배관설비공사/부동산 임대</t>
        </is>
      </c>
      <c r="AA152" t="inlineStr">
        <is>
          <t>충남 보령시 대천동 504번지</t>
        </is>
      </c>
      <c r="AB152" t="inlineStr">
        <is>
          <t>충남 보령시 우정길 81</t>
        </is>
      </c>
    </row>
    <row r="153" ht="19.2" customHeight="1" s="1">
      <c r="A153" t="inlineStr">
        <is>
          <t>NICE:LY7363</t>
        </is>
      </c>
      <c r="B153" t="inlineStr">
        <is>
          <t>케이에스에이치파트너스</t>
        </is>
      </c>
      <c r="C153" s="5" t="n">
        <v>29276172000</v>
      </c>
      <c r="D153" s="5" t="n">
        <v>8761791000</v>
      </c>
      <c r="E153" s="5" t="n">
        <v>20514381000</v>
      </c>
      <c r="F153" s="5" t="n">
        <v>48037124000</v>
      </c>
      <c r="G153" s="5" t="n">
        <v>16867614000</v>
      </c>
      <c r="H153" s="5" t="n">
        <v>36868913000</v>
      </c>
      <c r="I153" s="5" t="n">
        <v>9187050000</v>
      </c>
      <c r="J153" s="4" t="n">
        <v>3.380100011825562</v>
      </c>
      <c r="K153" s="4" t="n">
        <v>0.4270999729633331</v>
      </c>
      <c r="L153" s="4" t="n">
        <v>0.3510999977588654</v>
      </c>
      <c r="M153" t="inlineStr">
        <is>
          <t>김세훈</t>
        </is>
      </c>
      <c r="N153" t="inlineStr">
        <is>
          <t>02-2632-9995</t>
        </is>
      </c>
      <c r="O153" t="inlineStr">
        <is>
          <t>02-3489-8855</t>
        </is>
      </c>
      <c r="P153" s="3" t="n"/>
      <c r="Q153" t="inlineStr">
        <is>
          <t>1508701834</t>
        </is>
      </c>
      <c r="R153" t="inlineStr">
        <is>
          <t>1101117694733</t>
        </is>
      </c>
      <c r="S153" t="inlineStr">
        <is>
          <t>대상아님</t>
        </is>
      </c>
      <c r="T153" t="inlineStr">
        <is>
          <t>일반법인</t>
        </is>
      </c>
      <c r="U153" t="inlineStr">
        <is>
          <t>중소기업</t>
        </is>
      </c>
      <c r="V153" t="inlineStr">
        <is>
          <t>외부감사대상</t>
        </is>
      </c>
      <c r="W153" s="6" t="inlineStr">
        <is>
          <t>2020-11-25</t>
        </is>
      </c>
      <c r="X153" t="inlineStr">
        <is>
          <t>KRI:10L6812100</t>
        </is>
      </c>
      <c r="Y153" t="inlineStr">
        <is>
          <t>주거용 건물 개발 및 공급업</t>
        </is>
      </c>
      <c r="Z153" t="inlineStr">
        <is>
          <t>부동산 개발,공급</t>
        </is>
      </c>
      <c r="AA153" t="inlineStr">
        <is>
          <t>서울 금천구 가산동 233-5번지 B동 333호</t>
        </is>
      </c>
      <c r="AB153" t="inlineStr">
        <is>
          <t>서울 금천구 디지털로10길 69, B동 333호</t>
        </is>
      </c>
    </row>
    <row r="154" ht="19.2" customHeight="1" s="1">
      <c r="A154" t="inlineStr">
        <is>
          <t>NICE:RD0264</t>
        </is>
      </c>
      <c r="B154" t="inlineStr">
        <is>
          <t>진약사몰</t>
        </is>
      </c>
      <c r="C154" s="5" t="n">
        <v>27899196000</v>
      </c>
      <c r="D154" s="5" t="n">
        <v>22366552000</v>
      </c>
      <c r="E154" s="5" t="n">
        <v>5532644000</v>
      </c>
      <c r="F154" s="5" t="n">
        <v>26194815000</v>
      </c>
      <c r="G154" s="5" t="n">
        <v>5962057000</v>
      </c>
      <c r="H154" s="5" t="n">
        <v>11751311000</v>
      </c>
      <c r="I154" s="5" t="n">
        <v>1701542000</v>
      </c>
      <c r="J154" s="4" t="n">
        <v>0.6388999819755554</v>
      </c>
      <c r="K154" s="4" t="n">
        <v>4.042699813842773</v>
      </c>
      <c r="L154" s="4" t="n">
        <v>0.2275999933481216</v>
      </c>
      <c r="M154" t="inlineStr">
        <is>
          <t>진정주/박찬선</t>
        </is>
      </c>
      <c r="P154" s="3" t="n"/>
      <c r="Q154" t="inlineStr">
        <is>
          <t>2948603552</t>
        </is>
      </c>
      <c r="R154" t="inlineStr">
        <is>
          <t>1314110583346</t>
        </is>
      </c>
      <c r="S154" t="inlineStr">
        <is>
          <t>대상아님</t>
        </is>
      </c>
      <c r="T154" t="inlineStr">
        <is>
          <t>일반법인</t>
        </is>
      </c>
      <c r="U154" t="inlineStr">
        <is>
          <t>중소기업</t>
        </is>
      </c>
      <c r="V154" t="inlineStr">
        <is>
          <t>외부감사대상</t>
        </is>
      </c>
      <c r="W154" s="6" t="inlineStr">
        <is>
          <t>2024-06-20</t>
        </is>
      </c>
      <c r="X154" t="inlineStr">
        <is>
          <t>KRI:10G4791200</t>
        </is>
      </c>
      <c r="Y154" t="inlineStr">
        <is>
          <t>전자상거래 소매업</t>
        </is>
      </c>
      <c r="Z154" t="inlineStr">
        <is>
          <t>전자상거래 소매업</t>
        </is>
      </c>
      <c r="AA154" t="inlineStr">
        <is>
          <t>경기 안산시 단원구 고잔동 681-6번지 슈마프라자 115호</t>
        </is>
      </c>
      <c r="AB154" t="inlineStr">
        <is>
          <t>경기 안산시 단원구 광덕4로 112, 115호 (고잔동,슈마프라자)</t>
        </is>
      </c>
    </row>
    <row r="155" s="1">
      <c r="A155" t="inlineStr">
        <is>
          <t>NICE:C16745</t>
        </is>
      </c>
      <c r="B155" t="inlineStr">
        <is>
          <t>신니개발</t>
        </is>
      </c>
      <c r="C155" s="5" t="n">
        <v>298056912000</v>
      </c>
      <c r="D155" s="5" t="n">
        <v>140977649000</v>
      </c>
      <c r="E155" s="5" t="n">
        <v>157079263000</v>
      </c>
      <c r="F155" s="5" t="n">
        <v>44992443000</v>
      </c>
      <c r="G155" s="5" t="n">
        <v>11611550000</v>
      </c>
      <c r="H155" s="5" t="n">
        <v>28741051000</v>
      </c>
      <c r="I155" s="5" t="n">
        <v>7645966000</v>
      </c>
      <c r="J155" s="4" t="n">
        <v>0.02259999886155128</v>
      </c>
      <c r="K155" s="4" t="n">
        <v>0.8974999785423279</v>
      </c>
      <c r="L155" s="4" t="n">
        <v>0.2581000030040741</v>
      </c>
      <c r="M155" t="inlineStr">
        <is>
          <t>최동호</t>
        </is>
      </c>
      <c r="N155" t="inlineStr">
        <is>
          <t>043-841-9000</t>
        </is>
      </c>
      <c r="O155" t="inlineStr">
        <is>
          <t>043-841-9010</t>
        </is>
      </c>
      <c r="P155">
        <f>HYPERLINK("http://www.royalforet.com", "http://www.royalforet.com")</f>
        <v/>
      </c>
      <c r="Q155" t="inlineStr">
        <is>
          <t>3038149522</t>
        </is>
      </c>
      <c r="R155" t="inlineStr">
        <is>
          <t>1511110031206</t>
        </is>
      </c>
      <c r="S155" t="inlineStr">
        <is>
          <t>대상아님</t>
        </is>
      </c>
      <c r="T155" t="inlineStr">
        <is>
          <t>일반법인</t>
        </is>
      </c>
      <c r="U155" t="inlineStr">
        <is>
          <t>중소기업</t>
        </is>
      </c>
      <c r="V155" t="inlineStr">
        <is>
          <t>외부감사대상</t>
        </is>
      </c>
      <c r="W155" s="6" t="inlineStr">
        <is>
          <t>2007-10-15</t>
        </is>
      </c>
      <c r="X155" t="inlineStr">
        <is>
          <t>KRI:10R9112100</t>
        </is>
      </c>
      <c r="Y155" t="inlineStr">
        <is>
          <t>골프장 운영업</t>
        </is>
      </c>
      <c r="Z155" t="inlineStr">
        <is>
          <t>골프장 운영</t>
        </is>
      </c>
      <c r="AA155" t="inlineStr">
        <is>
          <t>충북 충주시 금가면 월상리 산89번지 202호</t>
        </is>
      </c>
      <c r="AB155" t="inlineStr">
        <is>
          <t>충북 충주시 금가면 다래울길 52, 202호</t>
        </is>
      </c>
    </row>
    <row r="156" s="1">
      <c r="A156" t="inlineStr">
        <is>
          <t>NICE:160205</t>
        </is>
      </c>
      <c r="B156" t="inlineStr">
        <is>
          <t>정수유통</t>
        </is>
      </c>
      <c r="C156" s="5" t="n">
        <v>152521970000</v>
      </c>
      <c r="D156" s="5" t="n">
        <v>101844223000</v>
      </c>
      <c r="E156" s="5" t="n">
        <v>50677747000</v>
      </c>
      <c r="F156" s="5" t="n">
        <v>36812957000</v>
      </c>
      <c r="G156" s="5" t="n">
        <v>8264584000</v>
      </c>
      <c r="H156" s="5" t="n">
        <v>38216640000</v>
      </c>
      <c r="I156" s="5" t="n">
        <v>8792403000</v>
      </c>
      <c r="J156" s="4" t="n">
        <v>1.328099966049194</v>
      </c>
      <c r="K156" s="4" t="n">
        <v>2.009599924087524</v>
      </c>
      <c r="L156" s="4" t="n">
        <v>0.2245000004768372</v>
      </c>
      <c r="M156" t="inlineStr">
        <is>
          <t>오정택</t>
        </is>
      </c>
      <c r="N156" t="inlineStr">
        <is>
          <t>043-883-9057</t>
        </is>
      </c>
      <c r="O156" t="inlineStr">
        <is>
          <t>043-882-9056</t>
        </is>
      </c>
      <c r="P156">
        <f>HYPERLINK("http://www.jsdistribution.co.kr", "http://www.jsdistribution.co.kr")</f>
        <v/>
      </c>
      <c r="Q156" t="inlineStr">
        <is>
          <t>3038113776</t>
        </is>
      </c>
      <c r="R156" t="inlineStr">
        <is>
          <t>1545110008048</t>
        </is>
      </c>
      <c r="S156" t="inlineStr">
        <is>
          <t>대상아님</t>
        </is>
      </c>
      <c r="T156" t="inlineStr">
        <is>
          <t>일반법인</t>
        </is>
      </c>
      <c r="U156" t="inlineStr">
        <is>
          <t>중소기업</t>
        </is>
      </c>
      <c r="V156" t="inlineStr">
        <is>
          <t>외부감사대상</t>
        </is>
      </c>
      <c r="W156" s="6" t="inlineStr">
        <is>
          <t>1995-07-14</t>
        </is>
      </c>
      <c r="X156" t="inlineStr">
        <is>
          <t>KRI:10H5299300</t>
        </is>
      </c>
      <c r="Y156" t="inlineStr">
        <is>
          <t>화물 포장, 검수 및 계량 서비스업</t>
        </is>
      </c>
      <c r="Z156" t="inlineStr">
        <is>
          <t>포장소분,국제물류주선/물류 창고/다류,당류,식품,목재포장용상자드럼 제조/수출입,통관대행</t>
        </is>
      </c>
      <c r="AA156" t="inlineStr">
        <is>
          <t>충북 음성군 삼성면 청용리 470번지</t>
        </is>
      </c>
      <c r="AB156" t="inlineStr">
        <is>
          <t>충북 음성군 삼성면 대청로 176</t>
        </is>
      </c>
    </row>
    <row r="157" s="1">
      <c r="A157" t="inlineStr">
        <is>
          <t>NICE:OT2192</t>
        </is>
      </c>
      <c r="B157" t="inlineStr">
        <is>
          <t>아이엠엠홀딩스</t>
        </is>
      </c>
      <c r="C157" s="5" t="n">
        <v>148568930000</v>
      </c>
      <c r="D157" s="5" t="n">
        <v>62412207000</v>
      </c>
      <c r="E157" s="5" t="n">
        <v>86156723000</v>
      </c>
      <c r="F157" s="5" t="n">
        <v>34793104000</v>
      </c>
      <c r="G157" s="5" t="n">
        <v>20429632000</v>
      </c>
      <c r="H157" s="5" t="n">
        <v>104476141000</v>
      </c>
      <c r="I157" s="5" t="n">
        <v>20034259000</v>
      </c>
      <c r="J157" s="4" t="n">
        <v>1.59469997882843</v>
      </c>
      <c r="K157" s="4" t="n">
        <v>0.7243999838829041</v>
      </c>
      <c r="L157" s="4" t="n">
        <v>0.5871999859809875</v>
      </c>
      <c r="M157" t="inlineStr">
        <is>
          <t>송인준</t>
        </is>
      </c>
      <c r="N157" t="inlineStr">
        <is>
          <t>02-2112-1780</t>
        </is>
      </c>
      <c r="O157" t="inlineStr">
        <is>
          <t>02-2112-1781</t>
        </is>
      </c>
      <c r="P157">
        <f>HYPERLINK("http://www.immholdings.co.kr/", "http://www.immholdings.co.kr/")</f>
        <v/>
      </c>
      <c r="Q157" t="inlineStr">
        <is>
          <t>1698602524</t>
        </is>
      </c>
      <c r="R157" t="inlineStr">
        <is>
          <t>1101118100987</t>
        </is>
      </c>
      <c r="S157" t="inlineStr">
        <is>
          <t>대상아님</t>
        </is>
      </c>
      <c r="T157" t="inlineStr">
        <is>
          <t>일반법인</t>
        </is>
      </c>
      <c r="U157" t="inlineStr">
        <is>
          <t>대기업</t>
        </is>
      </c>
      <c r="V157" t="inlineStr">
        <is>
          <t>외부감사대상</t>
        </is>
      </c>
      <c r="W157" s="6" t="inlineStr">
        <is>
          <t>2021-11-22</t>
        </is>
      </c>
      <c r="X157" t="inlineStr">
        <is>
          <t>KRI:10K6499200</t>
        </is>
      </c>
      <c r="Y157" t="inlineStr">
        <is>
          <t>지주회사</t>
        </is>
      </c>
      <c r="Z157" t="inlineStr">
        <is>
          <t>자회사 출자,지배,경영관리,자금지원,경영자문,지원</t>
        </is>
      </c>
      <c r="AA157" t="inlineStr">
        <is>
          <t>서울 강남구 역삼동 737번지 강남파이낸스센터 12층</t>
        </is>
      </c>
      <c r="AB157" t="inlineStr">
        <is>
          <t>서울 강남구 테헤란로 152, 12층 (역삼동,강남파이낸스센터)</t>
        </is>
      </c>
    </row>
    <row r="158" s="1">
      <c r="A158" t="inlineStr">
        <is>
          <t>NICE:008931</t>
        </is>
      </c>
      <c r="B158" t="inlineStr">
        <is>
          <t>비아이피</t>
        </is>
      </c>
      <c r="C158" s="5" t="n">
        <v>111934085000</v>
      </c>
      <c r="D158" s="5" t="n">
        <v>41819383000</v>
      </c>
      <c r="E158" s="5" t="n">
        <v>70114702000</v>
      </c>
      <c r="F158" s="5" t="n">
        <v>59008355000</v>
      </c>
      <c r="G158" s="5" t="n">
        <v>5967886000</v>
      </c>
      <c r="H158" s="5" t="n">
        <v>63516300000</v>
      </c>
      <c r="I158" s="5" t="n">
        <v>6971972000</v>
      </c>
      <c r="J158" s="4" t="n">
        <v>0.6557999849319458</v>
      </c>
      <c r="K158" s="4" t="n">
        <v>0.5963999629020691</v>
      </c>
      <c r="L158" s="4" t="n">
        <v>0.1010999977588654</v>
      </c>
      <c r="M158" t="inlineStr">
        <is>
          <t>정철현</t>
        </is>
      </c>
      <c r="N158" t="inlineStr">
        <is>
          <t>051-519-2000</t>
        </is>
      </c>
      <c r="O158" t="inlineStr">
        <is>
          <t>051-582-7176</t>
        </is>
      </c>
      <c r="P158">
        <f>HYPERLINK("http://www.bip-korea.com", "http://www.bip-korea.com")</f>
        <v/>
      </c>
      <c r="Q158" t="inlineStr">
        <is>
          <t>6218102240</t>
        </is>
      </c>
      <c r="R158" t="inlineStr">
        <is>
          <t>1801110031326</t>
        </is>
      </c>
      <c r="S158" t="inlineStr">
        <is>
          <t>대상아님</t>
        </is>
      </c>
      <c r="T158" t="inlineStr">
        <is>
          <t>일반법인</t>
        </is>
      </c>
      <c r="U158" t="inlineStr">
        <is>
          <t>중소기업</t>
        </is>
      </c>
      <c r="V158" t="inlineStr">
        <is>
          <t>외부감사대상</t>
        </is>
      </c>
      <c r="W158" s="6" t="inlineStr">
        <is>
          <t>1978-09-06</t>
        </is>
      </c>
      <c r="X158" t="inlineStr">
        <is>
          <t>KRI:10C3111400</t>
        </is>
      </c>
      <c r="Y158" t="inlineStr">
        <is>
          <t>선박 구성 부분품 제조업</t>
        </is>
      </c>
      <c r="Z158" t="inlineStr">
        <is>
          <t>선박구성부분품 제조/선실의장품설치공사</t>
        </is>
      </c>
      <c r="AA158" t="inlineStr">
        <is>
          <t>부산 금정구 구서동 84-18번지</t>
        </is>
      </c>
      <c r="AB158" t="inlineStr">
        <is>
          <t>부산 금정구 중앙대로 1817</t>
        </is>
      </c>
    </row>
    <row r="159" s="1">
      <c r="A159" t="inlineStr">
        <is>
          <t>NICE:474520</t>
        </is>
      </c>
      <c r="B159" t="inlineStr">
        <is>
          <t>한성푸드영농조합법인</t>
        </is>
      </c>
      <c r="C159" s="5" t="n">
        <v>66018840000</v>
      </c>
      <c r="D159" s="5" t="n">
        <v>39237683000</v>
      </c>
      <c r="E159" s="5" t="n">
        <v>26781157000</v>
      </c>
      <c r="F159" s="5" t="n">
        <v>55787830000</v>
      </c>
      <c r="G159" s="5" t="n">
        <v>6795173000</v>
      </c>
      <c r="H159" s="5" t="n">
        <v>53718989000</v>
      </c>
      <c r="I159" s="5" t="n">
        <v>6807906000</v>
      </c>
      <c r="J159" s="4" t="n">
        <v>1.398299932479858</v>
      </c>
      <c r="K159" s="4" t="n">
        <v>1.465099930763245</v>
      </c>
      <c r="L159" s="4" t="n">
        <v>0.121799997985363</v>
      </c>
      <c r="M159" t="inlineStr">
        <is>
          <t>김종남</t>
        </is>
      </c>
      <c r="N159" t="inlineStr">
        <is>
          <t>061-830-1000</t>
        </is>
      </c>
      <c r="O159" t="inlineStr">
        <is>
          <t>061-835-7857</t>
        </is>
      </c>
      <c r="Q159" t="inlineStr">
        <is>
          <t>4168139368</t>
        </is>
      </c>
      <c r="R159" t="inlineStr">
        <is>
          <t>2013710002032</t>
        </is>
      </c>
      <c r="S159" t="inlineStr">
        <is>
          <t>대상아님</t>
        </is>
      </c>
      <c r="T159" t="inlineStr">
        <is>
          <t>일반법인</t>
        </is>
      </c>
      <c r="U159" t="inlineStr">
        <is>
          <t>중소기업</t>
        </is>
      </c>
      <c r="V159" t="inlineStr">
        <is>
          <t>외부감사비대상</t>
        </is>
      </c>
      <c r="W159" s="6" t="inlineStr">
        <is>
          <t>2002-12-24</t>
        </is>
      </c>
      <c r="X159" t="inlineStr">
        <is>
          <t>KRI:10C1030900</t>
        </is>
      </c>
      <c r="Y159" t="inlineStr">
        <is>
          <t>기타 과실ㆍ채소 가공 및 저장 처리업</t>
        </is>
      </c>
      <c r="Z159" t="inlineStr">
        <is>
          <t>농수산물및식품가공업</t>
        </is>
      </c>
      <c r="AA159" t="inlineStr">
        <is>
          <t>전남 고흥군 동강면 노동리 815-1번지</t>
        </is>
      </c>
      <c r="AB159" t="inlineStr">
        <is>
          <t>전남 고흥군 동강면 죽암로 13</t>
        </is>
      </c>
    </row>
    <row r="160" s="1">
      <c r="A160" t="inlineStr">
        <is>
          <t>NICE:G87678</t>
        </is>
      </c>
      <c r="B160" t="inlineStr">
        <is>
          <t>에이원</t>
        </is>
      </c>
      <c r="C160" s="5" t="n">
        <v>40843197000</v>
      </c>
      <c r="D160" s="5" t="n">
        <v>12025327000</v>
      </c>
      <c r="E160" s="5" t="n">
        <v>28817870000</v>
      </c>
      <c r="F160" s="5" t="n">
        <v>24289923000</v>
      </c>
      <c r="G160" s="5" t="n">
        <v>3010036000</v>
      </c>
      <c r="H160" s="5" t="n">
        <v>23925384000</v>
      </c>
      <c r="I160" s="5" t="n">
        <v>3170710000</v>
      </c>
      <c r="J160" s="4" t="n">
        <v>2.142899990081787</v>
      </c>
      <c r="K160" s="4" t="n">
        <v>0.4172999858856201</v>
      </c>
      <c r="L160" s="4" t="n">
        <v>0.1239000037312508</v>
      </c>
      <c r="M160" t="inlineStr">
        <is>
          <t>이의환</t>
        </is>
      </c>
      <c r="N160" t="inlineStr">
        <is>
          <t>02-322-7500</t>
        </is>
      </c>
      <c r="Q160" t="inlineStr">
        <is>
          <t>2018618451</t>
        </is>
      </c>
      <c r="R160" t="inlineStr">
        <is>
          <t>1101114418615</t>
        </is>
      </c>
      <c r="S160" t="inlineStr">
        <is>
          <t>대상아님</t>
        </is>
      </c>
      <c r="T160" t="inlineStr">
        <is>
          <t>일반법인</t>
        </is>
      </c>
      <c r="U160" t="inlineStr">
        <is>
          <t>중소기업</t>
        </is>
      </c>
      <c r="V160" t="inlineStr">
        <is>
          <t>외부감사대상</t>
        </is>
      </c>
      <c r="W160" s="6" t="inlineStr">
        <is>
          <t>2010-08-23</t>
        </is>
      </c>
      <c r="X160" t="inlineStr">
        <is>
          <t>KRI:10G4679900</t>
        </is>
      </c>
      <c r="Y160" t="inlineStr">
        <is>
          <t>그 외 기타 상품 전문 도매업</t>
        </is>
      </c>
      <c r="Z160" t="inlineStr">
        <is>
          <t>유아용품 도소매,제조/무역,수입식품 도소매/전자상거래/주차장 운영/비주거용건물 임대</t>
        </is>
      </c>
      <c r="AA160" t="inlineStr">
        <is>
          <t>서울 강남구 청담동 83-2번지 4층 , 5층</t>
        </is>
      </c>
      <c r="AB160" t="inlineStr">
        <is>
          <t>서울 강남구 도산대로55길 48, 4층 , 5층</t>
        </is>
      </c>
    </row>
    <row r="161" ht="19.2" customHeight="1" s="1">
      <c r="A161" t="inlineStr">
        <is>
          <t>NICE:286927</t>
        </is>
      </c>
      <c r="B161" t="inlineStr">
        <is>
          <t>에스이티</t>
        </is>
      </c>
      <c r="C161" s="5" t="n">
        <v>33070119000</v>
      </c>
      <c r="D161" s="5" t="n">
        <v>12935980000</v>
      </c>
      <c r="E161" s="5" t="n">
        <v>20134139000</v>
      </c>
      <c r="F161" s="5" t="n">
        <v>26027301000</v>
      </c>
      <c r="G161" s="5" t="n">
        <v>4554644000</v>
      </c>
      <c r="H161" s="5" t="n">
        <v>23058342000</v>
      </c>
      <c r="I161" s="5" t="n">
        <v>2814939000</v>
      </c>
      <c r="J161" s="4" t="n">
        <v>1.236699938774109</v>
      </c>
      <c r="K161" s="4" t="n">
        <v>0.6424999833106995</v>
      </c>
      <c r="L161" s="4" t="n">
        <v>0.1749999970197678</v>
      </c>
      <c r="M161" t="inlineStr">
        <is>
          <t>원봉연</t>
        </is>
      </c>
      <c r="N161" t="inlineStr">
        <is>
          <t>031-656-6432</t>
        </is>
      </c>
      <c r="O161" t="inlineStr">
        <is>
          <t>031-656-6435</t>
        </is>
      </c>
      <c r="P161" s="3">
        <f>HYPERLINK("http://www.setsemi.com", "http://www.setsemi.com")</f>
        <v/>
      </c>
      <c r="Q161" t="inlineStr">
        <is>
          <t>1358161791</t>
        </is>
      </c>
      <c r="R161" t="inlineStr">
        <is>
          <t>1345110069797</t>
        </is>
      </c>
      <c r="S161" t="inlineStr">
        <is>
          <t>대상아님</t>
        </is>
      </c>
      <c r="T161" t="inlineStr">
        <is>
          <t>일반법인</t>
        </is>
      </c>
      <c r="U161" t="inlineStr">
        <is>
          <t>중소기업</t>
        </is>
      </c>
      <c r="V161" t="inlineStr">
        <is>
          <t>외부감사대상</t>
        </is>
      </c>
      <c r="W161" s="6" t="inlineStr">
        <is>
          <t>2003-04-08</t>
        </is>
      </c>
      <c r="X161" t="inlineStr">
        <is>
          <t>KRI:10C2612900</t>
        </is>
      </c>
      <c r="Y161" t="inlineStr">
        <is>
          <t>기타 반도체소자 제조업</t>
        </is>
      </c>
      <c r="Z161" t="inlineStr">
        <is>
          <t>반도체장비부품 제조</t>
        </is>
      </c>
      <c r="AA161" t="inlineStr">
        <is>
          <t>경기 평택시 월곡동 383-25번지</t>
        </is>
      </c>
      <c r="AB161" t="inlineStr">
        <is>
          <t>경기 평택시 월곡길 23-13</t>
        </is>
      </c>
    </row>
    <row r="162" s="1">
      <c r="A162" t="inlineStr">
        <is>
          <t>NICE:I91866</t>
        </is>
      </c>
      <c r="B162" t="inlineStr">
        <is>
          <t>에스비아이씨에프</t>
        </is>
      </c>
      <c r="C162" s="5" t="n">
        <v>506459203000</v>
      </c>
      <c r="D162" s="5" t="n">
        <v>6557694000</v>
      </c>
      <c r="E162" s="5" t="n">
        <v>499901509000</v>
      </c>
      <c r="F162" s="5" t="n">
        <v>27414728000</v>
      </c>
      <c r="G162" s="5" t="n">
        <v>27311164000</v>
      </c>
      <c r="H162" s="5" t="n">
        <v>22171571000</v>
      </c>
      <c r="I162" s="5" t="n">
        <v>22052850000</v>
      </c>
      <c r="J162" s="4" t="n">
        <v>54.13740158081055</v>
      </c>
      <c r="K162" s="4" t="n">
        <v>0.01309999916702509</v>
      </c>
      <c r="L162" s="4" t="n">
        <v>0.9962000250816345</v>
      </c>
      <c r="M162" t="inlineStr">
        <is>
          <t>고지은</t>
        </is>
      </c>
      <c r="N162" t="inlineStr">
        <is>
          <t>02-3416-4038</t>
        </is>
      </c>
      <c r="O162" t="inlineStr">
        <is>
          <t>02-2136-0428</t>
        </is>
      </c>
      <c r="Q162" t="inlineStr">
        <is>
          <t>2208852089</t>
        </is>
      </c>
      <c r="R162" t="inlineStr">
        <is>
          <t>1101115058775</t>
        </is>
      </c>
      <c r="S162" t="inlineStr">
        <is>
          <t>대상아님</t>
        </is>
      </c>
      <c r="T162" t="inlineStr">
        <is>
          <t>일반법인</t>
        </is>
      </c>
      <c r="U162" t="inlineStr">
        <is>
          <t>중소기업</t>
        </is>
      </c>
      <c r="V162" t="inlineStr">
        <is>
          <t>외부감사대상</t>
        </is>
      </c>
      <c r="W162" s="6" t="inlineStr">
        <is>
          <t>2013-01-29</t>
        </is>
      </c>
      <c r="X162" t="inlineStr">
        <is>
          <t>KRI:10M7153100</t>
        </is>
      </c>
      <c r="Y162" t="inlineStr">
        <is>
          <t>경영 컨설팅업</t>
        </is>
      </c>
      <c r="Z162" t="inlineStr">
        <is>
          <t>경영 컨설팅</t>
        </is>
      </c>
      <c r="AA162" t="inlineStr">
        <is>
          <t>서울 중구 수하동 67번지 미래에셋센터원빌딩 동관 9층</t>
        </is>
      </c>
      <c r="AB162" t="inlineStr">
        <is>
          <t>서울 중구 을지로5길 26, 동관 9층 (수하동,미래에셋센터원빌딩)</t>
        </is>
      </c>
    </row>
    <row r="163" s="1">
      <c r="A163" t="inlineStr">
        <is>
          <t>NICE:IP0449</t>
        </is>
      </c>
      <c r="B163" t="inlineStr">
        <is>
          <t>하이네이처</t>
        </is>
      </c>
      <c r="C163" s="5" t="n">
        <v>30409494000</v>
      </c>
      <c r="D163" s="5" t="n">
        <v>10907710000</v>
      </c>
      <c r="E163" s="5" t="n">
        <v>19501784000</v>
      </c>
      <c r="F163" s="5" t="n">
        <v>68392510000</v>
      </c>
      <c r="G163" s="5" t="n">
        <v>20419181000</v>
      </c>
      <c r="H163" s="5" t="n">
        <v>33996743000</v>
      </c>
      <c r="I163" s="5" t="n">
        <v>10003885000</v>
      </c>
      <c r="J163" s="4" t="n">
        <v>2.496599912643433</v>
      </c>
      <c r="K163" s="4" t="n">
        <v>0.5593000054359436</v>
      </c>
      <c r="L163" s="4" t="n">
        <v>0.2985999882221222</v>
      </c>
      <c r="M163" t="inlineStr">
        <is>
          <t>조인제</t>
        </is>
      </c>
      <c r="N163" t="inlineStr">
        <is>
          <t>070-8833-1884</t>
        </is>
      </c>
      <c r="O163" t="inlineStr">
        <is>
          <t>070-8995-1884</t>
        </is>
      </c>
      <c r="P163">
        <f>HYPERLINK("http://www.purito.com", "http://www.purito.com")</f>
        <v/>
      </c>
      <c r="Q163" t="inlineStr">
        <is>
          <t>5078800644</t>
        </is>
      </c>
      <c r="R163" t="inlineStr">
        <is>
          <t>1201110869836</t>
        </is>
      </c>
      <c r="S163" t="inlineStr">
        <is>
          <t>대상아님</t>
        </is>
      </c>
      <c r="T163" t="inlineStr">
        <is>
          <t>일반법인</t>
        </is>
      </c>
      <c r="U163" t="inlineStr">
        <is>
          <t>중소기업</t>
        </is>
      </c>
      <c r="V163" t="inlineStr">
        <is>
          <t>외부감사대상</t>
        </is>
      </c>
      <c r="W163" s="6" t="inlineStr">
        <is>
          <t>2017-03-29</t>
        </is>
      </c>
      <c r="X163" t="inlineStr">
        <is>
          <t>KRI:10C2042300</t>
        </is>
      </c>
      <c r="Y163" t="inlineStr">
        <is>
          <t>화장품 제조업</t>
        </is>
      </c>
      <c r="Z163" t="inlineStr">
        <is>
          <t>화장품 제조,도소매/산업바이오 제조/상품종합 도소매,전자상거래/비주거용건물 임대</t>
        </is>
      </c>
      <c r="AA163" t="inlineStr">
        <is>
          <t>인천 연수구 송도동 172-1번지 송도테크노파크 아이티센터 에스동 2501호, 2502호, 2503호</t>
        </is>
      </c>
      <c r="AB163" t="inlineStr">
        <is>
          <t>인천 연수구 송도과학로 32, 에스동 2501호, 2502호, 2503호 (송도동,송도테크노파크 아이티센터)</t>
        </is>
      </c>
    </row>
    <row r="164" ht="19.2" customHeight="1" s="1">
      <c r="A164" t="inlineStr">
        <is>
          <t>NICE:HJ1598</t>
        </is>
      </c>
      <c r="B164" t="inlineStr">
        <is>
          <t>한결아스콘</t>
        </is>
      </c>
      <c r="C164" s="5" t="n">
        <v>21505004000</v>
      </c>
      <c r="D164" s="5" t="n">
        <v>4840842000</v>
      </c>
      <c r="E164" s="5" t="n">
        <v>16664162000</v>
      </c>
      <c r="F164" s="5" t="n">
        <v>27212094000</v>
      </c>
      <c r="G164" s="5" t="n">
        <v>4477654000</v>
      </c>
      <c r="H164" s="5" t="n">
        <v>25916976000</v>
      </c>
      <c r="I164" s="5" t="n">
        <v>4067609000</v>
      </c>
      <c r="J164" s="4" t="n">
        <v>2.79069995880127</v>
      </c>
      <c r="K164" s="4" t="n">
        <v>0.2904999852180481</v>
      </c>
      <c r="L164" s="4" t="n">
        <v>0.1644999980926514</v>
      </c>
      <c r="M164" t="inlineStr">
        <is>
          <t>김영희/이해영</t>
        </is>
      </c>
      <c r="N164" t="inlineStr">
        <is>
          <t>031-8077-2253</t>
        </is>
      </c>
      <c r="O164" t="inlineStr">
        <is>
          <t>031-8077-2254</t>
        </is>
      </c>
      <c r="P164" s="3" t="n"/>
      <c r="Q164" t="inlineStr">
        <is>
          <t>4148800148</t>
        </is>
      </c>
      <c r="R164" t="inlineStr">
        <is>
          <t>1348110346313</t>
        </is>
      </c>
      <c r="S164" t="inlineStr">
        <is>
          <t>대상아님</t>
        </is>
      </c>
      <c r="T164" t="inlineStr">
        <is>
          <t>일반법인</t>
        </is>
      </c>
      <c r="U164" t="inlineStr">
        <is>
          <t>중소기업</t>
        </is>
      </c>
      <c r="V164" t="inlineStr">
        <is>
          <t>외부감사대상</t>
        </is>
      </c>
      <c r="W164" s="6" t="inlineStr">
        <is>
          <t>2015-09-16</t>
        </is>
      </c>
      <c r="X164" t="inlineStr">
        <is>
          <t>KRI:10C2399100</t>
        </is>
      </c>
      <c r="Y164" t="inlineStr">
        <is>
          <t>아스팔트 콘크리트 및 혼합제품 제조업</t>
        </is>
      </c>
      <c r="Z164" t="inlineStr">
        <is>
          <t>아스팔트콘크리트,혼합제품 제조/건설폐기물 처리,수집,운반</t>
        </is>
      </c>
      <c r="AA164" t="inlineStr">
        <is>
          <t>경기 화성시 효행구 정남면 문학리 721-37번지</t>
        </is>
      </c>
      <c r="AB164" t="inlineStr">
        <is>
          <t>경기 화성시 효행구 정남면 서봉로 757</t>
        </is>
      </c>
    </row>
    <row r="165" s="1">
      <c r="A165" t="inlineStr">
        <is>
          <t>NICE:JE3851</t>
        </is>
      </c>
      <c r="B165" t="inlineStr">
        <is>
          <t>코크렙티피위탁관리부동산투자회사</t>
        </is>
      </c>
      <c r="C165" s="5" t="n">
        <v>549631303000</v>
      </c>
      <c r="D165" s="5" t="n">
        <v>318736219000</v>
      </c>
      <c r="E165" s="5" t="n">
        <v>230895084000</v>
      </c>
      <c r="F165" s="5" t="n">
        <v>41448421000</v>
      </c>
      <c r="G165" s="5" t="n">
        <v>21282400000</v>
      </c>
      <c r="H165" s="5" t="n">
        <v>40499383000</v>
      </c>
      <c r="I165" s="5" t="n">
        <v>19535138000</v>
      </c>
      <c r="J165" s="4" t="n">
        <v>19.29389953613281</v>
      </c>
      <c r="K165" s="4" t="n">
        <v>1.380399942398071</v>
      </c>
      <c r="L165" s="4" t="n">
        <v>0.5134999752044678</v>
      </c>
      <c r="M165" t="inlineStr">
        <is>
          <t>(주)코람코자산신탁</t>
        </is>
      </c>
      <c r="N165" t="inlineStr">
        <is>
          <t>02-787-0042</t>
        </is>
      </c>
      <c r="Q165" t="inlineStr">
        <is>
          <t>7588601077</t>
        </is>
      </c>
      <c r="R165" t="inlineStr">
        <is>
          <t>1101116801496</t>
        </is>
      </c>
      <c r="S165" t="inlineStr">
        <is>
          <t>대상아님</t>
        </is>
      </c>
      <c r="T165" t="inlineStr">
        <is>
          <t>일반법인</t>
        </is>
      </c>
      <c r="U165" t="inlineStr">
        <is>
          <t>중소기업</t>
        </is>
      </c>
      <c r="V165" t="inlineStr">
        <is>
          <t>외부감사대상</t>
        </is>
      </c>
      <c r="W165" s="6" t="inlineStr">
        <is>
          <t>2018-07-03</t>
        </is>
      </c>
      <c r="X165" t="inlineStr">
        <is>
          <t>KRI:10L6811200</t>
        </is>
      </c>
      <c r="Y165" t="inlineStr">
        <is>
          <t>비주거용 건물 임대업</t>
        </is>
      </c>
      <c r="Z165" t="inlineStr">
        <is>
          <t>부동산 임대,개발</t>
        </is>
      </c>
      <c r="AA165" t="inlineStr">
        <is>
          <t>서울 강남구 삼성동 144-17번지 골든타워 코람코자산신탁 내</t>
        </is>
      </c>
      <c r="AB165" t="inlineStr">
        <is>
          <t>서울 강남구 삼성로 511, 코람코자산신탁 내 (삼성동,골든타워)</t>
        </is>
      </c>
    </row>
    <row r="166" s="1">
      <c r="A166" t="inlineStr">
        <is>
          <t>NICE:G17005</t>
        </is>
      </c>
      <c r="B166" t="inlineStr">
        <is>
          <t>비아다빈치</t>
        </is>
      </c>
      <c r="C166" s="5" t="n">
        <v>465904036000</v>
      </c>
      <c r="D166" s="5" t="n">
        <v>354782212000</v>
      </c>
      <c r="E166" s="5" t="n">
        <v>111121824000</v>
      </c>
      <c r="F166" s="5" t="n">
        <v>1002985420000</v>
      </c>
      <c r="G166" s="5" t="n">
        <v>155502309000</v>
      </c>
      <c r="H166" s="5" t="n">
        <v>1052417376000</v>
      </c>
      <c r="I166" s="5" t="n">
        <v>159613397000</v>
      </c>
      <c r="J166" s="4" t="n">
        <v>1.230999946594238</v>
      </c>
      <c r="K166" s="4" t="n">
        <v>3.192699909210205</v>
      </c>
      <c r="L166" s="4" t="n">
        <v>0.1550000011920929</v>
      </c>
      <c r="M166" t="inlineStr">
        <is>
          <t>이경식</t>
        </is>
      </c>
      <c r="N166" t="inlineStr">
        <is>
          <t>031-548-2490</t>
        </is>
      </c>
      <c r="O166" t="inlineStr">
        <is>
          <t>031-548-1922</t>
        </is>
      </c>
      <c r="P166">
        <f>HYPERLINK("http://www.viadvc.co.kr", "http://www.viadvc.co.kr")</f>
        <v/>
      </c>
      <c r="Q166" t="inlineStr">
        <is>
          <t>1248701285</t>
        </is>
      </c>
      <c r="R166" t="inlineStr">
        <is>
          <t>1348110197758</t>
        </is>
      </c>
      <c r="S166" t="inlineStr">
        <is>
          <t>대상아님</t>
        </is>
      </c>
      <c r="T166" t="inlineStr">
        <is>
          <t>일반법인</t>
        </is>
      </c>
      <c r="U166" t="inlineStr">
        <is>
          <t>중견기업</t>
        </is>
      </c>
      <c r="V166" t="inlineStr">
        <is>
          <t>외부감사대상</t>
        </is>
      </c>
      <c r="W166" s="6" t="inlineStr">
        <is>
          <t>2010-07-07</t>
        </is>
      </c>
      <c r="X166" t="inlineStr">
        <is>
          <t>KRI:10G4644100</t>
        </is>
      </c>
      <c r="Y166" t="inlineStr">
        <is>
          <t>의약품 도매업</t>
        </is>
      </c>
      <c r="Z166" t="inlineStr">
        <is>
          <t>의약품,위생용품,의료기기 도매/부동산 임대</t>
        </is>
      </c>
      <c r="AA166" t="inlineStr">
        <is>
          <t>경기 수원시 영통구 하동 986-2번지 용현법조타워 2층</t>
        </is>
      </c>
      <c r="AB166" t="inlineStr">
        <is>
          <t>경기 수원시 영통구 광교중앙로248번길 95-5, 2층 (하동,용현법조타워)</t>
        </is>
      </c>
    </row>
    <row r="167" s="1">
      <c r="A167" t="inlineStr">
        <is>
          <t>NICE:453374</t>
        </is>
      </c>
      <c r="B167" t="inlineStr">
        <is>
          <t>연호전자</t>
        </is>
      </c>
      <c r="C167" s="5" t="n">
        <v>340564380000</v>
      </c>
      <c r="D167" s="5" t="n">
        <v>10796644000</v>
      </c>
      <c r="E167" s="5" t="n">
        <v>329767736000</v>
      </c>
      <c r="F167" s="5" t="n">
        <v>87104874000</v>
      </c>
      <c r="G167" s="5" t="n">
        <v>17711565000</v>
      </c>
      <c r="H167" s="5" t="n">
        <v>96410881000</v>
      </c>
      <c r="I167" s="5" t="n">
        <v>12609969000</v>
      </c>
      <c r="J167" s="4" t="n">
        <v>30.97239875793457</v>
      </c>
      <c r="K167" s="4" t="n">
        <v>0.03269999846816063</v>
      </c>
      <c r="L167" s="4" t="n">
        <v>0.2032999992370605</v>
      </c>
      <c r="M167" t="inlineStr">
        <is>
          <t>김전득</t>
        </is>
      </c>
      <c r="N167" t="inlineStr">
        <is>
          <t>062-952-0776</t>
        </is>
      </c>
      <c r="O167" t="inlineStr">
        <is>
          <t>02-3453-1468</t>
        </is>
      </c>
      <c r="P167">
        <f>HYPERLINK("http://www.yeonho.com", "http://www.yeonho.com")</f>
        <v/>
      </c>
      <c r="Q167" t="inlineStr">
        <is>
          <t>1198109982</t>
        </is>
      </c>
      <c r="R167" t="inlineStr">
        <is>
          <t>1243110010118</t>
        </is>
      </c>
      <c r="S167" t="inlineStr">
        <is>
          <t>대상아님</t>
        </is>
      </c>
      <c r="T167" t="inlineStr">
        <is>
          <t>일반법인</t>
        </is>
      </c>
      <c r="U167" t="inlineStr">
        <is>
          <t>중소기업</t>
        </is>
      </c>
      <c r="V167" t="inlineStr">
        <is>
          <t>외부감사대상</t>
        </is>
      </c>
      <c r="W167" s="6" t="inlineStr">
        <is>
          <t>1982-10-08</t>
        </is>
      </c>
      <c r="X167" t="inlineStr">
        <is>
          <t>KRI:10C2629900</t>
        </is>
      </c>
      <c r="Y167" t="inlineStr">
        <is>
          <t>그 외 기타 전자부품 제조업</t>
        </is>
      </c>
      <c r="Z167" t="inlineStr">
        <is>
          <t>전자부품(커넥터) 제조,도소매</t>
        </is>
      </c>
      <c r="AA167" t="inlineStr">
        <is>
          <t>광주 북구 월출동 970-20번지</t>
        </is>
      </c>
      <c r="AB167" t="inlineStr">
        <is>
          <t>광주 북구 첨단벤처로 140</t>
        </is>
      </c>
    </row>
    <row r="168" s="1">
      <c r="A168" t="inlineStr">
        <is>
          <t>NICE:384810</t>
        </is>
      </c>
      <c r="B168" t="inlineStr">
        <is>
          <t>대동전자</t>
        </is>
      </c>
      <c r="C168" s="5" t="n">
        <v>286197637000</v>
      </c>
      <c r="D168" s="5" t="n">
        <v>25551031000</v>
      </c>
      <c r="E168" s="5" t="n">
        <v>260646607000</v>
      </c>
      <c r="F168" s="5" t="n">
        <v>30074182000</v>
      </c>
      <c r="G168" s="5" t="n">
        <v>6793894000</v>
      </c>
      <c r="H168" s="5" t="n">
        <v>29025438000</v>
      </c>
      <c r="I168" s="5" t="n">
        <v>4874951000</v>
      </c>
      <c r="J168" s="4" t="n">
        <v>22.9567985534668</v>
      </c>
      <c r="K168" s="4" t="n">
        <v>0.09799999743700027</v>
      </c>
      <c r="L168" s="4" t="n">
        <v>0.2258999943733215</v>
      </c>
      <c r="M168" t="inlineStr">
        <is>
          <t>이관우</t>
        </is>
      </c>
      <c r="N168" t="inlineStr">
        <is>
          <t>02-855-5121-2</t>
        </is>
      </c>
      <c r="O168" t="inlineStr">
        <is>
          <t>02-864-4690</t>
        </is>
      </c>
      <c r="P168">
        <f>HYPERLINK("http://www.daidong.com", "http://www.daidong.com")</f>
        <v/>
      </c>
      <c r="Q168" t="inlineStr">
        <is>
          <t>1198104629</t>
        </is>
      </c>
      <c r="R168" t="inlineStr">
        <is>
          <t>1101110134819</t>
        </is>
      </c>
      <c r="S168" t="inlineStr">
        <is>
          <t>대상아님</t>
        </is>
      </c>
      <c r="T168" t="inlineStr">
        <is>
          <t>일반법인</t>
        </is>
      </c>
      <c r="U168" t="inlineStr">
        <is>
          <t>중소기업</t>
        </is>
      </c>
      <c r="V168" t="inlineStr">
        <is>
          <t>외부감사대상</t>
        </is>
      </c>
      <c r="W168" s="6" t="inlineStr">
        <is>
          <t>1972-10-10</t>
        </is>
      </c>
      <c r="X168" t="inlineStr">
        <is>
          <t>KRI:10C2629900</t>
        </is>
      </c>
      <c r="Y168" t="inlineStr">
        <is>
          <t>그 외 기타 전자부품 제조업</t>
        </is>
      </c>
      <c r="Z168" t="inlineStr">
        <is>
          <t>통신음향,전자기계기구용 플라스틱제품 제조,도매</t>
        </is>
      </c>
      <c r="AA168" t="inlineStr">
        <is>
          <t>서울 금천구 가산동 327-18번지</t>
        </is>
      </c>
      <c r="AB168" t="inlineStr">
        <is>
          <t>서울 금천구 가산디지털1로 33</t>
        </is>
      </c>
    </row>
    <row r="169" s="1">
      <c r="A169" t="inlineStr">
        <is>
          <t>NICE:191444</t>
        </is>
      </c>
      <c r="B169" t="inlineStr">
        <is>
          <t>자여</t>
        </is>
      </c>
      <c r="C169" s="5" t="n">
        <v>166861699000</v>
      </c>
      <c r="D169" s="5" t="n">
        <v>113952068000</v>
      </c>
      <c r="E169" s="5" t="n">
        <v>52909631000</v>
      </c>
      <c r="F169" s="5" t="n">
        <v>29571938000</v>
      </c>
      <c r="G169" s="5" t="n">
        <v>3333597000</v>
      </c>
      <c r="H169" s="5" t="n">
        <v>26083380000</v>
      </c>
      <c r="I169" s="5" t="n">
        <v>1722870000</v>
      </c>
      <c r="J169" s="4" t="n">
        <v>0.3799000084400177</v>
      </c>
      <c r="K169" s="4" t="n">
        <v>2.15369987487793</v>
      </c>
      <c r="L169" s="4" t="n">
        <v>0.1127000004053116</v>
      </c>
      <c r="M169" t="inlineStr">
        <is>
          <t>정재훈</t>
        </is>
      </c>
      <c r="N169" t="inlineStr">
        <is>
          <t>02-501-1578</t>
        </is>
      </c>
      <c r="O169" t="inlineStr">
        <is>
          <t>02-501-2201</t>
        </is>
      </c>
      <c r="Q169" t="inlineStr">
        <is>
          <t>2208665635</t>
        </is>
      </c>
      <c r="R169" t="inlineStr">
        <is>
          <t>1101112803165</t>
        </is>
      </c>
      <c r="S169" t="inlineStr">
        <is>
          <t>대상아님</t>
        </is>
      </c>
      <c r="T169" t="inlineStr">
        <is>
          <t>일반법인</t>
        </is>
      </c>
      <c r="U169" t="inlineStr">
        <is>
          <t>중소기업</t>
        </is>
      </c>
      <c r="V169" t="inlineStr">
        <is>
          <t>외부감사대상</t>
        </is>
      </c>
      <c r="W169" s="6" t="inlineStr">
        <is>
          <t>2003-06-19</t>
        </is>
      </c>
      <c r="X169" t="inlineStr">
        <is>
          <t>KRI:10C3039900</t>
        </is>
      </c>
      <c r="Y169" t="inlineStr">
        <is>
          <t>그 외 자동차용 신품 부품 제조업</t>
        </is>
      </c>
      <c r="Z169" t="inlineStr">
        <is>
          <t>자동차부품 제조/철강제품 도소매/부동산 임대</t>
        </is>
      </c>
      <c r="AA169" t="inlineStr">
        <is>
          <t>서울 서초구 양재동 90-4번지 4층</t>
        </is>
      </c>
      <c r="AB169" t="inlineStr">
        <is>
          <t>서울 서초구 양재천로 131, 4층</t>
        </is>
      </c>
    </row>
    <row r="170" ht="19.2" customHeight="1" s="1">
      <c r="A170" t="inlineStr">
        <is>
          <t>NICE:053324</t>
        </is>
      </c>
      <c r="B170" t="inlineStr">
        <is>
          <t>삼원중공업</t>
        </is>
      </c>
      <c r="C170" s="5" t="n">
        <v>108951528000</v>
      </c>
      <c r="D170" s="5" t="n">
        <v>45298786000</v>
      </c>
      <c r="E170" s="5" t="n">
        <v>63652742000</v>
      </c>
      <c r="F170" s="5" t="n">
        <v>119219851000</v>
      </c>
      <c r="G170" s="5" t="n">
        <v>22352592000</v>
      </c>
      <c r="H170" s="5" t="n">
        <v>123834546000</v>
      </c>
      <c r="I170" s="5" t="n">
        <v>7851445000</v>
      </c>
      <c r="J170" s="4" t="n">
        <v>1.326199889183044</v>
      </c>
      <c r="K170" s="4" t="n">
        <v>0.7116999626159668</v>
      </c>
      <c r="L170" s="4" t="n">
        <v>0.1875</v>
      </c>
      <c r="M170" t="inlineStr">
        <is>
          <t>김희선/김태환</t>
        </is>
      </c>
      <c r="N170" t="inlineStr">
        <is>
          <t>02-6443-5800</t>
        </is>
      </c>
      <c r="O170" t="inlineStr">
        <is>
          <t>02-6443-5801</t>
        </is>
      </c>
      <c r="P170" s="3" t="n"/>
      <c r="Q170" t="inlineStr">
        <is>
          <t>1098146622</t>
        </is>
      </c>
      <c r="R170" t="inlineStr">
        <is>
          <t>1101111096860</t>
        </is>
      </c>
      <c r="S170" t="inlineStr">
        <is>
          <t>대상아님</t>
        </is>
      </c>
      <c r="T170" t="inlineStr">
        <is>
          <t>일반법인</t>
        </is>
      </c>
      <c r="U170" t="inlineStr">
        <is>
          <t>중소기업</t>
        </is>
      </c>
      <c r="V170" t="inlineStr">
        <is>
          <t>외부감사대상</t>
        </is>
      </c>
      <c r="W170" s="6" t="inlineStr">
        <is>
          <t>1994-11-02</t>
        </is>
      </c>
      <c r="X170" t="inlineStr">
        <is>
          <t>KRI:10C2511300</t>
        </is>
      </c>
      <c r="Y170" t="inlineStr">
        <is>
          <t>육상 금속 골조 구조재 제조업</t>
        </is>
      </c>
      <c r="Z170" t="inlineStr">
        <is>
          <t>철구조물,강구조물 제조/철구조물설치공사,철강재설치공사,도장공사,시설물유지관리공사</t>
        </is>
      </c>
      <c r="AA170" t="inlineStr">
        <is>
          <t>서울 금천구 가산동 459-14번지 현대테라타워 가산디케이 2001호</t>
        </is>
      </c>
      <c r="AB170" t="inlineStr">
        <is>
          <t>서울 금천구 가산디지털2로 144, 2001호 (가산동,현대테라타워 가산디케이)</t>
        </is>
      </c>
    </row>
    <row r="171" s="1">
      <c r="A171" t="inlineStr">
        <is>
          <t>NICE:322970</t>
        </is>
      </c>
      <c r="B171" t="inlineStr">
        <is>
          <t>재능유통</t>
        </is>
      </c>
      <c r="C171" s="5" t="n">
        <v>86607685000</v>
      </c>
      <c r="D171" s="5" t="n">
        <v>29448325000</v>
      </c>
      <c r="E171" s="5" t="n">
        <v>57159360000</v>
      </c>
      <c r="F171" s="5" t="n">
        <v>24390274000</v>
      </c>
      <c r="G171" s="5" t="n">
        <v>10829370000</v>
      </c>
      <c r="H171" s="5" t="n">
        <v>24329408000</v>
      </c>
      <c r="I171" s="5" t="n">
        <v>10708272000</v>
      </c>
      <c r="J171" s="4" t="n">
        <v>0.5764999985694885</v>
      </c>
      <c r="K171" s="4" t="n">
        <v>0.5152000188827515</v>
      </c>
      <c r="L171" s="4" t="n">
        <v>0.4440000057220459</v>
      </c>
      <c r="M171" t="inlineStr">
        <is>
          <t>이헌우</t>
        </is>
      </c>
      <c r="N171" t="inlineStr">
        <is>
          <t>02-2028-5000</t>
        </is>
      </c>
      <c r="O171" t="inlineStr">
        <is>
          <t>02-2028-5011</t>
        </is>
      </c>
      <c r="P171">
        <f>HYPERLINK("http://www.jeiplatz.com", "http://www.jeiplatz.com")</f>
        <v/>
      </c>
      <c r="Q171" t="inlineStr">
        <is>
          <t>1198104070</t>
        </is>
      </c>
      <c r="R171" t="inlineStr">
        <is>
          <t>1101110149363</t>
        </is>
      </c>
      <c r="S171" t="inlineStr">
        <is>
          <t>대상아님</t>
        </is>
      </c>
      <c r="T171" t="inlineStr">
        <is>
          <t>일반법인</t>
        </is>
      </c>
      <c r="U171" t="inlineStr">
        <is>
          <t>중소기업</t>
        </is>
      </c>
      <c r="V171" t="inlineStr">
        <is>
          <t>외부감사대상</t>
        </is>
      </c>
      <c r="W171" s="6" t="inlineStr">
        <is>
          <t>1973-07-19</t>
        </is>
      </c>
      <c r="X171" t="inlineStr">
        <is>
          <t>KRI:10L6811200</t>
        </is>
      </c>
      <c r="Y171" t="inlineStr">
        <is>
          <t>비주거용 건물 임대업</t>
        </is>
      </c>
      <c r="Z171" t="inlineStr">
        <is>
          <t>부동산 임대/지류 운송,보관,도매/생활용품 도매</t>
        </is>
      </c>
      <c r="AA171" t="inlineStr">
        <is>
          <t>서울 금천구 가산동 459-11번지</t>
        </is>
      </c>
      <c r="AB171" t="inlineStr">
        <is>
          <t>서울 금천구 가산디지털1로 186</t>
        </is>
      </c>
    </row>
    <row r="172" ht="19.2" customHeight="1" s="1">
      <c r="A172" t="inlineStr">
        <is>
          <t>NICE:149369</t>
        </is>
      </c>
      <c r="B172" t="inlineStr">
        <is>
          <t>진텍엔지니어링</t>
        </is>
      </c>
      <c r="C172" s="5" t="n">
        <v>14414182000</v>
      </c>
      <c r="D172" s="5" t="n">
        <v>12069004000</v>
      </c>
      <c r="E172" s="5" t="n">
        <v>2345178000</v>
      </c>
      <c r="F172" s="5" t="n">
        <v>20241659000</v>
      </c>
      <c r="G172" s="5" t="n">
        <v>2208760000</v>
      </c>
      <c r="H172" s="5" t="n">
        <v>58724599000</v>
      </c>
      <c r="I172" s="5" t="n">
        <v>2219627000</v>
      </c>
      <c r="J172" s="4" t="n">
        <v>1.233500003814697</v>
      </c>
      <c r="K172" s="4" t="n">
        <v>5.146299839019775</v>
      </c>
      <c r="L172" s="4" t="n">
        <v>0.1090999990701675</v>
      </c>
      <c r="M172" t="inlineStr">
        <is>
          <t>이은정</t>
        </is>
      </c>
      <c r="N172" t="inlineStr">
        <is>
          <t>032-563-8721</t>
        </is>
      </c>
      <c r="O172" t="inlineStr">
        <is>
          <t>032-568-0619</t>
        </is>
      </c>
      <c r="P172" s="3">
        <f>HYPERLINK("http://www.jintecheng.co.kr", "http://www.jintecheng.co.kr")</f>
        <v/>
      </c>
      <c r="Q172" t="inlineStr">
        <is>
          <t>1198128922</t>
        </is>
      </c>
      <c r="R172" t="inlineStr">
        <is>
          <t>1101111602394</t>
        </is>
      </c>
      <c r="S172" t="inlineStr">
        <is>
          <t>대상아님</t>
        </is>
      </c>
      <c r="T172" t="inlineStr">
        <is>
          <t>일반법인</t>
        </is>
      </c>
      <c r="U172" t="inlineStr">
        <is>
          <t>중소기업</t>
        </is>
      </c>
      <c r="V172" t="inlineStr">
        <is>
          <t>외부감사대상</t>
        </is>
      </c>
      <c r="W172" s="6" t="inlineStr">
        <is>
          <t>1998-11-02</t>
        </is>
      </c>
      <c r="X172" t="inlineStr">
        <is>
          <t>KRI:10C2929000</t>
        </is>
      </c>
      <c r="Y172" t="inlineStr">
        <is>
          <t>기타 특수 목적용 기계 제조업</t>
        </is>
      </c>
      <c r="Z172" t="inlineStr">
        <is>
          <t>도장설비산업기계,고철가공처리 제조/의류,가구 도소매,무역</t>
        </is>
      </c>
      <c r="AA172" t="inlineStr">
        <is>
          <t>인천 부평구 청천동 426-1번지 부평제이타워3차지식산업센터 813호 ,814호</t>
        </is>
      </c>
      <c r="AB172" t="inlineStr">
        <is>
          <t>인천 부평구 부평대로 337, 813호,814호 (청천동,부평제이타워3차지식산업센터)</t>
        </is>
      </c>
    </row>
    <row r="173" ht="19.2" customHeight="1" s="1">
      <c r="A173" t="inlineStr">
        <is>
          <t>NICE:I03636</t>
        </is>
      </c>
      <c r="B173" t="inlineStr">
        <is>
          <t>히오키코리아</t>
        </is>
      </c>
      <c r="C173" s="5" t="n">
        <v>13877158000</v>
      </c>
      <c r="D173" s="5" t="n">
        <v>4732506000</v>
      </c>
      <c r="E173" s="5" t="n">
        <v>9144652000</v>
      </c>
      <c r="F173" s="5" t="n">
        <v>29093069000</v>
      </c>
      <c r="G173" s="5" t="n">
        <v>2912650000</v>
      </c>
      <c r="H173" s="5" t="n">
        <v>34813592000</v>
      </c>
      <c r="I173" s="5" t="n">
        <v>6812671000</v>
      </c>
      <c r="J173" s="4" t="n">
        <v>3.003900051116943</v>
      </c>
      <c r="K173" s="4" t="n">
        <v>0.5174999833106995</v>
      </c>
      <c r="L173" s="4" t="n">
        <v>0.100100003182888</v>
      </c>
      <c r="M173" t="inlineStr">
        <is>
          <t>박지웅</t>
        </is>
      </c>
      <c r="N173" t="inlineStr">
        <is>
          <t>02-2183-8847</t>
        </is>
      </c>
      <c r="O173" t="inlineStr">
        <is>
          <t>02-2183-3360</t>
        </is>
      </c>
      <c r="P173" s="3">
        <f>HYPERLINK("http://www.hiokikorea.com", "http://www.hiokikorea.com")</f>
        <v/>
      </c>
      <c r="Q173" t="inlineStr">
        <is>
          <t>3148635192</t>
        </is>
      </c>
      <c r="R173" t="inlineStr">
        <is>
          <t>1601110321789</t>
        </is>
      </c>
      <c r="S173" t="inlineStr">
        <is>
          <t>대상아님</t>
        </is>
      </c>
      <c r="T173" t="inlineStr">
        <is>
          <t>일반법인</t>
        </is>
      </c>
      <c r="U173" t="inlineStr">
        <is>
          <t>중소기업</t>
        </is>
      </c>
      <c r="V173" t="inlineStr">
        <is>
          <t>외부감사대상</t>
        </is>
      </c>
      <c r="W173" s="6" t="inlineStr">
        <is>
          <t>2012-04-23</t>
        </is>
      </c>
      <c r="X173" t="inlineStr">
        <is>
          <t>KRI:10G4659300</t>
        </is>
      </c>
      <c r="Y173" t="inlineStr">
        <is>
          <t>정밀기기 및 과학기기 도매업</t>
        </is>
      </c>
      <c r="Z173" t="inlineStr">
        <is>
          <t>계측기, 전기용 기계장비, 소프트웨어,전기,기계부품,지공구,무역,개발,수리,보수,교정</t>
        </is>
      </c>
      <c r="AA173" t="inlineStr">
        <is>
          <t>서울 강남구 역삼동 707-34번지 한신인터밸리24빌딩 동관 1705호</t>
        </is>
      </c>
      <c r="AB173" t="inlineStr">
        <is>
          <t>서울 강남구 테헤란로 322, 동관 1705호 (역삼동,한신인터밸리24빌딩)</t>
        </is>
      </c>
    </row>
    <row r="174" ht="19.2" customHeight="1" s="1">
      <c r="A174" t="inlineStr">
        <is>
          <t>NICE:287219</t>
        </is>
      </c>
      <c r="B174" t="inlineStr">
        <is>
          <t>일해</t>
        </is>
      </c>
      <c r="C174" s="5" t="n">
        <v>25696862000</v>
      </c>
      <c r="D174" s="5" t="n">
        <v>10983506000</v>
      </c>
      <c r="E174" s="5" t="n">
        <v>14713356000</v>
      </c>
      <c r="F174" s="5" t="n">
        <v>20044692000</v>
      </c>
      <c r="G174" s="5" t="n">
        <v>4040847000</v>
      </c>
      <c r="H174" s="5" t="n">
        <v>14886379000</v>
      </c>
      <c r="I174" s="5" t="n">
        <v>1083719000</v>
      </c>
      <c r="J174" s="4" t="n">
        <v>1.54039990901947</v>
      </c>
      <c r="K174" s="4" t="n">
        <v>0.7465000152587891</v>
      </c>
      <c r="L174" s="4" t="n">
        <v>0.2016000002622604</v>
      </c>
      <c r="M174" t="inlineStr">
        <is>
          <t>김영훈</t>
        </is>
      </c>
      <c r="N174" t="inlineStr">
        <is>
          <t>064-784-2890</t>
        </is>
      </c>
      <c r="O174" t="inlineStr">
        <is>
          <t>064-784-4181</t>
        </is>
      </c>
      <c r="P174" s="3">
        <f>HYPERLINK("http://www.ilhae.co.kr", "http://www.ilhae.co.kr")</f>
        <v/>
      </c>
      <c r="Q174" t="inlineStr">
        <is>
          <t>6168135735</t>
        </is>
      </c>
      <c r="R174" t="inlineStr">
        <is>
          <t>2201110034876</t>
        </is>
      </c>
      <c r="S174" t="inlineStr">
        <is>
          <t>대상아님</t>
        </is>
      </c>
      <c r="T174" t="inlineStr">
        <is>
          <t>일반법인</t>
        </is>
      </c>
      <c r="U174" t="inlineStr">
        <is>
          <t>중소기업</t>
        </is>
      </c>
      <c r="V174" t="inlineStr">
        <is>
          <t>외부감사대상</t>
        </is>
      </c>
      <c r="W174" s="6" t="inlineStr">
        <is>
          <t>2001-07-16</t>
        </is>
      </c>
      <c r="X174" t="inlineStr">
        <is>
          <t>KRI:10C1030900</t>
        </is>
      </c>
      <c r="Y174" t="inlineStr">
        <is>
          <t>기타 과실ㆍ채소 가공 및 저장 처리업</t>
        </is>
      </c>
      <c r="Z174" t="inlineStr">
        <is>
          <t>농산물 가공,도소매/동물용사료,조제식품,단미사료,식품 제조/감귤포장박스 도소매</t>
        </is>
      </c>
      <c r="AA174" t="inlineStr">
        <is>
          <t>제주 제주시 조천읍 대흘리 110-3번지</t>
        </is>
      </c>
      <c r="AB174" t="inlineStr">
        <is>
          <t>제주 제주시 조천읍 함와로 321</t>
        </is>
      </c>
    </row>
    <row r="175" ht="19.2" customHeight="1" s="1">
      <c r="A175" t="inlineStr">
        <is>
          <t>NICE:083214</t>
        </is>
      </c>
      <c r="B175" t="inlineStr">
        <is>
          <t>커민스판매써비스코리아</t>
        </is>
      </c>
      <c r="C175" s="5" t="n">
        <v>93641155000</v>
      </c>
      <c r="D175" s="5" t="n">
        <v>29330659000</v>
      </c>
      <c r="E175" s="5" t="n">
        <v>64310496000</v>
      </c>
      <c r="F175" s="5" t="n">
        <v>69916790000</v>
      </c>
      <c r="G175" s="5" t="n">
        <v>10419432000</v>
      </c>
      <c r="H175" s="5" t="n">
        <v>65934967000</v>
      </c>
      <c r="I175" s="5" t="n">
        <v>9756765000</v>
      </c>
      <c r="J175" s="4" t="n">
        <v>3.342900037765503</v>
      </c>
      <c r="K175" s="4" t="n">
        <v>0.4560999870300293</v>
      </c>
      <c r="L175" s="4" t="n">
        <v>0.1489999890327454</v>
      </c>
      <c r="M175" t="inlineStr">
        <is>
          <t>박인경</t>
        </is>
      </c>
      <c r="N175" t="inlineStr">
        <is>
          <t>041-620-9201</t>
        </is>
      </c>
      <c r="O175" t="inlineStr">
        <is>
          <t>041-621-9122</t>
        </is>
      </c>
      <c r="P175" s="3">
        <f>HYPERLINK("http://www.cummins.co.kr", "http://www.cummins.co.kr")</f>
        <v/>
      </c>
      <c r="Q175" t="inlineStr">
        <is>
          <t>1248147182</t>
        </is>
      </c>
      <c r="R175" t="inlineStr">
        <is>
          <t>1348110027955</t>
        </is>
      </c>
      <c r="S175" t="inlineStr">
        <is>
          <t>대상아님</t>
        </is>
      </c>
      <c r="T175" t="inlineStr">
        <is>
          <t>일반법인</t>
        </is>
      </c>
      <c r="U175" t="inlineStr">
        <is>
          <t>중소기업</t>
        </is>
      </c>
      <c r="V175" t="inlineStr">
        <is>
          <t>외부감사대상</t>
        </is>
      </c>
      <c r="W175" s="6" t="inlineStr">
        <is>
          <t>1996-12-09</t>
        </is>
      </c>
      <c r="X175" t="inlineStr">
        <is>
          <t>KRI:10G4659500</t>
        </is>
      </c>
      <c r="Y175" t="inlineStr">
        <is>
          <t>전기용 기계ㆍ장비 및 관련 기자재 도매업</t>
        </is>
      </c>
      <c r="Z175" t="inlineStr">
        <is>
          <t>전동기,발전기,디젤엔진(선박용,산업용),엔진부품 도매,무역,정비</t>
        </is>
      </c>
      <c r="AA175" t="inlineStr">
        <is>
          <t>충남 천안시 서북구 성거읍 천흥리 354-2번지</t>
        </is>
      </c>
      <c r="AB175" t="inlineStr">
        <is>
          <t>충남 천안시 서북구 성거읍 성거길 228-1</t>
        </is>
      </c>
    </row>
    <row r="176" ht="19.2" customHeight="1" s="1">
      <c r="A176" t="inlineStr">
        <is>
          <t>NICE:443586</t>
        </is>
      </c>
      <c r="B176" t="inlineStr">
        <is>
          <t>레니쇼코리아</t>
        </is>
      </c>
      <c r="C176" s="5" t="n">
        <v>22302108000</v>
      </c>
      <c r="D176" s="5" t="n">
        <v>2574366000</v>
      </c>
      <c r="E176" s="5" t="n">
        <v>19727741000</v>
      </c>
      <c r="F176" s="5" t="n">
        <v>30064404000</v>
      </c>
      <c r="G176" s="5" t="n">
        <v>3354210000</v>
      </c>
      <c r="H176" s="5" t="n">
        <v>30063755000</v>
      </c>
      <c r="I176" s="5" t="n">
        <v>1870111000</v>
      </c>
      <c r="J176" s="4" t="n">
        <v>4.850699901580811</v>
      </c>
      <c r="K176" s="4" t="n">
        <v>0.130500003695488</v>
      </c>
      <c r="L176" s="4" t="n">
        <v>0.1115999966859818</v>
      </c>
      <c r="M176" t="inlineStr">
        <is>
          <t>앤드류리차드버트리</t>
        </is>
      </c>
      <c r="N176" t="inlineStr">
        <is>
          <t>031-346-2830</t>
        </is>
      </c>
      <c r="O176" t="inlineStr">
        <is>
          <t>031-346-2831</t>
        </is>
      </c>
      <c r="P176" s="3">
        <f>HYPERLINK("http://www.renishaw.co.kr", "http://www.renishaw.co.kr")</f>
        <v/>
      </c>
      <c r="Q176" t="inlineStr">
        <is>
          <t>1208646100</t>
        </is>
      </c>
      <c r="R176" t="inlineStr">
        <is>
          <t>1101112676687</t>
        </is>
      </c>
      <c r="S176" t="inlineStr">
        <is>
          <t>대상아님</t>
        </is>
      </c>
      <c r="T176" t="inlineStr">
        <is>
          <t>일반법인</t>
        </is>
      </c>
      <c r="U176" t="inlineStr">
        <is>
          <t>중소기업</t>
        </is>
      </c>
      <c r="V176" t="inlineStr">
        <is>
          <t>외부감사대상</t>
        </is>
      </c>
      <c r="W176" s="6" t="inlineStr">
        <is>
          <t>2002-12-20</t>
        </is>
      </c>
      <c r="X176" t="inlineStr">
        <is>
          <t>KRI:10G4653900</t>
        </is>
      </c>
      <c r="Y176" t="inlineStr">
        <is>
          <t>기타 산업용 기계 및 장비 도매업</t>
        </is>
      </c>
      <c r="Z176" t="inlineStr">
        <is>
          <t>산업기계장비(품질통제기,계측기,피드백기,눈금측정기,비파괴검사기) 도매/소프트웨어 개발,공급</t>
        </is>
      </c>
      <c r="AA176" t="inlineStr">
        <is>
          <t>경기 안양시 만안구 안양동 199번지 두산 명학 아너비즈타워 지식산업센터 401호-424호</t>
        </is>
      </c>
      <c r="AB176" t="inlineStr">
        <is>
          <t>경기 안양시 만안구 전파로44번길 57, 401호-424호 (안양동,두산 명학 아너비즈타워 지식산업센터)</t>
        </is>
      </c>
    </row>
    <row r="177" ht="19.2" customHeight="1" s="1">
      <c r="A177" t="inlineStr">
        <is>
          <t>NICE:I13097</t>
        </is>
      </c>
      <c r="B177" t="inlineStr">
        <is>
          <t>로만시스</t>
        </is>
      </c>
      <c r="C177" s="5" t="n">
        <v>495031433000</v>
      </c>
      <c r="D177" s="5" t="n">
        <v>322286530000</v>
      </c>
      <c r="E177" s="5" t="n">
        <v>172744903000</v>
      </c>
      <c r="F177" s="5" t="n">
        <v>189040281000</v>
      </c>
      <c r="G177" s="5" t="n">
        <v>21937250000</v>
      </c>
      <c r="H177" s="5" t="n">
        <v>147003037000</v>
      </c>
      <c r="I177" s="5" t="n">
        <v>25220479000</v>
      </c>
      <c r="J177" s="4" t="n">
        <v>0.7124999761581421</v>
      </c>
      <c r="K177" s="4" t="n">
        <v>1.865700006484985</v>
      </c>
      <c r="L177" s="4" t="n">
        <v>0.1160000041127205</v>
      </c>
      <c r="M177" t="inlineStr">
        <is>
          <t>장정식</t>
        </is>
      </c>
      <c r="N177" t="inlineStr">
        <is>
          <t>055-213-9200</t>
        </is>
      </c>
      <c r="O177" t="inlineStr">
        <is>
          <t>055-583-5775</t>
        </is>
      </c>
      <c r="P177" s="3">
        <f>HYPERLINK("http://romansys.co.kr", "http://romansys.co.kr")</f>
        <v/>
      </c>
      <c r="Q177" t="inlineStr">
        <is>
          <t>6138165827</t>
        </is>
      </c>
      <c r="R177" t="inlineStr">
        <is>
          <t>1911110055141</t>
        </is>
      </c>
      <c r="S177" t="inlineStr">
        <is>
          <t>대상아님</t>
        </is>
      </c>
      <c r="T177" t="inlineStr">
        <is>
          <t>일반법인</t>
        </is>
      </c>
      <c r="U177" t="inlineStr">
        <is>
          <t>중소기업</t>
        </is>
      </c>
      <c r="V177" t="inlineStr">
        <is>
          <t>외부감사대상</t>
        </is>
      </c>
      <c r="W177" s="6" t="inlineStr">
        <is>
          <t>2012-06-20</t>
        </is>
      </c>
      <c r="X177" t="inlineStr">
        <is>
          <t>KRI:10C3120100</t>
        </is>
      </c>
      <c r="Y177" t="inlineStr">
        <is>
          <t>기관차 및 기타 철도차량 제조업</t>
        </is>
      </c>
      <c r="Z177" t="inlineStr">
        <is>
          <t>철도차량,부품,구조용금속제품 제조/금속,비금속 원료재생/재활용품(비철,고철) 도소매/부동산 임대,매매</t>
        </is>
      </c>
      <c r="AA177" t="inlineStr">
        <is>
          <t>경남 창원시 성산구 대원동 82-1번지</t>
        </is>
      </c>
      <c r="AB177" t="inlineStr">
        <is>
          <t>경남 창원시 성산구 삼동로 109</t>
        </is>
      </c>
    </row>
    <row r="178" ht="19.2" customHeight="1" s="1">
      <c r="A178" t="inlineStr">
        <is>
          <t>NICE:655058</t>
        </is>
      </c>
      <c r="B178" t="inlineStr">
        <is>
          <t>한국이콜랩</t>
        </is>
      </c>
      <c r="C178" s="5" t="n">
        <v>175163656000</v>
      </c>
      <c r="D178" s="5" t="n">
        <v>67514103000</v>
      </c>
      <c r="E178" s="5" t="n">
        <v>107649553000</v>
      </c>
      <c r="F178" s="5" t="n">
        <v>232258430000</v>
      </c>
      <c r="G178" s="5" t="n">
        <v>33288544000</v>
      </c>
      <c r="H178" s="5" t="n">
        <v>236293129000</v>
      </c>
      <c r="I178" s="5" t="n">
        <v>14177588000</v>
      </c>
      <c r="J178" s="4" t="n">
        <v>1.211199998855591</v>
      </c>
      <c r="K178" s="4" t="n">
        <v>0.6272000074386597</v>
      </c>
      <c r="L178" s="4" t="n">
        <v>0.1432999968528748</v>
      </c>
      <c r="M178" t="inlineStr">
        <is>
          <t>류양권</t>
        </is>
      </c>
      <c r="N178" t="inlineStr">
        <is>
          <t>02-559-3668</t>
        </is>
      </c>
      <c r="O178" t="inlineStr">
        <is>
          <t>02-559-3633</t>
        </is>
      </c>
      <c r="P178" s="3" t="n"/>
      <c r="Q178" t="inlineStr">
        <is>
          <t>1168139551</t>
        </is>
      </c>
      <c r="R178" t="inlineStr">
        <is>
          <t>1101140032934</t>
        </is>
      </c>
      <c r="S178" t="inlineStr">
        <is>
          <t>대상아님</t>
        </is>
      </c>
      <c r="T178" t="inlineStr">
        <is>
          <t>일반법인</t>
        </is>
      </c>
      <c r="U178" t="inlineStr">
        <is>
          <t>중견기업</t>
        </is>
      </c>
      <c r="V178" t="inlineStr">
        <is>
          <t>외부감사대상</t>
        </is>
      </c>
      <c r="W178" s="6" t="inlineStr">
        <is>
          <t>1990-12-01</t>
        </is>
      </c>
      <c r="X178" t="inlineStr">
        <is>
          <t>KRI:10C2049900</t>
        </is>
      </c>
      <c r="Y178" t="inlineStr">
        <is>
          <t>그 외 기타 분류 안된 화학제품 제조업</t>
        </is>
      </c>
      <c r="Z178" t="inlineStr">
        <is>
          <t>화학제품 제조/오파,온라인정보제공/물리,화학,생물학 연구,농학연구,의학,약학 연구개발</t>
        </is>
      </c>
      <c r="AA178" t="inlineStr">
        <is>
          <t>서울 송파구 문정동 641-3번지 소노타워 8층</t>
        </is>
      </c>
      <c r="AB178" t="inlineStr">
        <is>
          <t>서울 송파구 법원로 135, 8층 (문정동,소노타워)</t>
        </is>
      </c>
    </row>
    <row r="179" ht="19.2" customHeight="1" s="1">
      <c r="A179" t="inlineStr">
        <is>
          <t>NICE:118649</t>
        </is>
      </c>
      <c r="B179" t="inlineStr">
        <is>
          <t>삼천리금속</t>
        </is>
      </c>
      <c r="C179" s="5" t="n">
        <v>55723352000</v>
      </c>
      <c r="D179" s="5" t="n">
        <v>2397537000</v>
      </c>
      <c r="E179" s="5" t="n">
        <v>53325816000</v>
      </c>
      <c r="F179" s="5" t="n">
        <v>24459835000</v>
      </c>
      <c r="G179" s="5" t="n">
        <v>3798833000</v>
      </c>
      <c r="H179" s="5" t="n">
        <v>24713587000</v>
      </c>
      <c r="I179" s="5" t="n">
        <v>4232174000</v>
      </c>
      <c r="J179" s="4" t="n">
        <v>16.27639961242676</v>
      </c>
      <c r="K179" s="4" t="n">
        <v>0.04499999806284904</v>
      </c>
      <c r="L179" s="4" t="n">
        <v>0.1552999913692474</v>
      </c>
      <c r="M179" t="inlineStr">
        <is>
          <t>조현익</t>
        </is>
      </c>
      <c r="N179" t="inlineStr">
        <is>
          <t>041-582-1321</t>
        </is>
      </c>
      <c r="O179" t="inlineStr">
        <is>
          <t>041-582-1340</t>
        </is>
      </c>
      <c r="P179" s="3">
        <f>HYPERLINK("http://www.smetal.co.kr", "http://www.smetal.co.kr")</f>
        <v/>
      </c>
      <c r="Q179" t="inlineStr">
        <is>
          <t>3128130158</t>
        </is>
      </c>
      <c r="R179" t="inlineStr">
        <is>
          <t>1615110026801</t>
        </is>
      </c>
      <c r="S179" t="inlineStr">
        <is>
          <t>대상아님</t>
        </is>
      </c>
      <c r="T179" t="inlineStr">
        <is>
          <t>일반법인</t>
        </is>
      </c>
      <c r="U179" t="inlineStr">
        <is>
          <t>중소기업</t>
        </is>
      </c>
      <c r="V179" t="inlineStr">
        <is>
          <t>외부감사대상</t>
        </is>
      </c>
      <c r="W179" s="6" t="inlineStr">
        <is>
          <t>1998-05-04</t>
        </is>
      </c>
      <c r="X179" t="inlineStr">
        <is>
          <t>KRI:10C2431100</t>
        </is>
      </c>
      <c r="Y179" t="inlineStr">
        <is>
          <t>선철주물 주조업</t>
        </is>
      </c>
      <c r="Z179" t="inlineStr">
        <is>
          <t>선철주물(선박엔진부품,사출기실린더) 제조</t>
        </is>
      </c>
      <c r="AA179" t="inlineStr">
        <is>
          <t>충남 천안시 서북구 성환읍 매주리 394-2번지</t>
        </is>
      </c>
      <c r="AB179" t="inlineStr">
        <is>
          <t>충남 천안시 서북구 성환읍 연암율금로 431</t>
        </is>
      </c>
    </row>
    <row r="180" ht="19.2" customHeight="1" s="1">
      <c r="A180" t="inlineStr">
        <is>
          <t>NICE:452408</t>
        </is>
      </c>
      <c r="B180" t="inlineStr">
        <is>
          <t>피에이치지</t>
        </is>
      </c>
      <c r="C180" s="5" t="n">
        <v>20089817000</v>
      </c>
      <c r="D180" s="5" t="n">
        <v>6897192000</v>
      </c>
      <c r="E180" s="5" t="n">
        <v>13192625000</v>
      </c>
      <c r="F180" s="5" t="n">
        <v>30249914000</v>
      </c>
      <c r="G180" s="5" t="n">
        <v>3521870000</v>
      </c>
      <c r="H180" s="5" t="n">
        <v>25998503000</v>
      </c>
      <c r="I180" s="5" t="n">
        <v>3099619000</v>
      </c>
      <c r="J180" s="4" t="n">
        <v>2.722399950027466</v>
      </c>
      <c r="K180" s="4" t="n">
        <v>0.5227999687194824</v>
      </c>
      <c r="L180" s="4" t="n">
        <v>0.1164000034332275</v>
      </c>
      <c r="M180" t="inlineStr">
        <is>
          <t>김태영</t>
        </is>
      </c>
      <c r="N180" t="inlineStr">
        <is>
          <t>053-610-8800</t>
        </is>
      </c>
      <c r="O180" t="inlineStr">
        <is>
          <t>053-614-9998</t>
        </is>
      </c>
      <c r="P180" s="3">
        <f>HYPERLINK("http://www.ph-global.co.kr", "http://www.ph-global.co.kr")</f>
        <v/>
      </c>
      <c r="Q180" t="inlineStr">
        <is>
          <t>5148106332</t>
        </is>
      </c>
      <c r="R180" t="inlineStr">
        <is>
          <t>1741110002565</t>
        </is>
      </c>
      <c r="S180" t="inlineStr">
        <is>
          <t>대상아님</t>
        </is>
      </c>
      <c r="T180" t="inlineStr">
        <is>
          <t>일반법인</t>
        </is>
      </c>
      <c r="U180" t="inlineStr">
        <is>
          <t>중소기업</t>
        </is>
      </c>
      <c r="V180" t="inlineStr">
        <is>
          <t>외부감사대상</t>
        </is>
      </c>
      <c r="W180" s="6" t="inlineStr">
        <is>
          <t>1987-11-10</t>
        </is>
      </c>
      <c r="X180" t="inlineStr">
        <is>
          <t>KRI:10G4521900</t>
        </is>
      </c>
      <c r="Y180" t="inlineStr">
        <is>
          <t>기타 자동차 신품 부품 및 내장품 판매업</t>
        </is>
      </c>
      <c r="Z180" t="inlineStr">
        <is>
          <t>자동차부품 도소매,제조/전자상거래</t>
        </is>
      </c>
      <c r="AA180" t="inlineStr">
        <is>
          <t>대구 달성군 논공읍 북리 1-35번지</t>
        </is>
      </c>
      <c r="AB180" t="inlineStr">
        <is>
          <t>대구 달성군 논공읍 논공중앙로51길 11</t>
        </is>
      </c>
    </row>
    <row r="181" ht="19.2" customHeight="1" s="1">
      <c r="A181" t="inlineStr">
        <is>
          <t>NICE:925373</t>
        </is>
      </c>
      <c r="B181" t="inlineStr">
        <is>
          <t>한국어도비시스템즈</t>
        </is>
      </c>
      <c r="C181" s="5" t="n">
        <v>39270444000</v>
      </c>
      <c r="D181" s="5" t="n">
        <v>11732473000</v>
      </c>
      <c r="E181" s="5" t="n">
        <v>27537971000</v>
      </c>
      <c r="F181" s="5" t="n">
        <v>65997817000</v>
      </c>
      <c r="G181" s="5" t="n">
        <v>8473810000</v>
      </c>
      <c r="H181" s="5" t="n">
        <v>58404095000</v>
      </c>
      <c r="I181" s="5" t="n">
        <v>4172442000</v>
      </c>
      <c r="J181" s="4" t="n">
        <v>3.287499904632568</v>
      </c>
      <c r="K181" s="4" t="n">
        <v>0.4259999692440033</v>
      </c>
      <c r="L181" s="4" t="n">
        <v>0.1283999979496002</v>
      </c>
      <c r="M181" t="inlineStr">
        <is>
          <t>카리사소</t>
        </is>
      </c>
      <c r="N181" t="inlineStr">
        <is>
          <t>02-530-8000</t>
        </is>
      </c>
      <c r="O181" t="inlineStr">
        <is>
          <t>02-530-8001</t>
        </is>
      </c>
      <c r="P181" s="3">
        <f>HYPERLINK("http://www.adobe.com", "http://www.adobe.com")</f>
        <v/>
      </c>
      <c r="Q181" t="inlineStr">
        <is>
          <t>1208176744</t>
        </is>
      </c>
      <c r="R181" t="inlineStr">
        <is>
          <t>1101140033411</t>
        </is>
      </c>
      <c r="S181" t="inlineStr">
        <is>
          <t>대상아님</t>
        </is>
      </c>
      <c r="T181" t="inlineStr">
        <is>
          <t>일반법인</t>
        </is>
      </c>
      <c r="U181" t="inlineStr">
        <is>
          <t>중소기업</t>
        </is>
      </c>
      <c r="V181" t="inlineStr">
        <is>
          <t>외부감사대상</t>
        </is>
      </c>
      <c r="W181" s="6" t="inlineStr">
        <is>
          <t>1997-10-25</t>
        </is>
      </c>
      <c r="X181" t="inlineStr">
        <is>
          <t>KRI:10J6202100</t>
        </is>
      </c>
      <c r="Y181" t="inlineStr">
        <is>
          <t>컴퓨터시스템 통합 자문 및 구축 서비스업</t>
        </is>
      </c>
      <c r="Z181" t="inlineStr">
        <is>
          <t>소프트웨어 마케팅,판매</t>
        </is>
      </c>
      <c r="AA181" t="inlineStr">
        <is>
          <t>서울 강남구 삼성동 159-8번지 파르나스타워 19층</t>
        </is>
      </c>
      <c r="AB181" t="inlineStr">
        <is>
          <t>서울 강남구 테헤란로 521, 19층 (삼성동,파르나스타워)</t>
        </is>
      </c>
    </row>
    <row r="182" ht="19.2" customHeight="1" s="1">
      <c r="A182" t="inlineStr">
        <is>
          <t>NICE:QP8990</t>
        </is>
      </c>
      <c r="B182" t="inlineStr">
        <is>
          <t>코리아테크윈</t>
        </is>
      </c>
      <c r="C182" s="5" t="n">
        <v>29524130000</v>
      </c>
      <c r="D182" s="5" t="n">
        <v>3269734000</v>
      </c>
      <c r="E182" s="5" t="n">
        <v>26254397000</v>
      </c>
      <c r="F182" s="5" t="n">
        <v>23374537000</v>
      </c>
      <c r="G182" s="5" t="n">
        <v>5405739000</v>
      </c>
      <c r="H182" s="5" t="n">
        <v>20905641000</v>
      </c>
      <c r="I182" s="5" t="n">
        <v>5169321000</v>
      </c>
      <c r="J182" s="4" t="n">
        <v>8.351500511169434</v>
      </c>
      <c r="K182" s="4" t="n">
        <v>0.124499998986721</v>
      </c>
      <c r="L182" s="4" t="n">
        <v>0.2312999814748764</v>
      </c>
      <c r="M182" t="inlineStr">
        <is>
          <t>송낙현</t>
        </is>
      </c>
      <c r="N182" t="inlineStr">
        <is>
          <t>031-781-0033</t>
        </is>
      </c>
      <c r="O182" t="inlineStr">
        <is>
          <t>031-781-0032</t>
        </is>
      </c>
      <c r="P182" s="3">
        <f>HYPERLINK("http://www.ktsemi.co.kr", "http://www.ktsemi.co.kr")</f>
        <v/>
      </c>
      <c r="Q182" t="inlineStr">
        <is>
          <t>8978702650</t>
        </is>
      </c>
      <c r="R182" t="inlineStr">
        <is>
          <t>1342110289804</t>
        </is>
      </c>
      <c r="S182" t="inlineStr">
        <is>
          <t>대상아님</t>
        </is>
      </c>
      <c r="T182" t="inlineStr">
        <is>
          <t>일반법인</t>
        </is>
      </c>
      <c r="U182" t="inlineStr">
        <is>
          <t>중소기업</t>
        </is>
      </c>
      <c r="V182" t="inlineStr">
        <is>
          <t>외부감사대상</t>
        </is>
      </c>
      <c r="W182" s="6" t="inlineStr">
        <is>
          <t>2024-01-02</t>
        </is>
      </c>
      <c r="X182" t="inlineStr">
        <is>
          <t>KRI:10G4659500</t>
        </is>
      </c>
      <c r="Y182" t="inlineStr">
        <is>
          <t>전기용 기계ㆍ장비 및 관련 기자재 도매업</t>
        </is>
      </c>
      <c r="Z182" t="inlineStr">
        <is>
          <t>반도체장비,부품 도소매</t>
        </is>
      </c>
      <c r="AA182" t="inlineStr">
        <is>
          <t>경기 광주시 추자동 364-1번지</t>
        </is>
      </c>
      <c r="AB182" t="inlineStr">
        <is>
          <t>경기 광주시 오포로 677</t>
        </is>
      </c>
    </row>
    <row r="183" ht="19.2" customHeight="1" s="1">
      <c r="A183" t="inlineStr">
        <is>
          <t>NICE:L00379</t>
        </is>
      </c>
      <c r="B183" t="inlineStr">
        <is>
          <t>에이플러스알에프</t>
        </is>
      </c>
      <c r="C183" s="5" t="n">
        <v>27057523000</v>
      </c>
      <c r="D183" s="5" t="n">
        <v>10690561000</v>
      </c>
      <c r="E183" s="5" t="n">
        <v>16366962000</v>
      </c>
      <c r="F183" s="5" t="n">
        <v>25731907000</v>
      </c>
      <c r="G183" s="5" t="n">
        <v>6056696000</v>
      </c>
      <c r="H183" s="5" t="n">
        <v>18169694000</v>
      </c>
      <c r="I183" s="5" t="n">
        <v>3167297000</v>
      </c>
      <c r="J183" s="4" t="n">
        <v>1.508299946784973</v>
      </c>
      <c r="K183" s="4" t="n">
        <v>0.6531999707221985</v>
      </c>
      <c r="L183" s="4" t="n">
        <v>0.2354000061750412</v>
      </c>
      <c r="M183" t="inlineStr">
        <is>
          <t>이제열</t>
        </is>
      </c>
      <c r="N183" t="inlineStr">
        <is>
          <t>032-471-9990</t>
        </is>
      </c>
      <c r="O183" t="inlineStr">
        <is>
          <t>032-471-9991</t>
        </is>
      </c>
      <c r="P183" s="3">
        <f>HYPERLINK("http://www.aplusrf.com", "http://www.aplusrf.com")</f>
        <v/>
      </c>
      <c r="Q183" t="inlineStr">
        <is>
          <t>1318653391</t>
        </is>
      </c>
      <c r="R183" t="inlineStr">
        <is>
          <t>1201110678815</t>
        </is>
      </c>
      <c r="S183" t="inlineStr">
        <is>
          <t>대상아님</t>
        </is>
      </c>
      <c r="T183" t="inlineStr">
        <is>
          <t>일반법인</t>
        </is>
      </c>
      <c r="U183" t="inlineStr">
        <is>
          <t>중소기업</t>
        </is>
      </c>
      <c r="V183" t="inlineStr">
        <is>
          <t>외부감사대상</t>
        </is>
      </c>
      <c r="W183" s="6" t="inlineStr">
        <is>
          <t>2010-08-25</t>
        </is>
      </c>
      <c r="X183" t="inlineStr">
        <is>
          <t>KRI:10C2642900</t>
        </is>
      </c>
      <c r="Y183" t="inlineStr">
        <is>
          <t>기타 무선 통신장비 제조업</t>
        </is>
      </c>
      <c r="Z183" t="inlineStr">
        <is>
          <t>통신기기,부품 제조,도소매/무역</t>
        </is>
      </c>
      <c r="AA183" t="inlineStr">
        <is>
          <t>인천 남동구 고잔동 736-4번지 엘아이센터 5층 504호</t>
        </is>
      </c>
      <c r="AB183" t="inlineStr">
        <is>
          <t>인천 남동구 호구포로 50, 5층 504호 (고잔동,엘아이센터)</t>
        </is>
      </c>
    </row>
    <row r="184" ht="19.2" customHeight="1" s="1">
      <c r="A184" t="inlineStr">
        <is>
          <t>NICE:384151</t>
        </is>
      </c>
      <c r="B184" t="inlineStr">
        <is>
          <t>청우하이드로</t>
        </is>
      </c>
      <c r="C184" s="5" t="n">
        <v>68049034000</v>
      </c>
      <c r="D184" s="5" t="n">
        <v>17240768000</v>
      </c>
      <c r="E184" s="5" t="n">
        <v>50808266000</v>
      </c>
      <c r="F184" s="5" t="n">
        <v>40897358000</v>
      </c>
      <c r="G184" s="5" t="n">
        <v>6128508000</v>
      </c>
      <c r="H184" s="5" t="n">
        <v>30569458000</v>
      </c>
      <c r="I184" s="5" t="n">
        <v>2021312000</v>
      </c>
      <c r="J184" s="4" t="n">
        <v>3.510899782180786</v>
      </c>
      <c r="K184" s="4" t="n">
        <v>0.3393000066280365</v>
      </c>
      <c r="L184" s="4" t="n">
        <v>0.1498999893665314</v>
      </c>
      <c r="M184" t="inlineStr">
        <is>
          <t>안송준</t>
        </is>
      </c>
      <c r="N184" t="inlineStr">
        <is>
          <t>032-561-0971</t>
        </is>
      </c>
      <c r="O184" t="inlineStr">
        <is>
          <t>032-567-0971</t>
        </is>
      </c>
      <c r="P184" s="3">
        <f>HYPERLINK("http://www.cwhydro.co.kr", "http://www.cwhydro.co.kr")</f>
        <v/>
      </c>
      <c r="Q184" t="inlineStr">
        <is>
          <t>1078137317</t>
        </is>
      </c>
      <c r="R184" t="inlineStr">
        <is>
          <t>1101110078728</t>
        </is>
      </c>
      <c r="S184" t="inlineStr">
        <is>
          <t>대상아님</t>
        </is>
      </c>
      <c r="T184" t="inlineStr">
        <is>
          <t>일반법인</t>
        </is>
      </c>
      <c r="U184" t="inlineStr">
        <is>
          <t>중소기업</t>
        </is>
      </c>
      <c r="V184" t="inlineStr">
        <is>
          <t>외부감사대상</t>
        </is>
      </c>
      <c r="W184" s="6" t="inlineStr">
        <is>
          <t>1967-05-16</t>
        </is>
      </c>
      <c r="X184" t="inlineStr">
        <is>
          <t>KRI:10C2913100</t>
        </is>
      </c>
      <c r="Y184" t="inlineStr">
        <is>
          <t>액체 펌프 제조업</t>
        </is>
      </c>
      <c r="Z184" t="inlineStr">
        <is>
          <t>펌프,가스,오일버너,송풍기,모타 제조/태양광(신재생에너지) 발전/설비공사,상하수도설비공사</t>
        </is>
      </c>
      <c r="AA184" t="inlineStr">
        <is>
          <t>인천 서구 경서동 682-14번지 인천주물공단</t>
        </is>
      </c>
      <c r="AB184" t="inlineStr">
        <is>
          <t>인천 서구 호두산로 166, 인천주물공단</t>
        </is>
      </c>
    </row>
    <row r="185" s="1">
      <c r="A185" t="inlineStr">
        <is>
          <t>NICE:645559</t>
        </is>
      </c>
      <c r="B185" t="inlineStr">
        <is>
          <t>고어코리아</t>
        </is>
      </c>
      <c r="C185" s="5" t="n">
        <v>32212154000</v>
      </c>
      <c r="D185" s="5" t="n">
        <v>14336126000</v>
      </c>
      <c r="E185" s="5" t="n">
        <v>17876028000</v>
      </c>
      <c r="F185" s="5" t="n">
        <v>48321034000</v>
      </c>
      <c r="G185" s="5" t="n">
        <v>17480663000</v>
      </c>
      <c r="H185" s="5" t="n">
        <v>46303872000</v>
      </c>
      <c r="I185" s="5" t="n">
        <v>16648153000</v>
      </c>
      <c r="J185" s="4" t="n">
        <v>3.907699823379517</v>
      </c>
      <c r="K185" s="4" t="n">
        <v>0.8019999265670776</v>
      </c>
      <c r="L185" s="4" t="n">
        <v>0.3617999851703644</v>
      </c>
      <c r="M185" t="inlineStr">
        <is>
          <t>이정안</t>
        </is>
      </c>
      <c r="N185" t="inlineStr">
        <is>
          <t>02-393-3411</t>
        </is>
      </c>
      <c r="O185" t="inlineStr">
        <is>
          <t>02-393-1285</t>
        </is>
      </c>
      <c r="P185">
        <f>HYPERLINK("http://www.kr.gore.com", "http://www.kr.gore.com")</f>
        <v/>
      </c>
      <c r="Q185" t="inlineStr">
        <is>
          <t>1108124986</t>
        </is>
      </c>
      <c r="R185" t="inlineStr">
        <is>
          <t>1101110798847</t>
        </is>
      </c>
      <c r="S185" t="inlineStr">
        <is>
          <t>대상아님</t>
        </is>
      </c>
      <c r="T185" t="inlineStr">
        <is>
          <t>일반법인</t>
        </is>
      </c>
      <c r="U185" t="inlineStr">
        <is>
          <t>중소기업</t>
        </is>
      </c>
      <c r="V185" t="inlineStr">
        <is>
          <t>외부감사대상</t>
        </is>
      </c>
      <c r="W185" s="6" t="inlineStr">
        <is>
          <t>1991-08-20</t>
        </is>
      </c>
      <c r="X185" t="inlineStr">
        <is>
          <t>KRI:10G4679900</t>
        </is>
      </c>
      <c r="Y185" t="inlineStr">
        <is>
          <t>그 외 기타 상품 전문 도매업</t>
        </is>
      </c>
      <c r="Z185" t="inlineStr">
        <is>
          <t>특수섬유원단,산업용실라트,전선케이블,전자,의료용재료 오퍼상,도소매,무역</t>
        </is>
      </c>
      <c r="AA185" t="inlineStr">
        <is>
          <t>서울 중구 순화동 216번지 17층</t>
        </is>
      </c>
      <c r="AB185" t="inlineStr">
        <is>
          <t>서울 중구 통일로2길 16, 17층</t>
        </is>
      </c>
    </row>
    <row r="186" ht="19.2" customHeight="1" s="1">
      <c r="A186" t="inlineStr">
        <is>
          <t>NICE:006943</t>
        </is>
      </c>
      <c r="B186" t="inlineStr">
        <is>
          <t>아이이엔한창</t>
        </is>
      </c>
      <c r="C186" s="5" t="n">
        <v>488124967000</v>
      </c>
      <c r="D186" s="5" t="n">
        <v>56988753000</v>
      </c>
      <c r="E186" s="5" t="n">
        <v>431136214000</v>
      </c>
      <c r="F186" s="5" t="n">
        <v>240256137000</v>
      </c>
      <c r="G186" s="5" t="n">
        <v>160488219000</v>
      </c>
      <c r="H186" s="5" t="n">
        <v>225219431000</v>
      </c>
      <c r="I186" s="5" t="n">
        <v>153016867000</v>
      </c>
      <c r="J186" s="4" t="n">
        <v>7.87969970703125</v>
      </c>
      <c r="K186" s="4" t="n">
        <v>0.1322000026702881</v>
      </c>
      <c r="L186" s="4" t="n">
        <v>0.6680000424385071</v>
      </c>
      <c r="M186" t="inlineStr">
        <is>
          <t>장연덕</t>
        </is>
      </c>
      <c r="N186" t="inlineStr">
        <is>
          <t>051-728-3470</t>
        </is>
      </c>
      <c r="O186" t="inlineStr">
        <is>
          <t>051-831-3477</t>
        </is>
      </c>
      <c r="P186" s="3">
        <f>HYPERLINK("http://www.hctr.co.kr", "http://www.hctr.co.kr")</f>
        <v/>
      </c>
      <c r="Q186" t="inlineStr">
        <is>
          <t>6218108360</t>
        </is>
      </c>
      <c r="R186" t="inlineStr">
        <is>
          <t>1801110136720</t>
        </is>
      </c>
      <c r="S186" t="inlineStr">
        <is>
          <t>대상아님</t>
        </is>
      </c>
      <c r="T186" t="inlineStr">
        <is>
          <t>일반법인</t>
        </is>
      </c>
      <c r="U186" t="inlineStr">
        <is>
          <t>중소기업</t>
        </is>
      </c>
      <c r="V186" t="inlineStr">
        <is>
          <t>외부감사대상</t>
        </is>
      </c>
      <c r="W186" s="6" t="inlineStr">
        <is>
          <t>1975-11-01</t>
        </is>
      </c>
      <c r="X186" t="inlineStr">
        <is>
          <t>KRI:10C2811200</t>
        </is>
      </c>
      <c r="Y186" t="inlineStr">
        <is>
          <t>변압기 제조업</t>
        </is>
      </c>
      <c r="Z186" t="inlineStr">
        <is>
          <t>변압기,전기부품,자재 제조</t>
        </is>
      </c>
      <c r="AA186" t="inlineStr">
        <is>
          <t>부산 기장군 장안읍 반룡리 835-1번지</t>
        </is>
      </c>
      <c r="AB186" t="inlineStr">
        <is>
          <t>부산 기장군 장안읍 장안산단로 111</t>
        </is>
      </c>
    </row>
    <row r="187" ht="19.2" customHeight="1" s="1">
      <c r="A187" t="inlineStr">
        <is>
          <t>NICE:CB9934</t>
        </is>
      </c>
      <c r="B187" t="inlineStr">
        <is>
          <t>피알앤디컴퍼니</t>
        </is>
      </c>
      <c r="C187" s="5" t="n">
        <v>172910482000</v>
      </c>
      <c r="D187" s="5" t="n">
        <v>162116813000</v>
      </c>
      <c r="E187" s="5" t="n">
        <v>10793669000</v>
      </c>
      <c r="F187" s="5" t="n">
        <v>151768447000</v>
      </c>
      <c r="G187" s="5" t="n">
        <v>36298402000</v>
      </c>
      <c r="H187" s="5" t="n">
        <v>122345068000</v>
      </c>
      <c r="I187" s="5" t="n">
        <v>3155769000</v>
      </c>
      <c r="J187" s="4" t="n">
        <v>0.968999981880188</v>
      </c>
      <c r="K187" s="4" t="n">
        <v>15.01959896087646</v>
      </c>
      <c r="L187" s="4" t="n">
        <v>0.2391999959945679</v>
      </c>
      <c r="M187" t="inlineStr">
        <is>
          <t>박진우</t>
        </is>
      </c>
      <c r="N187" t="inlineStr">
        <is>
          <t>070-7459-4788</t>
        </is>
      </c>
      <c r="P187" s="3" t="n"/>
      <c r="Q187" t="inlineStr">
        <is>
          <t>2208895088</t>
        </is>
      </c>
      <c r="R187" t="inlineStr">
        <is>
          <t>1101115599050</t>
        </is>
      </c>
      <c r="S187" t="inlineStr">
        <is>
          <t>대상아님</t>
        </is>
      </c>
      <c r="T187" t="inlineStr">
        <is>
          <t>일반법인</t>
        </is>
      </c>
      <c r="U187" t="inlineStr">
        <is>
          <t>중소기업</t>
        </is>
      </c>
      <c r="V187" t="inlineStr">
        <is>
          <t>외부감사대상</t>
        </is>
      </c>
      <c r="W187" s="6" t="inlineStr">
        <is>
          <t>2014-12-24</t>
        </is>
      </c>
      <c r="X187" t="inlineStr">
        <is>
          <t>KRI:10J5822200</t>
        </is>
      </c>
      <c r="Y187" t="inlineStr">
        <is>
          <t>응용 소프트웨어 개발 및 공급업</t>
        </is>
      </c>
      <c r="Z187" t="inlineStr">
        <is>
          <t>어플리케이션 구축</t>
        </is>
      </c>
      <c r="AA187" t="inlineStr">
        <is>
          <t>서울 서초구 서초동 1321-20번지 디에셋 8층</t>
        </is>
      </c>
      <c r="AB187" t="inlineStr">
        <is>
          <t>서울 서초구 서초대로74길 14, 8층 (서초동,디에셋)</t>
        </is>
      </c>
    </row>
    <row r="188" s="1">
      <c r="A188" t="inlineStr">
        <is>
          <t>NICE:JN3790</t>
        </is>
      </c>
      <c r="B188" t="inlineStr">
        <is>
          <t>용진디앤씨</t>
        </is>
      </c>
      <c r="C188" s="5" t="n">
        <v>128062767000</v>
      </c>
      <c r="D188" s="5" t="n">
        <v>122279624000</v>
      </c>
      <c r="E188" s="5" t="n">
        <v>5783142000</v>
      </c>
      <c r="F188" s="5" t="n">
        <v>105146056000</v>
      </c>
      <c r="G188" s="5" t="n">
        <v>31122673000</v>
      </c>
      <c r="H188" s="5" t="n">
        <v>85760965000</v>
      </c>
      <c r="I188" s="5" t="n">
        <v>19501476000</v>
      </c>
      <c r="J188" s="4" t="n">
        <v>1.427700042724609</v>
      </c>
      <c r="K188" s="4" t="n">
        <v>21.14419937133789</v>
      </c>
      <c r="L188" s="4" t="n">
        <v>0.2960000038146973</v>
      </c>
      <c r="M188" t="inlineStr">
        <is>
          <t>김우석</t>
        </is>
      </c>
      <c r="N188" t="inlineStr">
        <is>
          <t>042-721-6009</t>
        </is>
      </c>
      <c r="O188" t="inlineStr">
        <is>
          <t>042-721-6090</t>
        </is>
      </c>
      <c r="Q188" t="inlineStr">
        <is>
          <t>5288801219</t>
        </is>
      </c>
      <c r="R188" t="inlineStr">
        <is>
          <t>1601110511132</t>
        </is>
      </c>
      <c r="S188" t="inlineStr">
        <is>
          <t>대상아님</t>
        </is>
      </c>
      <c r="T188" t="inlineStr">
        <is>
          <t>일반법인</t>
        </is>
      </c>
      <c r="U188" t="inlineStr">
        <is>
          <t>중소기업</t>
        </is>
      </c>
      <c r="V188" t="inlineStr">
        <is>
          <t>외부감사대상</t>
        </is>
      </c>
      <c r="W188" s="6" t="inlineStr">
        <is>
          <t>2019-03-25</t>
        </is>
      </c>
      <c r="X188" t="inlineStr">
        <is>
          <t>KRI:10L6812100</t>
        </is>
      </c>
      <c r="Y188" t="inlineStr">
        <is>
          <t>주거용 건물 개발 및 공급업</t>
        </is>
      </c>
      <c r="Z188" t="inlineStr">
        <is>
          <t>부동산 개발,공급</t>
        </is>
      </c>
      <c r="AA188" t="inlineStr">
        <is>
          <t>대전 유성구 봉명동 675-4번지 201호,202호</t>
        </is>
      </c>
      <c r="AB188" t="inlineStr">
        <is>
          <t>대전 유성구 온천북로59번길 34, 201호,202호</t>
        </is>
      </c>
    </row>
    <row r="189" ht="19.2" customHeight="1" s="1">
      <c r="A189" t="inlineStr">
        <is>
          <t>NICE:J89984</t>
        </is>
      </c>
      <c r="B189" t="inlineStr">
        <is>
          <t>네오비젼</t>
        </is>
      </c>
      <c r="C189" s="5" t="n">
        <v>21126082000</v>
      </c>
      <c r="D189" s="5" t="n">
        <v>9896964000</v>
      </c>
      <c r="E189" s="5" t="n">
        <v>11229118000</v>
      </c>
      <c r="F189" s="5" t="n">
        <v>21286440000</v>
      </c>
      <c r="G189" s="5" t="n">
        <v>2185476000</v>
      </c>
      <c r="H189" s="5" t="n">
        <v>20128031000</v>
      </c>
      <c r="I189" s="5" t="n">
        <v>1297016000</v>
      </c>
      <c r="J189" s="4" t="n">
        <v>1.371600031852722</v>
      </c>
      <c r="K189" s="4" t="n">
        <v>0.8813999891281128</v>
      </c>
      <c r="L189" s="4" t="n">
        <v>0.1027000024914742</v>
      </c>
      <c r="M189" t="inlineStr">
        <is>
          <t>유정식</t>
        </is>
      </c>
      <c r="N189" t="inlineStr">
        <is>
          <t>02-2637-8658</t>
        </is>
      </c>
      <c r="O189" t="inlineStr">
        <is>
          <t>02-2637-8659</t>
        </is>
      </c>
      <c r="P189" s="3">
        <f>HYPERLINK("http://www.n-vision.co.kr", "http://www.n-vision.co.kr")</f>
        <v/>
      </c>
      <c r="Q189" t="inlineStr">
        <is>
          <t>1408177811</t>
        </is>
      </c>
      <c r="R189" t="inlineStr">
        <is>
          <t>1355110255478</t>
        </is>
      </c>
      <c r="S189" t="inlineStr">
        <is>
          <t>대상아님</t>
        </is>
      </c>
      <c r="T189" t="inlineStr">
        <is>
          <t>일반법인</t>
        </is>
      </c>
      <c r="U189" t="inlineStr">
        <is>
          <t>중소기업</t>
        </is>
      </c>
      <c r="V189" t="inlineStr">
        <is>
          <t>외부감사대상</t>
        </is>
      </c>
      <c r="W189" s="6" t="inlineStr">
        <is>
          <t>2013-08-23</t>
        </is>
      </c>
      <c r="X189" t="inlineStr">
        <is>
          <t>KRI:10J5822200</t>
        </is>
      </c>
      <c r="Y189" t="inlineStr">
        <is>
          <t>응용 소프트웨어 개발 및 공급업</t>
        </is>
      </c>
      <c r="Z189" t="inlineStr">
        <is>
          <t>소프트웨어 개발,시스템 통합(통합SI)/정보통신공사/영상정보디스플레이기기,통신장비,통신자재 도소매</t>
        </is>
      </c>
      <c r="AA189" t="inlineStr">
        <is>
          <t>서울 영등포구 양평동3가 5-4번지 에이스하이테크시티3차 501호,502호,503호</t>
        </is>
      </c>
      <c r="AB189" t="inlineStr">
        <is>
          <t>서울 영등포구 선유로 130, 501호,502호,503호 (양평동3가,에이스하이테크시티3차)</t>
        </is>
      </c>
    </row>
    <row r="190" ht="19.2" customHeight="1" s="1">
      <c r="A190" t="inlineStr">
        <is>
          <t>NICE:358452</t>
        </is>
      </c>
      <c r="B190" t="inlineStr">
        <is>
          <t>한성중공업</t>
        </is>
      </c>
      <c r="C190" s="5" t="n">
        <v>15614198000</v>
      </c>
      <c r="D190" s="5" t="n">
        <v>4624774000</v>
      </c>
      <c r="E190" s="5" t="n">
        <v>10989424000</v>
      </c>
      <c r="F190" s="5" t="n">
        <v>20637009000</v>
      </c>
      <c r="G190" s="5" t="n">
        <v>2510794000</v>
      </c>
      <c r="H190" s="5" t="n">
        <v>23490470000</v>
      </c>
      <c r="I190" s="5" t="n">
        <v>1532922000</v>
      </c>
      <c r="J190" s="4" t="n">
        <v>2.833199977874756</v>
      </c>
      <c r="K190" s="4" t="n">
        <v>0.4208000004291534</v>
      </c>
      <c r="L190" s="4" t="n">
        <v>0.1216999962925911</v>
      </c>
      <c r="M190" t="inlineStr">
        <is>
          <t>권오을</t>
        </is>
      </c>
      <c r="N190" t="inlineStr">
        <is>
          <t>054-285-7003</t>
        </is>
      </c>
      <c r="O190" t="inlineStr">
        <is>
          <t>054-285-8316</t>
        </is>
      </c>
      <c r="P190" s="3">
        <f>HYPERLINK("http://www.hansung-hi.com", "http://www.hansung-hi.com")</f>
        <v/>
      </c>
      <c r="Q190" t="inlineStr">
        <is>
          <t>5068111800</t>
        </is>
      </c>
      <c r="R190" t="inlineStr">
        <is>
          <t>1746110014172</t>
        </is>
      </c>
      <c r="S190" t="inlineStr">
        <is>
          <t>대상아님</t>
        </is>
      </c>
      <c r="T190" t="inlineStr">
        <is>
          <t>일반법인</t>
        </is>
      </c>
      <c r="U190" t="inlineStr">
        <is>
          <t>중소기업</t>
        </is>
      </c>
      <c r="V190" t="inlineStr">
        <is>
          <t>외부감사대상</t>
        </is>
      </c>
      <c r="W190" s="6" t="inlineStr">
        <is>
          <t>1989-06-01</t>
        </is>
      </c>
      <c r="X190" t="inlineStr">
        <is>
          <t>KRI:10C2922300</t>
        </is>
      </c>
      <c r="Y190" t="inlineStr">
        <is>
          <t>금속 절삭기계 제조업</t>
        </is>
      </c>
      <c r="Z190" t="inlineStr">
        <is>
          <t>금속절삭가공기계,코일리프트,공장자동화기계,물류취급장비,기계부품,철구조물 제조/기계설비공사</t>
        </is>
      </c>
      <c r="AA190" t="inlineStr">
        <is>
          <t>경북 포항시 남구 연일읍 오천리 101번지</t>
        </is>
      </c>
      <c r="AB190" t="inlineStr">
        <is>
          <t>경북 포항시 남구 연일읍 동문로76번길 51</t>
        </is>
      </c>
    </row>
    <row r="191" ht="19.2" customHeight="1" s="1">
      <c r="A191" t="inlineStr">
        <is>
          <t>NICE:OM9764</t>
        </is>
      </c>
      <c r="B191" t="inlineStr">
        <is>
          <t>그린에코넥서스</t>
        </is>
      </c>
      <c r="C191" s="5" t="n">
        <v>93802049000</v>
      </c>
      <c r="D191" s="5" t="n">
        <v>48766965000</v>
      </c>
      <c r="E191" s="5" t="n">
        <v>45035084000</v>
      </c>
      <c r="F191" s="5" t="n">
        <v>40324259000</v>
      </c>
      <c r="G191" s="5" t="n">
        <v>5965430000</v>
      </c>
      <c r="H191" s="5" t="n">
        <v>37905163000</v>
      </c>
      <c r="I191" s="5" t="n">
        <v>2337455000</v>
      </c>
      <c r="J191" s="4" t="n">
        <v>0.5199999809265137</v>
      </c>
      <c r="K191" s="4" t="n">
        <v>1.082899928092957</v>
      </c>
      <c r="L191" s="4" t="n">
        <v>0.1479000002145767</v>
      </c>
      <c r="M191" t="inlineStr">
        <is>
          <t>이의진</t>
        </is>
      </c>
      <c r="N191" t="inlineStr">
        <is>
          <t>031-683-7704</t>
        </is>
      </c>
      <c r="O191" t="inlineStr">
        <is>
          <t>031-684-7703</t>
        </is>
      </c>
      <c r="P191" s="3">
        <f>HYPERLINK("http://www.eco-solutions.kr", "http://www.eco-solutions.kr")</f>
        <v/>
      </c>
      <c r="Q191" t="inlineStr">
        <is>
          <t>3228602066</t>
        </is>
      </c>
      <c r="R191" t="inlineStr">
        <is>
          <t>1101117952305</t>
        </is>
      </c>
      <c r="S191" t="inlineStr">
        <is>
          <t>대상아님</t>
        </is>
      </c>
      <c r="T191" t="inlineStr">
        <is>
          <t>일반법인</t>
        </is>
      </c>
      <c r="U191" t="inlineStr">
        <is>
          <t>중견기업</t>
        </is>
      </c>
      <c r="V191" t="inlineStr">
        <is>
          <t>외부감사대상</t>
        </is>
      </c>
      <c r="W191" s="6" t="inlineStr">
        <is>
          <t>2021-07-09</t>
        </is>
      </c>
      <c r="X191" t="inlineStr">
        <is>
          <t>KRI:10E3811000</t>
        </is>
      </c>
      <c r="Y191" t="inlineStr">
        <is>
          <t>지정 외 폐기물 수집, 운반업</t>
        </is>
      </c>
      <c r="Z191" t="inlineStr">
        <is>
          <t>폐기물 수집,운반/과학,환경기술 서비스/산업용기계,장비 임대</t>
        </is>
      </c>
      <c r="AA191" t="inlineStr">
        <is>
          <t>경기 용인시 처인구 남사읍 북리 84-1번지</t>
        </is>
      </c>
      <c r="AB191" t="inlineStr">
        <is>
          <t>경기 용인시 처인구 남사읍 경기동로256번길 19</t>
        </is>
      </c>
    </row>
    <row r="192" ht="19.2" customHeight="1" s="1">
      <c r="A192" t="inlineStr">
        <is>
          <t>NICE:HN5130</t>
        </is>
      </c>
      <c r="B192" t="inlineStr">
        <is>
          <t>현대중공업터보기계</t>
        </is>
      </c>
      <c r="C192" s="5" t="n">
        <v>157294782000</v>
      </c>
      <c r="D192" s="5" t="n">
        <v>130577758000</v>
      </c>
      <c r="E192" s="5" t="n">
        <v>26717025000</v>
      </c>
      <c r="F192" s="5" t="n">
        <v>159173020000</v>
      </c>
      <c r="G192" s="5" t="n">
        <v>19061354000</v>
      </c>
      <c r="H192" s="5" t="n">
        <v>125307053000</v>
      </c>
      <c r="I192" s="5" t="n">
        <v>18937566000</v>
      </c>
      <c r="J192" s="4" t="n">
        <v>1.990200042724609</v>
      </c>
      <c r="K192" s="4" t="n">
        <v>4.887399673461914</v>
      </c>
      <c r="L192" s="4" t="n">
        <v>0.1197999939322472</v>
      </c>
      <c r="M192" t="inlineStr">
        <is>
          <t>김동수</t>
        </is>
      </c>
      <c r="N192" t="inlineStr">
        <is>
          <t>052-204-5016</t>
        </is>
      </c>
      <c r="O192" t="inlineStr">
        <is>
          <t>052-204-5039</t>
        </is>
      </c>
      <c r="P192" s="3">
        <f>HYPERLINK("http://www.hhitmc.com", "http://www.hhitmc.com")</f>
        <v/>
      </c>
      <c r="Q192" t="inlineStr">
        <is>
          <t>4288800297</t>
        </is>
      </c>
      <c r="R192" t="inlineStr">
        <is>
          <t>2301110253937</t>
        </is>
      </c>
      <c r="S192" t="inlineStr">
        <is>
          <t>대상아님</t>
        </is>
      </c>
      <c r="T192" t="inlineStr">
        <is>
          <t>일반법인</t>
        </is>
      </c>
      <c r="U192" t="inlineStr">
        <is>
          <t>중견기업</t>
        </is>
      </c>
      <c r="V192" t="inlineStr">
        <is>
          <t>외부감사대상</t>
        </is>
      </c>
      <c r="W192" s="6" t="inlineStr">
        <is>
          <t>2016-02-19</t>
        </is>
      </c>
      <c r="X192" t="inlineStr">
        <is>
          <t>KRI:10C2913100</t>
        </is>
      </c>
      <c r="Y192" t="inlineStr">
        <is>
          <t>액체 펌프 제조업</t>
        </is>
      </c>
      <c r="Z192" t="inlineStr">
        <is>
          <t>펌프,압축기 제조</t>
        </is>
      </c>
      <c r="AA192" t="inlineStr">
        <is>
          <t>울산 동구 전하동 1번지 터보기계1공장</t>
        </is>
      </c>
      <c r="AB192" t="inlineStr">
        <is>
          <t>울산 동구 방어진순환도로 1000 (전하동,터보기계1공장)</t>
        </is>
      </c>
    </row>
    <row r="193" ht="19.2" customHeight="1" s="1">
      <c r="A193" t="inlineStr">
        <is>
          <t>NICE:147775</t>
        </is>
      </c>
      <c r="B193" t="inlineStr">
        <is>
          <t>에이치엘비오션테크</t>
        </is>
      </c>
      <c r="C193" s="5" t="n">
        <v>33640055000</v>
      </c>
      <c r="D193" s="5" t="n">
        <v>20715277000</v>
      </c>
      <c r="E193" s="5" t="n">
        <v>12924777000</v>
      </c>
      <c r="F193" s="5" t="n">
        <v>27146299000</v>
      </c>
      <c r="G193" s="5" t="n">
        <v>5390622000</v>
      </c>
      <c r="H193" s="5" t="n">
        <v>20221679000</v>
      </c>
      <c r="I193" s="5" t="n">
        <v>2724585000</v>
      </c>
      <c r="J193" s="4" t="n">
        <v>1.322199940681458</v>
      </c>
      <c r="K193" s="4" t="n">
        <v>1.602799892425537</v>
      </c>
      <c r="L193" s="4" t="n">
        <v>0.1986000090837479</v>
      </c>
      <c r="M193" t="inlineStr">
        <is>
          <t>김기원</t>
        </is>
      </c>
      <c r="N193" t="inlineStr">
        <is>
          <t>055-720-1000</t>
        </is>
      </c>
      <c r="O193" t="inlineStr">
        <is>
          <t>055-720-1010</t>
        </is>
      </c>
      <c r="P193" s="3">
        <f>HYPERLINK("http://www.badahi.co.kr", "http://www.badahi.co.kr")</f>
        <v/>
      </c>
      <c r="Q193" t="inlineStr">
        <is>
          <t>6038138658</t>
        </is>
      </c>
      <c r="R193" t="inlineStr">
        <is>
          <t>1801110288654</t>
        </is>
      </c>
      <c r="S193" t="inlineStr">
        <is>
          <t>대상아님</t>
        </is>
      </c>
      <c r="T193" t="inlineStr">
        <is>
          <t>일반법인</t>
        </is>
      </c>
      <c r="U193" t="inlineStr">
        <is>
          <t>중소기업</t>
        </is>
      </c>
      <c r="V193" t="inlineStr">
        <is>
          <t>외부감사대상</t>
        </is>
      </c>
      <c r="W193" s="6" t="inlineStr">
        <is>
          <t>1992-10-01</t>
        </is>
      </c>
      <c r="X193" t="inlineStr">
        <is>
          <t>KRI:10C3111400</t>
        </is>
      </c>
      <c r="Y193" t="inlineStr">
        <is>
          <t>선박 구성 부분품 제조업</t>
        </is>
      </c>
      <c r="Z193" t="inlineStr">
        <is>
          <t>선박용크레인,MHE,산업기계,기관,병기부속 제조/무역/부동산 임대</t>
        </is>
      </c>
      <c r="AA193" t="inlineStr">
        <is>
          <t>경남 김해시 진영읍 진영리 1002번지</t>
        </is>
      </c>
      <c r="AB193" t="inlineStr">
        <is>
          <t>경남 김해시 진영읍 진산대로 135-56</t>
        </is>
      </c>
    </row>
    <row r="194" ht="19.2" customHeight="1" s="1">
      <c r="A194" t="inlineStr">
        <is>
          <t>NICE:951013</t>
        </is>
      </c>
      <c r="B194" t="inlineStr">
        <is>
          <t>파카코리아</t>
        </is>
      </c>
      <c r="C194" s="5" t="n">
        <v>121414532000</v>
      </c>
      <c r="D194" s="5" t="n">
        <v>35361564000</v>
      </c>
      <c r="E194" s="5" t="n">
        <v>86052967000</v>
      </c>
      <c r="F194" s="5" t="n">
        <v>239857275000</v>
      </c>
      <c r="G194" s="5" t="n">
        <v>46360581000</v>
      </c>
      <c r="H194" s="5" t="n">
        <v>267201354000</v>
      </c>
      <c r="I194" s="5" t="n">
        <v>49090608000</v>
      </c>
      <c r="J194" s="4" t="n">
        <v>2.876300096511841</v>
      </c>
      <c r="K194" s="4" t="n">
        <v>0.4108999967575073</v>
      </c>
      <c r="L194" s="4" t="n">
        <v>0.1932999938726425</v>
      </c>
      <c r="M194" t="inlineStr">
        <is>
          <t>김주한</t>
        </is>
      </c>
      <c r="N194" t="inlineStr">
        <is>
          <t>031-359-0700</t>
        </is>
      </c>
      <c r="O194" t="inlineStr">
        <is>
          <t>031-359-0800</t>
        </is>
      </c>
      <c r="P194" s="3">
        <f>HYPERLINK("http://www.parker.com/ko", "http://www.parker.com/ko")</f>
        <v/>
      </c>
      <c r="Q194" t="inlineStr">
        <is>
          <t>1358127963</t>
        </is>
      </c>
      <c r="R194" t="inlineStr">
        <is>
          <t>1345110029395</t>
        </is>
      </c>
      <c r="S194" t="inlineStr">
        <is>
          <t>대상아님</t>
        </is>
      </c>
      <c r="T194" t="inlineStr">
        <is>
          <t>일반법인</t>
        </is>
      </c>
      <c r="U194" t="inlineStr">
        <is>
          <t>중견기업</t>
        </is>
      </c>
      <c r="V194" t="inlineStr">
        <is>
          <t>외부감사대상</t>
        </is>
      </c>
      <c r="W194" s="6" t="inlineStr">
        <is>
          <t>1998-08-20</t>
        </is>
      </c>
      <c r="X194" t="inlineStr">
        <is>
          <t>KRI:10C2913300</t>
        </is>
      </c>
      <c r="Y194" t="inlineStr">
        <is>
          <t>탭, 밸브 및 유사장치 제조업</t>
        </is>
      </c>
      <c r="Z194" t="inlineStr">
        <is>
          <t>유공압밸브,필터,펌프,여과청정기 제조</t>
        </is>
      </c>
      <c r="AA194" t="inlineStr">
        <is>
          <t>경기 화성시 만세구 장안면 금의리 759-10번지</t>
        </is>
      </c>
      <c r="AB194" t="inlineStr">
        <is>
          <t>경기 화성시 만세구 장안면 장안공단1길 23</t>
        </is>
      </c>
    </row>
    <row r="195" ht="19.2" customHeight="1" s="1">
      <c r="A195" t="inlineStr">
        <is>
          <t>NICE:JL1914</t>
        </is>
      </c>
      <c r="B195" t="inlineStr">
        <is>
          <t>대원엔비텍</t>
        </is>
      </c>
      <c r="C195" s="5" t="n">
        <v>87828013000</v>
      </c>
      <c r="D195" s="5" t="n">
        <v>56770751000</v>
      </c>
      <c r="E195" s="5" t="n">
        <v>31057262000</v>
      </c>
      <c r="F195" s="5" t="n">
        <v>78329377000</v>
      </c>
      <c r="G195" s="5" t="n">
        <v>16693904000</v>
      </c>
      <c r="H195" s="5" t="n">
        <v>84033376000</v>
      </c>
      <c r="I195" s="5" t="n">
        <v>10360714000</v>
      </c>
      <c r="J195" s="4" t="n">
        <v>0.2951000034809113</v>
      </c>
      <c r="K195" s="4" t="n">
        <v>1.827899932861328</v>
      </c>
      <c r="L195" s="4" t="n">
        <v>0.2130999863147736</v>
      </c>
      <c r="M195" t="inlineStr">
        <is>
          <t>권혁명</t>
        </is>
      </c>
      <c r="N195" t="inlineStr">
        <is>
          <t>054-716-2526</t>
        </is>
      </c>
      <c r="O195" t="inlineStr">
        <is>
          <t>054-716-2529</t>
        </is>
      </c>
      <c r="P195" s="3" t="n"/>
      <c r="Q195" t="inlineStr">
        <is>
          <t>7918701450</t>
        </is>
      </c>
      <c r="R195" t="inlineStr">
        <is>
          <t>1760110128494</t>
        </is>
      </c>
      <c r="S195" t="inlineStr">
        <is>
          <t>대상아님</t>
        </is>
      </c>
      <c r="T195" t="inlineStr">
        <is>
          <t>일반법인</t>
        </is>
      </c>
      <c r="U195" t="inlineStr">
        <is>
          <t>중소기업</t>
        </is>
      </c>
      <c r="V195" t="inlineStr">
        <is>
          <t>외부감사대상</t>
        </is>
      </c>
      <c r="W195" s="6" t="inlineStr">
        <is>
          <t>2019-01-28</t>
        </is>
      </c>
      <c r="X195" t="inlineStr">
        <is>
          <t>KRI:10C2049900</t>
        </is>
      </c>
      <c r="Y195" t="inlineStr">
        <is>
          <t>그 외 기타 분류 안된 화학제품 제조업</t>
        </is>
      </c>
      <c r="Z195" t="inlineStr">
        <is>
          <t>난연제 제조,도매/EPS원료 도매,무역/부동산 임대,개발,공급</t>
        </is>
      </c>
      <c r="AA195" t="inlineStr">
        <is>
          <t>경북 칠곡군 가산면 송학리 603-3번지</t>
        </is>
      </c>
      <c r="AB195" t="inlineStr">
        <is>
          <t>경북 칠곡군 가산면 송학6길 20-15</t>
        </is>
      </c>
    </row>
    <row r="196" ht="19.2" customHeight="1" s="1">
      <c r="A196" t="inlineStr">
        <is>
          <t>NICE:J58415</t>
        </is>
      </c>
      <c r="B196" t="inlineStr">
        <is>
          <t>승덕수산영어조합법인</t>
        </is>
      </c>
      <c r="C196" s="5" t="n">
        <v>16419064000</v>
      </c>
      <c r="D196" s="5" t="n">
        <v>5230827000</v>
      </c>
      <c r="E196" s="5" t="n">
        <v>11188237000</v>
      </c>
      <c r="F196" s="5" t="n">
        <v>29431883000</v>
      </c>
      <c r="G196" s="5" t="n">
        <v>12309923000</v>
      </c>
      <c r="H196" s="5" t="n">
        <v>17362280000</v>
      </c>
      <c r="I196" s="5" t="n">
        <v>1845097000</v>
      </c>
      <c r="J196" s="4" t="n">
        <v>5.081500053405762</v>
      </c>
      <c r="K196" s="4" t="n">
        <v>0.4675000011920929</v>
      </c>
      <c r="L196" s="4" t="n">
        <v>0.4183000028133392</v>
      </c>
      <c r="M196" t="inlineStr">
        <is>
          <t>김종배</t>
        </is>
      </c>
      <c r="N196" t="inlineStr">
        <is>
          <t>055-552-4449</t>
        </is>
      </c>
      <c r="P196" s="3" t="n"/>
      <c r="Q196" t="inlineStr">
        <is>
          <t>6098609078</t>
        </is>
      </c>
      <c r="R196" t="inlineStr">
        <is>
          <t>1941710001351</t>
        </is>
      </c>
      <c r="S196" t="inlineStr">
        <is>
          <t>대상아님</t>
        </is>
      </c>
      <c r="T196" t="inlineStr">
        <is>
          <t>일반법인</t>
        </is>
      </c>
      <c r="U196" t="inlineStr">
        <is>
          <t>중소기업</t>
        </is>
      </c>
      <c r="V196" t="inlineStr">
        <is>
          <t>외부감사비대상</t>
        </is>
      </c>
      <c r="W196" s="6" t="inlineStr">
        <is>
          <t>2012-10-30</t>
        </is>
      </c>
      <c r="X196" t="inlineStr">
        <is>
          <t>KRI:10C1022000</t>
        </is>
      </c>
      <c r="Y196" t="inlineStr">
        <is>
          <t>수산식물 가공 및 저장 처리업</t>
        </is>
      </c>
      <c r="Z196" t="inlineStr">
        <is>
          <t>해조류 가공 및 저장처리</t>
        </is>
      </c>
      <c r="AA196" t="inlineStr">
        <is>
          <t>경남 창원시 진해구 청안동 443-1번지</t>
        </is>
      </c>
      <c r="AB196" t="inlineStr">
        <is>
          <t>경남 창원시 진해구 청안로170번길 31-36</t>
        </is>
      </c>
    </row>
    <row r="197" ht="19.2" customHeight="1" s="1">
      <c r="A197" t="inlineStr">
        <is>
          <t>NICE:IS4752</t>
        </is>
      </c>
      <c r="B197" t="inlineStr">
        <is>
          <t>화신이엔지</t>
        </is>
      </c>
      <c r="C197" s="5" t="n">
        <v>92512965000</v>
      </c>
      <c r="D197" s="5" t="n">
        <v>71717752000</v>
      </c>
      <c r="E197" s="5" t="n">
        <v>20795213000</v>
      </c>
      <c r="F197" s="5" t="n">
        <v>46138980000</v>
      </c>
      <c r="G197" s="5" t="n">
        <v>9521487000</v>
      </c>
      <c r="H197" s="5" t="n">
        <v>65768186000</v>
      </c>
      <c r="I197" s="5" t="n">
        <v>18821691000</v>
      </c>
      <c r="J197" s="4" t="n">
        <v>0.3940999805927277</v>
      </c>
      <c r="K197" s="4" t="n">
        <v>3.448800086975098</v>
      </c>
      <c r="L197" s="4" t="n">
        <v>0.206399992108345</v>
      </c>
      <c r="M197" t="inlineStr">
        <is>
          <t>조성권</t>
        </is>
      </c>
      <c r="N197" t="inlineStr">
        <is>
          <t>062-515-3505</t>
        </is>
      </c>
      <c r="O197" t="inlineStr">
        <is>
          <t>062-575-3505</t>
        </is>
      </c>
      <c r="P197" s="3" t="n"/>
      <c r="Q197" t="inlineStr">
        <is>
          <t>4778100873</t>
        </is>
      </c>
      <c r="R197" t="inlineStr">
        <is>
          <t>2001110576509</t>
        </is>
      </c>
      <c r="S197" t="inlineStr">
        <is>
          <t>대상아님</t>
        </is>
      </c>
      <c r="T197" t="inlineStr">
        <is>
          <t>일반법인</t>
        </is>
      </c>
      <c r="U197" t="inlineStr">
        <is>
          <t>중소기업</t>
        </is>
      </c>
      <c r="V197" t="inlineStr">
        <is>
          <t>외부감사대상</t>
        </is>
      </c>
      <c r="W197" s="6" t="inlineStr">
        <is>
          <t>2017-07-25</t>
        </is>
      </c>
      <c r="X197" t="inlineStr">
        <is>
          <t>KRI:10C2511900</t>
        </is>
      </c>
      <c r="Y197" t="inlineStr">
        <is>
          <t>기타 구조용 금속제품 제조업</t>
        </is>
      </c>
      <c r="Z197" t="inlineStr">
        <is>
          <t>태양광,철구조물 임가공,조형물,고압수배전반 제조/토목공사,일반건축공사,전기공사</t>
        </is>
      </c>
      <c r="AA197" t="inlineStr">
        <is>
          <t>광주 북구 동림동 917-10번지</t>
        </is>
      </c>
      <c r="AB197" t="inlineStr">
        <is>
          <t>광주 북구 동운로32번길 24</t>
        </is>
      </c>
    </row>
    <row r="198" s="1">
      <c r="A198" t="inlineStr">
        <is>
          <t>NICE:H31584</t>
        </is>
      </c>
      <c r="B198" t="inlineStr">
        <is>
          <t>한성관광개발</t>
        </is>
      </c>
      <c r="C198" s="5" t="n">
        <v>185267458000</v>
      </c>
      <c r="D198" s="5" t="n">
        <v>37518516000</v>
      </c>
      <c r="E198" s="5" t="n">
        <v>147748943000</v>
      </c>
      <c r="F198" s="5" t="n">
        <v>30105842000</v>
      </c>
      <c r="G198" s="5" t="n">
        <v>10950315000</v>
      </c>
      <c r="H198" s="5" t="n">
        <v>31297255000</v>
      </c>
      <c r="I198" s="5" t="n">
        <v>11434983000</v>
      </c>
      <c r="J198" s="4" t="n">
        <v>2.782900094985962</v>
      </c>
      <c r="K198" s="4" t="n">
        <v>0.2538999915122986</v>
      </c>
      <c r="L198" s="4" t="n">
        <v>0.3636999726295471</v>
      </c>
      <c r="M198" t="inlineStr">
        <is>
          <t>전영자</t>
        </is>
      </c>
      <c r="N198" t="inlineStr">
        <is>
          <t>031-284-3831</t>
        </is>
      </c>
      <c r="O198" t="inlineStr">
        <is>
          <t>031-285-7979</t>
        </is>
      </c>
      <c r="P198">
        <f>HYPERLINK("http://www.hansung-cc.co.kr", "http://www.hansung-cc.co.kr")</f>
        <v/>
      </c>
      <c r="Q198" t="inlineStr">
        <is>
          <t>1428132881</t>
        </is>
      </c>
      <c r="R198" t="inlineStr">
        <is>
          <t>1345110164042</t>
        </is>
      </c>
      <c r="S198" t="inlineStr">
        <is>
          <t>대상아님</t>
        </is>
      </c>
      <c r="T198" t="inlineStr">
        <is>
          <t>일반법인</t>
        </is>
      </c>
      <c r="U198" t="inlineStr">
        <is>
          <t>중소기업</t>
        </is>
      </c>
      <c r="V198" t="inlineStr">
        <is>
          <t>외부감사대상</t>
        </is>
      </c>
      <c r="W198" s="6" t="inlineStr">
        <is>
          <t>2010-12-20</t>
        </is>
      </c>
      <c r="X198" t="inlineStr">
        <is>
          <t>KRI:10R9112100</t>
        </is>
      </c>
      <c r="Y198" t="inlineStr">
        <is>
          <t>골프장 운영업</t>
        </is>
      </c>
      <c r="Z198" t="inlineStr">
        <is>
          <t>골프장 운영</t>
        </is>
      </c>
      <c r="AA198" t="inlineStr">
        <is>
          <t>경기 용인시 기흥구 마북동 153-1번지</t>
        </is>
      </c>
      <c r="AB198" t="inlineStr">
        <is>
          <t>경기 용인시 기흥구 구교동로 151</t>
        </is>
      </c>
    </row>
    <row r="199" ht="19.2" customHeight="1" s="1">
      <c r="A199" t="inlineStr">
        <is>
          <t>NICE:661163</t>
        </is>
      </c>
      <c r="B199" t="inlineStr">
        <is>
          <t>아이세로미림</t>
        </is>
      </c>
      <c r="C199" s="5" t="n">
        <v>120654683000</v>
      </c>
      <c r="D199" s="5" t="n">
        <v>56628518000</v>
      </c>
      <c r="E199" s="5" t="n">
        <v>64026165000</v>
      </c>
      <c r="F199" s="5" t="n">
        <v>95796153000</v>
      </c>
      <c r="G199" s="5" t="n">
        <v>9668397000</v>
      </c>
      <c r="H199" s="5" t="n">
        <v>82149040000</v>
      </c>
      <c r="I199" s="5" t="n">
        <v>5668831000</v>
      </c>
      <c r="J199" s="4" t="n">
        <v>1.334499955177307</v>
      </c>
      <c r="K199" s="4" t="n">
        <v>0.8844999670982361</v>
      </c>
      <c r="L199" s="4" t="n">
        <v>0.1009000018239021</v>
      </c>
      <c r="M199" t="inlineStr">
        <is>
          <t>임장욱</t>
        </is>
      </c>
      <c r="N199" t="inlineStr">
        <is>
          <t>031-499-1484</t>
        </is>
      </c>
      <c r="O199" t="inlineStr">
        <is>
          <t>031-499-1488</t>
        </is>
      </c>
      <c r="P199" s="3">
        <f>HYPERLINK("https://aicellomilim.com", "https://aicellomilim.com")</f>
        <v/>
      </c>
      <c r="Q199" t="inlineStr">
        <is>
          <t>1338122958</t>
        </is>
      </c>
      <c r="R199" t="inlineStr">
        <is>
          <t>1341110021224</t>
        </is>
      </c>
      <c r="S199" t="inlineStr">
        <is>
          <t>대상아님</t>
        </is>
      </c>
      <c r="T199" t="inlineStr">
        <is>
          <t>일반법인</t>
        </is>
      </c>
      <c r="U199" t="inlineStr">
        <is>
          <t>중소기업</t>
        </is>
      </c>
      <c r="V199" t="inlineStr">
        <is>
          <t>외부감사대상</t>
        </is>
      </c>
      <c r="W199" s="6" t="inlineStr">
        <is>
          <t>1986-09-09</t>
        </is>
      </c>
      <c r="X199" t="inlineStr">
        <is>
          <t>KRI:10C2020200</t>
        </is>
      </c>
      <c r="Y199" t="inlineStr">
        <is>
          <t>합성수지 및 기타 플라스틱 물질 제조업</t>
        </is>
      </c>
      <c r="Z199" t="inlineStr">
        <is>
          <t>산업,가정용플라스틱일반성형용기,매스터배치 제조,통신판매</t>
        </is>
      </c>
      <c r="AA199" t="inlineStr">
        <is>
          <t>경기 시흥시 정왕동 1252-1번지</t>
        </is>
      </c>
      <c r="AB199" t="inlineStr">
        <is>
          <t>경기 시흥시 공단1대로 92</t>
        </is>
      </c>
    </row>
    <row r="200" ht="19.2" customHeight="1" s="1">
      <c r="A200" t="inlineStr">
        <is>
          <t>NICE:IQ1746</t>
        </is>
      </c>
      <c r="B200" t="inlineStr">
        <is>
          <t>농업회사법인나래</t>
        </is>
      </c>
      <c r="C200" s="5" t="n">
        <v>54286107000</v>
      </c>
      <c r="D200" s="5" t="n">
        <v>35153193000</v>
      </c>
      <c r="E200" s="5" t="n">
        <v>19132914000</v>
      </c>
      <c r="F200" s="5" t="n">
        <v>53270479000</v>
      </c>
      <c r="G200" s="5" t="n">
        <v>8825104000</v>
      </c>
      <c r="H200" s="5" t="n">
        <v>49416865000</v>
      </c>
      <c r="I200" s="5" t="n">
        <v>7872613000</v>
      </c>
      <c r="J200" s="4" t="n">
        <v>0.4283999800682068</v>
      </c>
      <c r="K200" s="4" t="n">
        <v>1.837299942970276</v>
      </c>
      <c r="L200" s="4" t="n">
        <v>0.1656999886035919</v>
      </c>
      <c r="M200" t="inlineStr">
        <is>
          <t>이수호</t>
        </is>
      </c>
      <c r="N200" t="inlineStr">
        <is>
          <t>043-857-6600</t>
        </is>
      </c>
      <c r="O200" t="inlineStr">
        <is>
          <t>043-857-6699</t>
        </is>
      </c>
      <c r="P200" s="3" t="n"/>
      <c r="Q200" t="inlineStr">
        <is>
          <t>2968600847</t>
        </is>
      </c>
      <c r="R200" t="inlineStr">
        <is>
          <t>1344110075837</t>
        </is>
      </c>
      <c r="S200" t="inlineStr">
        <is>
          <t>대상아님</t>
        </is>
      </c>
      <c r="T200" t="inlineStr">
        <is>
          <t>일반법인</t>
        </is>
      </c>
      <c r="U200" t="inlineStr">
        <is>
          <t>중소기업</t>
        </is>
      </c>
      <c r="V200" t="inlineStr">
        <is>
          <t>외부감사대상</t>
        </is>
      </c>
      <c r="W200" s="6" t="inlineStr">
        <is>
          <t>2017-05-10</t>
        </is>
      </c>
      <c r="X200" t="inlineStr">
        <is>
          <t>KRI:10A0123100</t>
        </is>
      </c>
      <c r="Y200" t="inlineStr">
        <is>
          <t>양계업</t>
        </is>
      </c>
      <c r="Z200" t="inlineStr">
        <is>
          <t>양계,가금류,조류 사육/동물용사료,조제식품 제조,축산물 가공(알)/사료 도소매</t>
        </is>
      </c>
      <c r="AA200" t="inlineStr">
        <is>
          <t>충북 충주시 대소원면 영평리 763번지</t>
        </is>
      </c>
      <c r="AB200" t="inlineStr">
        <is>
          <t>충북 충주시 대소원면 메가폴리스3로 115</t>
        </is>
      </c>
    </row>
    <row r="201" ht="19.2" customHeight="1" s="1">
      <c r="A201" t="inlineStr">
        <is>
          <t>NICE:JD2870</t>
        </is>
      </c>
      <c r="B201" t="inlineStr">
        <is>
          <t>부성에베레스트</t>
        </is>
      </c>
      <c r="C201" s="5" t="n">
        <v>40308011000</v>
      </c>
      <c r="D201" s="5" t="n">
        <v>8239335000</v>
      </c>
      <c r="E201" s="5" t="n">
        <v>32068676000</v>
      </c>
      <c r="F201" s="5" t="n">
        <v>35010806000</v>
      </c>
      <c r="G201" s="5" t="n">
        <v>4475156000</v>
      </c>
      <c r="H201" s="5" t="n">
        <v>37248558000</v>
      </c>
      <c r="I201" s="5" t="n">
        <v>3866592000</v>
      </c>
      <c r="J201" s="4" t="n">
        <v>4.602699756622314</v>
      </c>
      <c r="K201" s="4" t="n">
        <v>0.2569000124931335</v>
      </c>
      <c r="L201" s="4" t="n">
        <v>0.1277999877929688</v>
      </c>
      <c r="M201" t="inlineStr">
        <is>
          <t>이용만/이효연/이용복</t>
        </is>
      </c>
      <c r="N201" t="inlineStr">
        <is>
          <t>031-267-6000</t>
        </is>
      </c>
      <c r="O201" t="inlineStr">
        <is>
          <t>032-267-5977</t>
        </is>
      </c>
      <c r="P201" s="3">
        <f>HYPERLINK("http://www.busungrh.com", "http://www.busungrh.com")</f>
        <v/>
      </c>
      <c r="Q201" t="inlineStr">
        <is>
          <t>2078700994</t>
        </is>
      </c>
      <c r="R201" t="inlineStr">
        <is>
          <t>1201110940412</t>
        </is>
      </c>
      <c r="S201" t="inlineStr">
        <is>
          <t>대상아님</t>
        </is>
      </c>
      <c r="T201" t="inlineStr">
        <is>
          <t>일반법인</t>
        </is>
      </c>
      <c r="U201" t="inlineStr">
        <is>
          <t>중소기업</t>
        </is>
      </c>
      <c r="V201" t="inlineStr">
        <is>
          <t>외부감사대상</t>
        </is>
      </c>
      <c r="W201" s="6" t="inlineStr">
        <is>
          <t>2018-06-01</t>
        </is>
      </c>
      <c r="X201" t="inlineStr">
        <is>
          <t>KRI:10C2917100</t>
        </is>
      </c>
      <c r="Y201" t="inlineStr">
        <is>
          <t>산업용 냉장 및 냉동 장비 제조업</t>
        </is>
      </c>
      <c r="Z201" t="inlineStr">
        <is>
          <t>업소용냉동냉장고 제조,도소매</t>
        </is>
      </c>
      <c r="AA201" t="inlineStr">
        <is>
          <t>인천 남동구 고잔동 677-4번지</t>
        </is>
      </c>
      <c r="AB201" t="inlineStr">
        <is>
          <t>인천 남동구 남동대로155번길 55</t>
        </is>
      </c>
    </row>
    <row r="202" ht="19.2" customHeight="1" s="1">
      <c r="A202" t="inlineStr">
        <is>
          <t>NICE:H67540</t>
        </is>
      </c>
      <c r="B202" t="inlineStr">
        <is>
          <t>듀폰스페셜티솔루션스코리아</t>
        </is>
      </c>
      <c r="C202" s="5" t="n">
        <v>316981876000</v>
      </c>
      <c r="D202" s="5" t="n">
        <v>98300179000</v>
      </c>
      <c r="E202" s="5" t="n">
        <v>218681698000</v>
      </c>
      <c r="F202" s="5" t="n">
        <v>192569075000</v>
      </c>
      <c r="G202" s="5" t="n">
        <v>77237988000</v>
      </c>
      <c r="H202" s="5" t="n">
        <v>480029741000</v>
      </c>
      <c r="I202" s="5" t="n">
        <v>105951378000</v>
      </c>
      <c r="J202" s="4" t="n">
        <v>0.9204999804496765</v>
      </c>
      <c r="K202" s="4" t="n">
        <v>0.4494999945163727</v>
      </c>
      <c r="L202" s="4" t="n">
        <v>0.4011000096797943</v>
      </c>
      <c r="M202" t="inlineStr">
        <is>
          <t>양승관</t>
        </is>
      </c>
      <c r="N202" t="inlineStr">
        <is>
          <t>02-2222-5200</t>
        </is>
      </c>
      <c r="O202" t="inlineStr">
        <is>
          <t>02-2222-5489</t>
        </is>
      </c>
      <c r="P202" s="3">
        <f>HYPERLINK("http://www.dupont.co.kr", "http://www.dupont.co.kr")</f>
        <v/>
      </c>
      <c r="Q202" t="inlineStr">
        <is>
          <t>3128629073</t>
        </is>
      </c>
      <c r="R202" t="inlineStr">
        <is>
          <t>1615140002029</t>
        </is>
      </c>
      <c r="S202" t="inlineStr">
        <is>
          <t>대상아님</t>
        </is>
      </c>
      <c r="T202" t="inlineStr">
        <is>
          <t>일반법인</t>
        </is>
      </c>
      <c r="U202" t="inlineStr">
        <is>
          <t>중소기업</t>
        </is>
      </c>
      <c r="V202" t="inlineStr">
        <is>
          <t>외부감사대상</t>
        </is>
      </c>
      <c r="W202" s="6" t="inlineStr">
        <is>
          <t>2011-06-24</t>
        </is>
      </c>
      <c r="X202" t="inlineStr">
        <is>
          <t>KRI:10C2049100</t>
        </is>
      </c>
      <c r="Y202" t="inlineStr">
        <is>
          <t>감광재료 및 관련 화학제품 제조업</t>
        </is>
      </c>
      <c r="Z202" t="inlineStr">
        <is>
          <t>사진용화합물,감광재료 제조</t>
        </is>
      </c>
      <c r="AA202" t="inlineStr">
        <is>
          <t>충남 천안시 서북구 차암동 424번지</t>
        </is>
      </c>
      <c r="AB202" t="inlineStr">
        <is>
          <t>충남 천안시 서북구 3공단6로 110</t>
        </is>
      </c>
    </row>
    <row r="203" ht="19.2" customHeight="1" s="1">
      <c r="A203" t="inlineStr">
        <is>
          <t>NICE:C75814</t>
        </is>
      </c>
      <c r="B203" t="inlineStr">
        <is>
          <t>유림</t>
        </is>
      </c>
      <c r="C203" s="5" t="n">
        <v>29600891000</v>
      </c>
      <c r="D203" s="5" t="n">
        <v>20881602000</v>
      </c>
      <c r="E203" s="5" t="n">
        <v>8719289000</v>
      </c>
      <c r="F203" s="5" t="n">
        <v>41258441000</v>
      </c>
      <c r="G203" s="5" t="n">
        <v>4286621000</v>
      </c>
      <c r="H203" s="5" t="n">
        <v>33970593000</v>
      </c>
      <c r="I203" s="5" t="n">
        <v>2940498000</v>
      </c>
      <c r="J203" s="4" t="n">
        <v>0.8492999672889709</v>
      </c>
      <c r="K203" s="4" t="n">
        <v>2.39490008354187</v>
      </c>
      <c r="L203" s="4" t="n">
        <v>0.1039000004529953</v>
      </c>
      <c r="M203" t="inlineStr">
        <is>
          <t>고종원</t>
        </is>
      </c>
      <c r="N203" t="inlineStr">
        <is>
          <t>02-898-3326</t>
        </is>
      </c>
      <c r="O203" t="inlineStr">
        <is>
          <t>02-898-3387</t>
        </is>
      </c>
      <c r="P203" s="3" t="n"/>
      <c r="Q203" t="inlineStr">
        <is>
          <t>1408103565</t>
        </is>
      </c>
      <c r="R203" t="inlineStr">
        <is>
          <t>1349110029173</t>
        </is>
      </c>
      <c r="S203" t="inlineStr">
        <is>
          <t>대상아님</t>
        </is>
      </c>
      <c r="T203" t="inlineStr">
        <is>
          <t>일반법인</t>
        </is>
      </c>
      <c r="U203" t="inlineStr">
        <is>
          <t>중소기업</t>
        </is>
      </c>
      <c r="V203" t="inlineStr">
        <is>
          <t>외부감사대상</t>
        </is>
      </c>
      <c r="W203" s="6" t="inlineStr">
        <is>
          <t>2004-09-07</t>
        </is>
      </c>
      <c r="X203" t="inlineStr">
        <is>
          <t>KRI:10G4644100</t>
        </is>
      </c>
      <c r="Y203" t="inlineStr">
        <is>
          <t>의약품 도매업</t>
        </is>
      </c>
      <c r="Z203" t="inlineStr">
        <is>
          <t>의약품,의료용품 도소매</t>
        </is>
      </c>
      <c r="AA203" t="inlineStr">
        <is>
          <t>경기 광명시 일직동 510-1번지</t>
        </is>
      </c>
      <c r="AB203" t="inlineStr">
        <is>
          <t>경기 광명시 덕안로77번길 9</t>
        </is>
      </c>
    </row>
    <row r="204" ht="19.2" customHeight="1" s="1">
      <c r="A204" t="inlineStr">
        <is>
          <t>NICE:061254</t>
        </is>
      </c>
      <c r="B204" t="inlineStr">
        <is>
          <t>에어미디어</t>
        </is>
      </c>
      <c r="C204" s="5" t="n">
        <v>13968940000</v>
      </c>
      <c r="D204" s="5" t="n">
        <v>2174892000</v>
      </c>
      <c r="E204" s="5" t="n">
        <v>11794048000</v>
      </c>
      <c r="F204" s="5" t="n">
        <v>29296509000</v>
      </c>
      <c r="G204" s="5" t="n">
        <v>3907620000</v>
      </c>
      <c r="H204" s="5" t="n">
        <v>29953081000</v>
      </c>
      <c r="I204" s="5" t="n">
        <v>3412411000</v>
      </c>
      <c r="J204" s="4" t="n">
        <v>4.048599720001221</v>
      </c>
      <c r="K204" s="4" t="n">
        <v>0.1844000071287155</v>
      </c>
      <c r="L204" s="4" t="n">
        <v>0.1333999931812286</v>
      </c>
      <c r="M204" t="inlineStr">
        <is>
          <t>김승목</t>
        </is>
      </c>
      <c r="N204" t="inlineStr">
        <is>
          <t>02-3485-3022</t>
        </is>
      </c>
      <c r="O204" t="inlineStr">
        <is>
          <t>02-3482-3022</t>
        </is>
      </c>
      <c r="P204" s="3">
        <f>HYPERLINK("http://www.airmedia.co.kr", "http://www.airmedia.co.kr")</f>
        <v/>
      </c>
      <c r="Q204" t="inlineStr">
        <is>
          <t>1208166187</t>
        </is>
      </c>
      <c r="R204" t="inlineStr">
        <is>
          <t>1101111266900</t>
        </is>
      </c>
      <c r="S204" t="inlineStr">
        <is>
          <t>제3시장</t>
        </is>
      </c>
      <c r="T204" t="inlineStr">
        <is>
          <t>일반법인</t>
        </is>
      </c>
      <c r="U204" t="inlineStr">
        <is>
          <t>중소기업</t>
        </is>
      </c>
      <c r="V204" t="inlineStr">
        <is>
          <t>외부감사대상</t>
        </is>
      </c>
      <c r="W204" s="6" t="inlineStr">
        <is>
          <t>1996-05-01</t>
        </is>
      </c>
      <c r="X204" t="inlineStr">
        <is>
          <t>KRI:10J6122000</t>
        </is>
      </c>
      <c r="Y204" t="inlineStr">
        <is>
          <t>무선 및 위성 통신업</t>
        </is>
      </c>
      <c r="Z204" t="inlineStr">
        <is>
          <t>무선데이타통신,정보통신/부가통신단말기 도소매/부동산 임대/소프트웨어 개발,자문,판매</t>
        </is>
      </c>
      <c r="AA204" t="inlineStr">
        <is>
          <t>서울 성동구 성수동2가 284-55번지 서울숲에스케이브이1타워 1509호</t>
        </is>
      </c>
      <c r="AB204" t="inlineStr">
        <is>
          <t>서울 성동구 성수일로8길 5, 1509호 (성수동2가,서울숲에스케이브이1타워)</t>
        </is>
      </c>
    </row>
    <row r="205" ht="19.2" customHeight="1" s="1">
      <c r="A205" t="inlineStr">
        <is>
          <t>NICE:HW1788</t>
        </is>
      </c>
      <c r="B205" t="inlineStr">
        <is>
          <t>피에스인터네셔널</t>
        </is>
      </c>
      <c r="C205" s="5" t="n">
        <v>49160105000</v>
      </c>
      <c r="D205" s="5" t="n">
        <v>24697987000</v>
      </c>
      <c r="E205" s="5" t="n">
        <v>24462119000</v>
      </c>
      <c r="F205" s="5" t="n">
        <v>25620718000</v>
      </c>
      <c r="G205" s="5" t="n">
        <v>6097482000</v>
      </c>
      <c r="H205" s="5" t="n">
        <v>25018719000</v>
      </c>
      <c r="I205" s="5" t="n">
        <v>6802915000</v>
      </c>
      <c r="J205" s="4" t="n">
        <v>2.112599849700928</v>
      </c>
      <c r="K205" s="4" t="n">
        <v>1.009599924087524</v>
      </c>
      <c r="L205" s="4" t="n">
        <v>0.2379999905824661</v>
      </c>
      <c r="M205" t="inlineStr">
        <is>
          <t>박현선</t>
        </is>
      </c>
      <c r="N205" t="inlineStr">
        <is>
          <t>070-7715-2071</t>
        </is>
      </c>
      <c r="O205" t="inlineStr">
        <is>
          <t>02-541-9131</t>
        </is>
      </c>
      <c r="P205" s="3">
        <f>HYPERLINK("http://www.pinksecret.co.kr/", "http://www.pinksecret.co.kr/")</f>
        <v/>
      </c>
      <c r="Q205" t="inlineStr">
        <is>
          <t>6448800550</t>
        </is>
      </c>
      <c r="R205" t="inlineStr">
        <is>
          <t>1101116243581</t>
        </is>
      </c>
      <c r="S205" t="inlineStr">
        <is>
          <t>대상아님</t>
        </is>
      </c>
      <c r="T205" t="inlineStr">
        <is>
          <t>일반법인</t>
        </is>
      </c>
      <c r="U205" t="inlineStr">
        <is>
          <t>중소기업</t>
        </is>
      </c>
      <c r="V205" t="inlineStr">
        <is>
          <t>외부감사대상</t>
        </is>
      </c>
      <c r="W205" s="6" t="inlineStr">
        <is>
          <t>2016-11-28</t>
        </is>
      </c>
      <c r="X205" t="inlineStr">
        <is>
          <t>KRI:10G4791200</t>
        </is>
      </c>
      <c r="Y205" t="inlineStr">
        <is>
          <t>전자상거래 소매업</t>
        </is>
      </c>
      <c r="Z205" t="inlineStr">
        <is>
          <t>전자상거래(의류)</t>
        </is>
      </c>
      <c r="AA205" t="inlineStr">
        <is>
          <t>서울 강남구 논현동 78번지</t>
        </is>
      </c>
      <c r="AB205" t="inlineStr">
        <is>
          <t>서울 강남구 논현로140길 28</t>
        </is>
      </c>
    </row>
    <row r="206" ht="19.2" customHeight="1" s="1">
      <c r="A206" t="inlineStr">
        <is>
          <t>NICE:286591</t>
        </is>
      </c>
      <c r="B206" t="inlineStr">
        <is>
          <t>신성엔지니어링</t>
        </is>
      </c>
      <c r="C206" s="5" t="n">
        <v>47909781000</v>
      </c>
      <c r="D206" s="5" t="n">
        <v>10450367000</v>
      </c>
      <c r="E206" s="5" t="n">
        <v>37459414000</v>
      </c>
      <c r="F206" s="5" t="n">
        <v>63845213000</v>
      </c>
      <c r="G206" s="5" t="n">
        <v>8316268000</v>
      </c>
      <c r="H206" s="5" t="n">
        <v>57384273000</v>
      </c>
      <c r="I206" s="5" t="n">
        <v>6857877000</v>
      </c>
      <c r="J206" s="4" t="n">
        <v>2.135799884796143</v>
      </c>
      <c r="K206" s="4" t="n">
        <v>0.2789999842643738</v>
      </c>
      <c r="L206" s="4" t="n">
        <v>0.1303000003099442</v>
      </c>
      <c r="M206" t="inlineStr">
        <is>
          <t>정재규/정태섭</t>
        </is>
      </c>
      <c r="N206" t="inlineStr">
        <is>
          <t>02-3497-6134</t>
        </is>
      </c>
      <c r="O206" t="inlineStr">
        <is>
          <t>02-3497-6002</t>
        </is>
      </c>
      <c r="P206" s="3">
        <f>HYPERLINK("http://www.sseng.co.kr", "http://www.sseng.co.kr")</f>
        <v/>
      </c>
      <c r="Q206" t="inlineStr">
        <is>
          <t>1388100094</t>
        </is>
      </c>
      <c r="R206" t="inlineStr">
        <is>
          <t>1101110741622</t>
        </is>
      </c>
      <c r="S206" t="inlineStr">
        <is>
          <t>대상아님</t>
        </is>
      </c>
      <c r="T206" t="inlineStr">
        <is>
          <t>일반법인</t>
        </is>
      </c>
      <c r="U206" t="inlineStr">
        <is>
          <t>중소기업</t>
        </is>
      </c>
      <c r="V206" t="inlineStr">
        <is>
          <t>외부감사대상</t>
        </is>
      </c>
      <c r="W206" s="6" t="inlineStr">
        <is>
          <t>1991-01-09</t>
        </is>
      </c>
      <c r="X206" t="inlineStr">
        <is>
          <t>KRI:10M7212100</t>
        </is>
      </c>
      <c r="Y206" t="inlineStr">
        <is>
          <t>건물 및 토목 엔지니어링 서비스업</t>
        </is>
      </c>
      <c r="Z206" t="inlineStr">
        <is>
          <t>토목 엔지니어링,학술,연구용역,공공 측량/건축공사/부동산 매매,개발,건물신축판매</t>
        </is>
      </c>
      <c r="AA206" t="inlineStr">
        <is>
          <t>경기 안양시 동안구 관양동 911번지 1동 1004호</t>
        </is>
      </c>
      <c r="AB206" t="inlineStr">
        <is>
          <t>경기 안양시 동안구 흥안대로 457-27, 1동 1004호</t>
        </is>
      </c>
    </row>
    <row r="207" ht="19.2" customHeight="1" s="1">
      <c r="A207" t="inlineStr">
        <is>
          <t>NICE:999851</t>
        </is>
      </c>
      <c r="B207" t="inlineStr">
        <is>
          <t>나래식품</t>
        </is>
      </c>
      <c r="C207" s="5" t="n">
        <v>32810527000</v>
      </c>
      <c r="D207" s="5" t="n">
        <v>24254023000</v>
      </c>
      <c r="E207" s="5" t="n">
        <v>8556504000</v>
      </c>
      <c r="F207" s="5" t="n">
        <v>54690524000</v>
      </c>
      <c r="G207" s="5" t="n">
        <v>5690661000</v>
      </c>
      <c r="H207" s="5" t="n">
        <v>44718380000</v>
      </c>
      <c r="I207" s="5" t="n">
        <v>3121423000</v>
      </c>
      <c r="J207" s="4" t="n">
        <v>1.164100050926208</v>
      </c>
      <c r="K207" s="4" t="n">
        <v>2.834599733352661</v>
      </c>
      <c r="L207" s="4" t="n">
        <v>0.1040999963879585</v>
      </c>
      <c r="M207" t="inlineStr">
        <is>
          <t>박미경</t>
        </is>
      </c>
      <c r="N207" t="inlineStr">
        <is>
          <t>063-642-8907</t>
        </is>
      </c>
      <c r="O207" t="inlineStr">
        <is>
          <t>063-642-8909</t>
        </is>
      </c>
      <c r="P207" s="3">
        <f>HYPERLINK("http://www.naraefood.net", "http://www.naraefood.net")</f>
        <v/>
      </c>
      <c r="Q207" t="inlineStr">
        <is>
          <t>4078110111</t>
        </is>
      </c>
      <c r="R207" t="inlineStr">
        <is>
          <t>2144110001562</t>
        </is>
      </c>
      <c r="S207" t="inlineStr">
        <is>
          <t>대상아님</t>
        </is>
      </c>
      <c r="T207" t="inlineStr">
        <is>
          <t>일반법인</t>
        </is>
      </c>
      <c r="U207" t="inlineStr">
        <is>
          <t>중소기업</t>
        </is>
      </c>
      <c r="V207" t="inlineStr">
        <is>
          <t>외부감사대상</t>
        </is>
      </c>
      <c r="W207" s="6" t="inlineStr">
        <is>
          <t>2000-11-01</t>
        </is>
      </c>
      <c r="X207" t="inlineStr">
        <is>
          <t>KRI:10C1075900</t>
        </is>
      </c>
      <c r="Y207" t="inlineStr">
        <is>
          <t>기타 식사용 가공처리 조리식품 제조업</t>
        </is>
      </c>
      <c r="Z207" t="inlineStr">
        <is>
          <t>만두 제조,판매</t>
        </is>
      </c>
      <c r="AA207" t="inlineStr">
        <is>
          <t>전북 임실군 관촌면 병암리 125번지</t>
        </is>
      </c>
      <c r="AB207" t="inlineStr">
        <is>
          <t>전북 임실군 관촌면 춘향로 3270</t>
        </is>
      </c>
    </row>
    <row r="208" ht="19.2" customHeight="1" s="1">
      <c r="A208" t="inlineStr">
        <is>
          <t>NICE:C98919</t>
        </is>
      </c>
      <c r="B208" t="inlineStr">
        <is>
          <t>태진</t>
        </is>
      </c>
      <c r="C208" s="5" t="n">
        <v>21062992000</v>
      </c>
      <c r="D208" s="5" t="n">
        <v>8269041000</v>
      </c>
      <c r="E208" s="5" t="n">
        <v>12793951000</v>
      </c>
      <c r="F208" s="5" t="n">
        <v>22545398000</v>
      </c>
      <c r="G208" s="5" t="n">
        <v>3803184000</v>
      </c>
      <c r="H208" s="5" t="n">
        <v>20994212000</v>
      </c>
      <c r="I208" s="5" t="n">
        <v>2435878000</v>
      </c>
      <c r="J208" s="4" t="n">
        <v>2.70959997177124</v>
      </c>
      <c r="K208" s="4" t="n">
        <v>0.6462999582290649</v>
      </c>
      <c r="L208" s="4" t="n">
        <v>0.1687000095844269</v>
      </c>
      <c r="M208" t="inlineStr">
        <is>
          <t>여태곤</t>
        </is>
      </c>
      <c r="N208" t="inlineStr">
        <is>
          <t>061-464-0093</t>
        </is>
      </c>
      <c r="O208" t="inlineStr">
        <is>
          <t>061-464-0095</t>
        </is>
      </c>
      <c r="P208" s="3" t="n"/>
      <c r="Q208" t="inlineStr">
        <is>
          <t>4118144508</t>
        </is>
      </c>
      <c r="R208" t="inlineStr">
        <is>
          <t>2054110039184</t>
        </is>
      </c>
      <c r="S208" t="inlineStr">
        <is>
          <t>대상아님</t>
        </is>
      </c>
      <c r="T208" t="inlineStr">
        <is>
          <t>일반법인</t>
        </is>
      </c>
      <c r="U208" t="inlineStr">
        <is>
          <t>중소기업</t>
        </is>
      </c>
      <c r="V208" t="inlineStr">
        <is>
          <t>외부감사대상</t>
        </is>
      </c>
      <c r="W208" s="6" t="inlineStr">
        <is>
          <t>2006-05-17</t>
        </is>
      </c>
      <c r="X208" t="inlineStr">
        <is>
          <t>KRI:10C2594400</t>
        </is>
      </c>
      <c r="Y208" t="inlineStr">
        <is>
          <t>금속선 가공제품 제조업</t>
        </is>
      </c>
      <c r="Z208" t="inlineStr">
        <is>
          <t>선박제품</t>
        </is>
      </c>
      <c r="AA208" t="inlineStr">
        <is>
          <t>전남 영암군 삼호읍 나불리 339-19번지</t>
        </is>
      </c>
      <c r="AB208" t="inlineStr">
        <is>
          <t>전남 영암군 삼호읍 자유무역로 13</t>
        </is>
      </c>
    </row>
    <row r="209" ht="19.2" customHeight="1" s="1">
      <c r="A209" t="inlineStr">
        <is>
          <t>NICE:H94516</t>
        </is>
      </c>
      <c r="B209" t="inlineStr">
        <is>
          <t>메디안스</t>
        </is>
      </c>
      <c r="C209" s="5" t="n">
        <v>19559253000</v>
      </c>
      <c r="D209" s="5" t="n">
        <v>7472610000</v>
      </c>
      <c r="E209" s="5" t="n">
        <v>12086643000</v>
      </c>
      <c r="F209" s="5" t="n">
        <v>32765605000</v>
      </c>
      <c r="G209" s="5" t="n">
        <v>5207785000</v>
      </c>
      <c r="H209" s="5" t="n">
        <v>27978001000</v>
      </c>
      <c r="I209" s="5" t="n">
        <v>9750265000</v>
      </c>
      <c r="J209" s="4" t="n">
        <v>1.93339991569519</v>
      </c>
      <c r="K209" s="4" t="n">
        <v>0.6183000206947327</v>
      </c>
      <c r="L209" s="4" t="n">
        <v>0.1588999927043915</v>
      </c>
      <c r="M209" t="inlineStr">
        <is>
          <t>강문규</t>
        </is>
      </c>
      <c r="N209" t="inlineStr">
        <is>
          <t>070-4672-6816</t>
        </is>
      </c>
      <c r="O209" t="inlineStr">
        <is>
          <t>02-444-9820</t>
        </is>
      </c>
      <c r="P209" s="3">
        <f>HYPERLINK("http://www.histolab.co.kr", "http://www.histolab.co.kr")</f>
        <v/>
      </c>
      <c r="Q209" t="inlineStr">
        <is>
          <t>2098155853</t>
        </is>
      </c>
      <c r="R209" t="inlineStr">
        <is>
          <t>1101114817114</t>
        </is>
      </c>
      <c r="S209" t="inlineStr">
        <is>
          <t>대상아님</t>
        </is>
      </c>
      <c r="T209" t="inlineStr">
        <is>
          <t>일반법인</t>
        </is>
      </c>
      <c r="U209" t="inlineStr">
        <is>
          <t>중소기업</t>
        </is>
      </c>
      <c r="V209" t="inlineStr">
        <is>
          <t>외부감사대상</t>
        </is>
      </c>
      <c r="W209" s="6" t="inlineStr">
        <is>
          <t>2012-03-12</t>
        </is>
      </c>
      <c r="X209" t="inlineStr">
        <is>
          <t>KRI:10C2042300</t>
        </is>
      </c>
      <c r="Y209" t="inlineStr">
        <is>
          <t>화장품 제조업</t>
        </is>
      </c>
      <c r="Z209" t="inlineStr">
        <is>
          <t>화장품 제조,도소매/의료기기 도소매,수출입,통신 판매</t>
        </is>
      </c>
      <c r="AA209" t="inlineStr">
        <is>
          <t>서울 강동구 길동 335-5번지 케이티앤드지빌딩 3층, 5층</t>
        </is>
      </c>
      <c r="AB209" t="inlineStr">
        <is>
          <t>서울 강동구 양재대로 1544, 3층, 5층 (길동,케이티앤드지빌딩)</t>
        </is>
      </c>
    </row>
    <row r="210" ht="19.2" customHeight="1" s="1">
      <c r="A210" t="inlineStr">
        <is>
          <t>NICE:JH4162</t>
        </is>
      </c>
      <c r="B210" t="inlineStr">
        <is>
          <t>한스케어</t>
        </is>
      </c>
      <c r="C210" s="5" t="n">
        <v>19338861000</v>
      </c>
      <c r="D210" s="5" t="n">
        <v>13183820000</v>
      </c>
      <c r="E210" s="5" t="n">
        <v>6155041000</v>
      </c>
      <c r="F210" s="5" t="n">
        <v>33767229000</v>
      </c>
      <c r="G210" s="5" t="n">
        <v>4469515000</v>
      </c>
      <c r="H210" s="5" t="n">
        <v>21918622000</v>
      </c>
      <c r="I210" s="5" t="n">
        <v>1615044000</v>
      </c>
      <c r="J210" s="4" t="n">
        <v>1.431900024414062</v>
      </c>
      <c r="K210" s="4" t="n">
        <v>2.141999959945679</v>
      </c>
      <c r="L210" s="4" t="n">
        <v>0.1323999911546707</v>
      </c>
      <c r="M210" t="inlineStr">
        <is>
          <t>김경환</t>
        </is>
      </c>
      <c r="N210" t="inlineStr">
        <is>
          <t>02-6959-9740</t>
        </is>
      </c>
      <c r="O210" t="inlineStr">
        <is>
          <t>02-6959-9783</t>
        </is>
      </c>
      <c r="P210" s="3">
        <f>HYPERLINK("http://www.hanscare.co.kr", "http://www.hanscare.co.kr")</f>
        <v/>
      </c>
      <c r="Q210" t="inlineStr">
        <is>
          <t>4458601069</t>
        </is>
      </c>
      <c r="R210" t="inlineStr">
        <is>
          <t>1101116887785</t>
        </is>
      </c>
      <c r="S210" t="inlineStr">
        <is>
          <t>대상아님</t>
        </is>
      </c>
      <c r="T210" t="inlineStr">
        <is>
          <t>일반법인</t>
        </is>
      </c>
      <c r="U210" t="inlineStr">
        <is>
          <t>중소기업</t>
        </is>
      </c>
      <c r="V210" t="inlineStr">
        <is>
          <t>외부감사대상</t>
        </is>
      </c>
      <c r="W210" s="6" t="inlineStr">
        <is>
          <t>2018-10-05</t>
        </is>
      </c>
      <c r="X210" t="inlineStr">
        <is>
          <t>KRI:10G4659200</t>
        </is>
      </c>
      <c r="Y210" t="inlineStr">
        <is>
          <t>의료기기 도매업</t>
        </is>
      </c>
      <c r="Z210" t="inlineStr">
        <is>
          <t>의료기기 도소매</t>
        </is>
      </c>
      <c r="AA210" t="inlineStr">
        <is>
          <t>서울 송파구 문정동 640-3번지 한스빌딩 비101-4호, 비101-5호, 비101-6호, 비103-1호, 비401-1호, 1001-2호, 1003호</t>
        </is>
      </c>
      <c r="AB210" t="inlineStr">
        <is>
          <t>서울 송파구 정의로8길 7, 비101-4호, 비101-5호, 비101-6호, 비103-1호, 비401-1호, 1001-2호, 1003호 (문정동,한스빌딩)</t>
        </is>
      </c>
    </row>
    <row r="211" ht="19.2" customHeight="1" s="1">
      <c r="A211" t="inlineStr">
        <is>
          <t>NICE:H63339</t>
        </is>
      </c>
      <c r="B211" t="inlineStr">
        <is>
          <t>블리스오가</t>
        </is>
      </c>
      <c r="C211" s="5" t="n">
        <v>19218158000</v>
      </c>
      <c r="D211" s="5" t="n">
        <v>9717170000</v>
      </c>
      <c r="E211" s="5" t="n">
        <v>9500988000</v>
      </c>
      <c r="F211" s="5" t="n">
        <v>59966094000</v>
      </c>
      <c r="G211" s="5" t="n">
        <v>6420534000</v>
      </c>
      <c r="H211" s="5" t="n">
        <v>37479867000</v>
      </c>
      <c r="I211" s="5" t="n">
        <v>1513489000</v>
      </c>
      <c r="J211" s="4" t="n">
        <v>2.091000080108643</v>
      </c>
      <c r="K211" s="4" t="n">
        <v>1.022799968719482</v>
      </c>
      <c r="L211" s="4" t="n">
        <v>0.1070999950170517</v>
      </c>
      <c r="M211" t="inlineStr">
        <is>
          <t>김상현/조남웅</t>
        </is>
      </c>
      <c r="N211" t="inlineStr">
        <is>
          <t>070-8236-1388</t>
        </is>
      </c>
      <c r="O211" t="inlineStr">
        <is>
          <t>070-8236-1355</t>
        </is>
      </c>
      <c r="P211" s="3">
        <f>HYPERLINK("http://www.bliss-oga.com", "http://www.bliss-oga.com")</f>
        <v/>
      </c>
      <c r="Q211" t="inlineStr">
        <is>
          <t>1138649579</t>
        </is>
      </c>
      <c r="R211" t="inlineStr">
        <is>
          <t>1101114619627</t>
        </is>
      </c>
      <c r="S211" t="inlineStr">
        <is>
          <t>대상아님</t>
        </is>
      </c>
      <c r="T211" t="inlineStr">
        <is>
          <t>일반법인</t>
        </is>
      </c>
      <c r="U211" t="inlineStr">
        <is>
          <t>중소기업</t>
        </is>
      </c>
      <c r="V211" t="inlineStr">
        <is>
          <t>외부감사대상</t>
        </is>
      </c>
      <c r="W211" s="6" t="inlineStr">
        <is>
          <t>2011-06-08</t>
        </is>
      </c>
      <c r="X211" t="inlineStr">
        <is>
          <t>KRI:10G4644300</t>
        </is>
      </c>
      <c r="Y211" t="inlineStr">
        <is>
          <t>화장품 및 화장용품 도매업</t>
        </is>
      </c>
      <c r="Z211" t="inlineStr">
        <is>
          <t>화장품,건강기능식품(인삼,홍삼),생활용품,식품 도소매</t>
        </is>
      </c>
      <c r="AA211" t="inlineStr">
        <is>
          <t>서울 송파구 방이동 108번지 웅산빌딩 7층, 8층</t>
        </is>
      </c>
      <c r="AB211" t="inlineStr">
        <is>
          <t>서울 송파구 백제고분로 463, 7층, 8층 (방이동,웅산빌딩)</t>
        </is>
      </c>
    </row>
    <row r="212" ht="19.2" customHeight="1" s="1">
      <c r="A212" t="inlineStr">
        <is>
          <t>NICE:PK0853</t>
        </is>
      </c>
      <c r="B212" t="inlineStr">
        <is>
          <t>비즈테크온</t>
        </is>
      </c>
      <c r="C212" s="5" t="n">
        <v>15880473000</v>
      </c>
      <c r="D212" s="5" t="n">
        <v>6233630000</v>
      </c>
      <c r="E212" s="5" t="n">
        <v>9646843000</v>
      </c>
      <c r="F212" s="5" t="n">
        <v>31519924000</v>
      </c>
      <c r="G212" s="5" t="n">
        <v>4432892000</v>
      </c>
      <c r="H212" s="5" t="n">
        <v>29737092000</v>
      </c>
      <c r="I212" s="5" t="n">
        <v>1814626000</v>
      </c>
      <c r="J212" s="4" t="n">
        <v>2.40910005569458</v>
      </c>
      <c r="K212" s="4" t="n">
        <v>0.6462000012397766</v>
      </c>
      <c r="L212" s="4" t="n">
        <v>0.1405999958515167</v>
      </c>
      <c r="M212" t="inlineStr">
        <is>
          <t>송정훈</t>
        </is>
      </c>
      <c r="N212" t="inlineStr">
        <is>
          <t>02-2033-5802</t>
        </is>
      </c>
      <c r="O212" t="inlineStr">
        <is>
          <t>02-2033-1442</t>
        </is>
      </c>
      <c r="P212" s="3">
        <f>HYPERLINK("http://www.biztechon.com", "http://www.biztechon.com")</f>
        <v/>
      </c>
      <c r="Q212" t="inlineStr">
        <is>
          <t>4408102530</t>
        </is>
      </c>
      <c r="R212" t="inlineStr">
        <is>
          <t>1101118355178</t>
        </is>
      </c>
      <c r="S212" t="inlineStr">
        <is>
          <t>대상아님</t>
        </is>
      </c>
      <c r="T212" t="inlineStr">
        <is>
          <t>일반법인</t>
        </is>
      </c>
      <c r="U212" t="inlineStr">
        <is>
          <t>대기업</t>
        </is>
      </c>
      <c r="V212" t="inlineStr">
        <is>
          <t>외부감사대상</t>
        </is>
      </c>
      <c r="W212" s="6" t="inlineStr">
        <is>
          <t>2022-07-05</t>
        </is>
      </c>
      <c r="X212" t="inlineStr">
        <is>
          <t>KRI:10P8570900</t>
        </is>
      </c>
      <c r="Y212" t="inlineStr">
        <is>
          <t>기타 교육지원 서비스업</t>
        </is>
      </c>
      <c r="Z212" t="inlineStr">
        <is>
          <t>인사(HR) 컨설팅</t>
        </is>
      </c>
      <c r="AA212" t="inlineStr">
        <is>
          <t>서울 강서구 마곡동 776-6번지 8층</t>
        </is>
      </c>
      <c r="AB212" t="inlineStr">
        <is>
          <t>서울 강서구 강서로 463, 8층</t>
        </is>
      </c>
    </row>
    <row r="213" ht="19.2" customHeight="1" s="1">
      <c r="A213" t="inlineStr">
        <is>
          <t>NICE:472295</t>
        </is>
      </c>
      <c r="B213" t="inlineStr">
        <is>
          <t>엔스</t>
        </is>
      </c>
      <c r="C213" s="5" t="n">
        <v>31589678000</v>
      </c>
      <c r="D213" s="5" t="n">
        <v>19567172000</v>
      </c>
      <c r="E213" s="5" t="n">
        <v>12022506000</v>
      </c>
      <c r="F213" s="5" t="n">
        <v>23503359000</v>
      </c>
      <c r="G213" s="5" t="n">
        <v>4570151000</v>
      </c>
      <c r="H213" s="5" t="n">
        <v>16444482000</v>
      </c>
      <c r="I213" s="5" t="n">
        <v>2179713000</v>
      </c>
      <c r="J213" s="4" t="n">
        <v>1.860000014305115</v>
      </c>
      <c r="K213" s="4" t="n">
        <v>1.627499938011169</v>
      </c>
      <c r="L213" s="4" t="n">
        <v>0.1943999975919724</v>
      </c>
      <c r="M213" t="inlineStr">
        <is>
          <t>권순일</t>
        </is>
      </c>
      <c r="N213" t="inlineStr">
        <is>
          <t>032-816-3053</t>
        </is>
      </c>
      <c r="O213" t="inlineStr">
        <is>
          <t>032-816-5053</t>
        </is>
      </c>
      <c r="P213" s="3">
        <f>HYPERLINK("http://www.enth.co.kr", "http://www.enth.co.kr")</f>
        <v/>
      </c>
      <c r="Q213" t="inlineStr">
        <is>
          <t>1318188269</t>
        </is>
      </c>
      <c r="R213" t="inlineStr">
        <is>
          <t>1201110359605</t>
        </is>
      </c>
      <c r="S213" t="inlineStr">
        <is>
          <t>대상아님</t>
        </is>
      </c>
      <c r="T213" t="inlineStr">
        <is>
          <t>일반법인</t>
        </is>
      </c>
      <c r="U213" t="inlineStr">
        <is>
          <t>중소기업</t>
        </is>
      </c>
      <c r="V213" t="inlineStr">
        <is>
          <t>외부감사대상</t>
        </is>
      </c>
      <c r="W213" s="6" t="inlineStr">
        <is>
          <t>2004-11-24</t>
        </is>
      </c>
      <c r="X213" t="inlineStr">
        <is>
          <t>KRI:10C2042300</t>
        </is>
      </c>
      <c r="Y213" t="inlineStr">
        <is>
          <t>화장품 제조업</t>
        </is>
      </c>
      <c r="Z213" t="inlineStr">
        <is>
          <t>화장품 제조</t>
        </is>
      </c>
      <c r="AA213" t="inlineStr">
        <is>
          <t>인천 남동구 남촌동 624-6번지</t>
        </is>
      </c>
      <c r="AB213" t="inlineStr">
        <is>
          <t>인천 남동구 함박뫼로 355</t>
        </is>
      </c>
    </row>
    <row r="214" ht="19.2" customHeight="1" s="1">
      <c r="A214" t="inlineStr">
        <is>
          <t>NICE:742856</t>
        </is>
      </c>
      <c r="B214" t="inlineStr">
        <is>
          <t>에이비이씨산업</t>
        </is>
      </c>
      <c r="C214" s="5" t="n">
        <v>50502240000</v>
      </c>
      <c r="D214" s="5" t="n">
        <v>7825451000</v>
      </c>
      <c r="E214" s="5" t="n">
        <v>42676789000</v>
      </c>
      <c r="F214" s="5" t="n">
        <v>52968788000</v>
      </c>
      <c r="G214" s="5" t="n">
        <v>5539398000</v>
      </c>
      <c r="H214" s="5" t="n">
        <v>36587315000</v>
      </c>
      <c r="I214" s="5" t="n">
        <v>3356508000</v>
      </c>
      <c r="J214" s="4" t="n">
        <v>2.962300062179565</v>
      </c>
      <c r="K214" s="4" t="n">
        <v>0.1833999902009964</v>
      </c>
      <c r="L214" s="4" t="n">
        <v>0.1045999974012375</v>
      </c>
      <c r="M214" t="inlineStr">
        <is>
          <t>최동혁/최무길</t>
        </is>
      </c>
      <c r="N214" t="inlineStr">
        <is>
          <t>052-255-9000</t>
        </is>
      </c>
      <c r="O214" t="inlineStr">
        <is>
          <t>052-255-9090</t>
        </is>
      </c>
      <c r="P214" s="3">
        <f>HYPERLINK("http://www.abcindustries.co.kr", "http://www.abcindustries.co.kr")</f>
        <v/>
      </c>
      <c r="Q214" t="inlineStr">
        <is>
          <t>6018114515</t>
        </is>
      </c>
      <c r="R214" t="inlineStr">
        <is>
          <t>1801110057538</t>
        </is>
      </c>
      <c r="S214" t="inlineStr">
        <is>
          <t>대상아님</t>
        </is>
      </c>
      <c r="T214" t="inlineStr">
        <is>
          <t>일반법인</t>
        </is>
      </c>
      <c r="U214" t="inlineStr">
        <is>
          <t>중소기업</t>
        </is>
      </c>
      <c r="V214" t="inlineStr">
        <is>
          <t>외부감사대상</t>
        </is>
      </c>
      <c r="W214" s="6" t="inlineStr">
        <is>
          <t>1985-07-02</t>
        </is>
      </c>
      <c r="X214" t="inlineStr">
        <is>
          <t>KRI:10G4673900</t>
        </is>
      </c>
      <c r="Y214" t="inlineStr">
        <is>
          <t>기타 화학물질 및 화학제품 도매업</t>
        </is>
      </c>
      <c r="Z214" t="inlineStr">
        <is>
          <t>화학물질,화학제품,주물용점결제(화학제품),주물부자재 도소매,수출입/산업용냉장,냉동장비 제조/부동산 임대</t>
        </is>
      </c>
      <c r="AA214" t="inlineStr">
        <is>
          <t>울산 울주군 언양읍 반천리 1023-70번지</t>
        </is>
      </c>
      <c r="AB214" t="inlineStr">
        <is>
          <t>울산 울주군 언양읍 반천강변길 123</t>
        </is>
      </c>
    </row>
    <row r="215" s="1">
      <c r="A215" t="inlineStr">
        <is>
          <t>NICE:214050</t>
        </is>
      </c>
      <c r="B215" t="inlineStr">
        <is>
          <t>미광글로벌</t>
        </is>
      </c>
      <c r="C215" s="5" t="n">
        <v>42285686000</v>
      </c>
      <c r="D215" s="5" t="n">
        <v>28887630000</v>
      </c>
      <c r="E215" s="5" t="n">
        <v>13398056000</v>
      </c>
      <c r="F215" s="5" t="n">
        <v>27928702000</v>
      </c>
      <c r="G215" s="5" t="n">
        <v>3562298000</v>
      </c>
      <c r="H215" s="5" t="n">
        <v>13441344000</v>
      </c>
      <c r="I215" s="5" t="n">
        <v>2750139000</v>
      </c>
      <c r="J215" s="4" t="n">
        <v>1.663099884986877</v>
      </c>
      <c r="K215" s="4" t="n">
        <v>2.156100034713745</v>
      </c>
      <c r="L215" s="4" t="n">
        <v>0.1274999976158142</v>
      </c>
      <c r="M215" t="inlineStr">
        <is>
          <t>이유현/이희화</t>
        </is>
      </c>
      <c r="N215" t="inlineStr">
        <is>
          <t>053-593-9990</t>
        </is>
      </c>
      <c r="O215" t="inlineStr">
        <is>
          <t>053-593-9998</t>
        </is>
      </c>
      <c r="P215">
        <f>HYPERLINK("http://www.migwangspolex.co.kr", "http://www.migwangspolex.co.kr")</f>
        <v/>
      </c>
      <c r="Q215" t="inlineStr">
        <is>
          <t>5038153835</t>
        </is>
      </c>
      <c r="R215" t="inlineStr">
        <is>
          <t>1701110214255</t>
        </is>
      </c>
      <c r="S215" t="inlineStr">
        <is>
          <t>대상아님</t>
        </is>
      </c>
      <c r="T215" t="inlineStr">
        <is>
          <t>일반법인</t>
        </is>
      </c>
      <c r="U215" t="inlineStr">
        <is>
          <t>중소기업</t>
        </is>
      </c>
      <c r="V215" t="inlineStr">
        <is>
          <t>외부감사대상</t>
        </is>
      </c>
      <c r="W215" s="6" t="inlineStr">
        <is>
          <t>2002-01-15</t>
        </is>
      </c>
      <c r="X215" t="inlineStr">
        <is>
          <t>KRI:10R9113200</t>
        </is>
      </c>
      <c r="Y215" t="inlineStr">
        <is>
          <t>체력단련시설 운영업</t>
        </is>
      </c>
      <c r="Z215" t="inlineStr">
        <is>
          <t>체육시설(헬스,사우나,스쿼시),골프연습장 운영/부동산 임대/프렌차이즈</t>
        </is>
      </c>
      <c r="AA215" t="inlineStr">
        <is>
          <t>대구 달서구 이곡동 1250-14번지</t>
        </is>
      </c>
      <c r="AB215" t="inlineStr">
        <is>
          <t>대구 달서구 이곡동로 55</t>
        </is>
      </c>
    </row>
    <row r="216" s="1">
      <c r="A216" t="inlineStr">
        <is>
          <t>NICE:H41893</t>
        </is>
      </c>
      <c r="B216" t="inlineStr">
        <is>
          <t>지씨에스</t>
        </is>
      </c>
      <c r="C216" s="5" t="n">
        <v>34629713000</v>
      </c>
      <c r="D216" s="5" t="n">
        <v>13411211000</v>
      </c>
      <c r="E216" s="5" t="n">
        <v>21218502000</v>
      </c>
      <c r="F216" s="5" t="n">
        <v>38434457000</v>
      </c>
      <c r="G216" s="5" t="n">
        <v>10792836000</v>
      </c>
      <c r="H216" s="5" t="n">
        <v>31199096000</v>
      </c>
      <c r="I216" s="5" t="n">
        <v>2142746000</v>
      </c>
      <c r="J216" s="4" t="n">
        <v>2.979599952697754</v>
      </c>
      <c r="K216" s="4" t="n">
        <v>0.632099986076355</v>
      </c>
      <c r="L216" s="4" t="n">
        <v>0.2807999849319458</v>
      </c>
      <c r="M216" t="inlineStr">
        <is>
          <t>김창식</t>
        </is>
      </c>
      <c r="N216" t="inlineStr">
        <is>
          <t>031-698-2762</t>
        </is>
      </c>
      <c r="O216" t="inlineStr">
        <is>
          <t>031-698-2763</t>
        </is>
      </c>
      <c r="P216">
        <f>HYPERLINK("http://www.gcsbio.com", "http://www.gcsbio.com")</f>
        <v/>
      </c>
      <c r="Q216" t="inlineStr">
        <is>
          <t>1058754103</t>
        </is>
      </c>
      <c r="R216" t="inlineStr">
        <is>
          <t>1101114536665</t>
        </is>
      </c>
      <c r="S216" t="inlineStr">
        <is>
          <t>대상아님</t>
        </is>
      </c>
      <c r="T216" t="inlineStr">
        <is>
          <t>일반법인</t>
        </is>
      </c>
      <c r="U216" t="inlineStr">
        <is>
          <t>중소기업</t>
        </is>
      </c>
      <c r="V216" t="inlineStr">
        <is>
          <t>외부감사대상</t>
        </is>
      </c>
      <c r="W216" s="6" t="inlineStr">
        <is>
          <t>2011-02-17</t>
        </is>
      </c>
      <c r="X216" t="inlineStr">
        <is>
          <t>KRI:10C2719900</t>
        </is>
      </c>
      <c r="Y216" t="inlineStr">
        <is>
          <t>그 외 기타 의료용 기기 제조업</t>
        </is>
      </c>
      <c r="Z216" t="inlineStr">
        <is>
          <t>의료기기 제조/화장품,의료기기 도소매,무역/부동산 임대/경영컨설팅</t>
        </is>
      </c>
      <c r="AA216" t="inlineStr">
        <is>
          <t>경기 성남시 중원구 상대원동 223-27번지 제3층 제에프 301호,302호,303호,304호,305호,306호,307호,308</t>
        </is>
      </c>
      <c r="AB216" t="inlineStr">
        <is>
          <t>경기 성남시 중원구 사기막골로62번길 33, 제3층 제에프 301호,302호,303호,304호,305호,306호,307호,308</t>
        </is>
      </c>
    </row>
    <row r="217" ht="19.2" customHeight="1" s="1">
      <c r="A217" t="inlineStr">
        <is>
          <t>NICE:695645</t>
        </is>
      </c>
      <c r="B217" t="inlineStr">
        <is>
          <t>삼경프라자</t>
        </is>
      </c>
      <c r="C217" s="5" t="n">
        <v>53932788000</v>
      </c>
      <c r="D217" s="5" t="n">
        <v>28934401000</v>
      </c>
      <c r="E217" s="5" t="n">
        <v>24998387000</v>
      </c>
      <c r="F217" s="5" t="n">
        <v>99578891000</v>
      </c>
      <c r="G217" s="5" t="n">
        <v>12545885000</v>
      </c>
      <c r="H217" s="5" t="n">
        <v>59828224000</v>
      </c>
      <c r="I217" s="5" t="n">
        <v>10031245000</v>
      </c>
      <c r="J217" s="4" t="n">
        <v>1.840499997138977</v>
      </c>
      <c r="K217" s="4" t="n">
        <v>1.157500028610229</v>
      </c>
      <c r="L217" s="4" t="n">
        <v>0.1260000020265579</v>
      </c>
      <c r="M217" t="inlineStr">
        <is>
          <t>김영현</t>
        </is>
      </c>
      <c r="N217" t="inlineStr">
        <is>
          <t>031-761-1114</t>
        </is>
      </c>
      <c r="O217" t="inlineStr">
        <is>
          <t>031-761-1113</t>
        </is>
      </c>
      <c r="P217" s="3">
        <f>HYPERLINK("http://www.samkyung.com", "http://www.samkyung.com")</f>
        <v/>
      </c>
      <c r="Q217" t="inlineStr">
        <is>
          <t>2138142717</t>
        </is>
      </c>
      <c r="R217" t="inlineStr">
        <is>
          <t>1101110656350</t>
        </is>
      </c>
      <c r="S217" t="inlineStr">
        <is>
          <t>대상아님</t>
        </is>
      </c>
      <c r="T217" t="inlineStr">
        <is>
          <t>일반법인</t>
        </is>
      </c>
      <c r="U217" t="inlineStr">
        <is>
          <t>중소기업</t>
        </is>
      </c>
      <c r="V217" t="inlineStr">
        <is>
          <t>외부감사대상</t>
        </is>
      </c>
      <c r="W217" s="6" t="inlineStr">
        <is>
          <t>1989-10-30</t>
        </is>
      </c>
      <c r="X217" t="inlineStr">
        <is>
          <t>KRI:10G4680000</t>
        </is>
      </c>
      <c r="Y217" t="inlineStr">
        <is>
          <t>상품 종합 도매업</t>
        </is>
      </c>
      <c r="Z217" t="inlineStr">
        <is>
          <t>수출입업및대행，식품잡화</t>
        </is>
      </c>
      <c r="AA217" t="inlineStr">
        <is>
          <t>경기 광주시 곤지암읍 신촌리 8-1번지</t>
        </is>
      </c>
      <c r="AB217" t="inlineStr">
        <is>
          <t>경기 광주시 곤지암읍 새재길 78</t>
        </is>
      </c>
    </row>
    <row r="218" ht="19.2" customHeight="1" s="1">
      <c r="A218" t="inlineStr">
        <is>
          <t>NICE:PR7758</t>
        </is>
      </c>
      <c r="B218" t="inlineStr">
        <is>
          <t>지엠디소프트</t>
        </is>
      </c>
      <c r="C218" s="5" t="n">
        <v>35572684000</v>
      </c>
      <c r="D218" s="5" t="n">
        <v>11870571000</v>
      </c>
      <c r="E218" s="5" t="n">
        <v>23702112000</v>
      </c>
      <c r="F218" s="5" t="n">
        <v>20389517000</v>
      </c>
      <c r="G218" s="5" t="n">
        <v>4715504000</v>
      </c>
      <c r="H218" s="5" t="n">
        <v>20320715000</v>
      </c>
      <c r="I218" s="5" t="n">
        <v>6485555000</v>
      </c>
      <c r="J218" s="4" t="n">
        <v>2.80079984664917</v>
      </c>
      <c r="K218" s="4" t="n">
        <v>0.5008000135421753</v>
      </c>
      <c r="L218" s="4" t="n">
        <v>0.2312999814748764</v>
      </c>
      <c r="M218" t="inlineStr">
        <is>
          <t>김현수</t>
        </is>
      </c>
      <c r="N218" t="inlineStr">
        <is>
          <t>031-778-3514</t>
        </is>
      </c>
      <c r="O218" t="inlineStr">
        <is>
          <t>031-778-3509</t>
        </is>
      </c>
      <c r="P218" s="3">
        <f>HYPERLINK("http://www.gmdsoft.com", "http://www.gmdsoft.com")</f>
        <v/>
      </c>
      <c r="Q218" t="inlineStr">
        <is>
          <t>5998702703</t>
        </is>
      </c>
      <c r="R218" t="inlineStr">
        <is>
          <t>1311110693159</t>
        </is>
      </c>
      <c r="S218" t="inlineStr">
        <is>
          <t>대상아님</t>
        </is>
      </c>
      <c r="T218" t="inlineStr">
        <is>
          <t>일반법인</t>
        </is>
      </c>
      <c r="U218" t="inlineStr">
        <is>
          <t>중소기업</t>
        </is>
      </c>
      <c r="V218" t="inlineStr">
        <is>
          <t>외부감사대상</t>
        </is>
      </c>
      <c r="W218" s="6" t="inlineStr">
        <is>
          <t>2023-01-10</t>
        </is>
      </c>
      <c r="X218" t="inlineStr">
        <is>
          <t>KRI:10J5822200</t>
        </is>
      </c>
      <c r="Y218" t="inlineStr">
        <is>
          <t>응용 소프트웨어 개발 및 공급업</t>
        </is>
      </c>
      <c r="Z218" t="inlineStr">
        <is>
          <t>응용소프트웨어 개발,공급/일반통신공사/컴퓨터,주변장치,소프트웨어 도소매,전자상거래/부동산 임대</t>
        </is>
      </c>
      <c r="AA218" t="inlineStr">
        <is>
          <t>경기 성남시 분당구 삼평동 681번지 에이치스퀘어 N동 2층</t>
        </is>
      </c>
      <c r="AB218" t="inlineStr">
        <is>
          <t>경기 성남시 분당구 판교역로 235, N동 2층 (삼평동,에이치스퀘어)</t>
        </is>
      </c>
    </row>
    <row r="219" s="1">
      <c r="A219" t="inlineStr">
        <is>
          <t>NICE:786151</t>
        </is>
      </c>
      <c r="B219" t="inlineStr">
        <is>
          <t>유선인터내셔날</t>
        </is>
      </c>
      <c r="C219" s="5" t="n">
        <v>19162160000</v>
      </c>
      <c r="D219" s="5" t="n">
        <v>5700160000</v>
      </c>
      <c r="E219" s="5" t="n">
        <v>13462000000</v>
      </c>
      <c r="F219" s="5" t="n">
        <v>30880574000</v>
      </c>
      <c r="G219" s="5" t="n">
        <v>4646817000</v>
      </c>
      <c r="H219" s="5" t="n">
        <v>33929961000</v>
      </c>
      <c r="I219" s="5" t="n">
        <v>5393615000</v>
      </c>
      <c r="J219" s="4" t="n">
        <v>2.355599880218506</v>
      </c>
      <c r="K219" s="4" t="n">
        <v>0.4233999848365784</v>
      </c>
      <c r="L219" s="4" t="n">
        <v>0.1504999995231628</v>
      </c>
      <c r="M219" t="inlineStr">
        <is>
          <t>권현정</t>
        </is>
      </c>
      <c r="N219" t="inlineStr">
        <is>
          <t>02-3288-1559</t>
        </is>
      </c>
      <c r="O219" t="inlineStr">
        <is>
          <t>02-565-1559</t>
        </is>
      </c>
      <c r="P219">
        <f>HYPERLINK("http://www.yousun.co.kr", "http://www.yousun.co.kr")</f>
        <v/>
      </c>
      <c r="Q219" t="inlineStr">
        <is>
          <t>2208692205</t>
        </is>
      </c>
      <c r="R219" t="inlineStr">
        <is>
          <t>1101113088386</t>
        </is>
      </c>
      <c r="S219" t="inlineStr">
        <is>
          <t>대상아님</t>
        </is>
      </c>
      <c r="T219" t="inlineStr">
        <is>
          <t>일반법인</t>
        </is>
      </c>
      <c r="U219" t="inlineStr">
        <is>
          <t>중소기업</t>
        </is>
      </c>
      <c r="V219" t="inlineStr">
        <is>
          <t>외부감사대상</t>
        </is>
      </c>
      <c r="W219" s="6" t="inlineStr">
        <is>
          <t>2004-09-21</t>
        </is>
      </c>
      <c r="X219" t="inlineStr">
        <is>
          <t>KRI:10G4659900</t>
        </is>
      </c>
      <c r="Y219" t="inlineStr">
        <is>
          <t>그 외 기타 기계 및 장비 도매업</t>
        </is>
      </c>
      <c r="Z219" t="inlineStr">
        <is>
          <t>기계,장비 도소매/밸브,유사장치 제조</t>
        </is>
      </c>
      <c r="AA219" t="inlineStr">
        <is>
          <t>서울 강남구 역삼동 707-34번지 한신인터밸리24빌딩 동관 1316호</t>
        </is>
      </c>
      <c r="AB219" t="inlineStr">
        <is>
          <t>서울 강남구 테헤란로 322, 동관 1316호 (역삼동,한신인터밸리24빌딩)</t>
        </is>
      </c>
    </row>
    <row r="220" ht="19.2" customHeight="1" s="1">
      <c r="A220" t="inlineStr">
        <is>
          <t>NICE:HN6994</t>
        </is>
      </c>
      <c r="B220" t="inlineStr">
        <is>
          <t>해운대블루라인</t>
        </is>
      </c>
      <c r="C220" s="5" t="n">
        <v>83051371000</v>
      </c>
      <c r="D220" s="5" t="n">
        <v>47883674000</v>
      </c>
      <c r="E220" s="5" t="n">
        <v>35167697000</v>
      </c>
      <c r="F220" s="5" t="n">
        <v>35415843000</v>
      </c>
      <c r="G220" s="5" t="n">
        <v>18390605000</v>
      </c>
      <c r="H220" s="5" t="n">
        <v>31171084000</v>
      </c>
      <c r="I220" s="5" t="n">
        <v>17368477000</v>
      </c>
      <c r="J220" s="4" t="n">
        <v>1.080099940299988</v>
      </c>
      <c r="K220" s="4" t="n">
        <v>1.361600041389465</v>
      </c>
      <c r="L220" s="4" t="n">
        <v>0.5192999839782715</v>
      </c>
      <c r="M220" t="inlineStr">
        <is>
          <t>배종진</t>
        </is>
      </c>
      <c r="N220" t="inlineStr">
        <is>
          <t>051-701-5548</t>
        </is>
      </c>
      <c r="O220" t="inlineStr">
        <is>
          <t>051-701-5648</t>
        </is>
      </c>
      <c r="P220" s="3" t="n"/>
      <c r="Q220" t="inlineStr">
        <is>
          <t>2598700262</t>
        </is>
      </c>
      <c r="R220" t="inlineStr">
        <is>
          <t>1801111020336</t>
        </is>
      </c>
      <c r="S220" t="inlineStr">
        <is>
          <t>대상아님</t>
        </is>
      </c>
      <c r="T220" t="inlineStr">
        <is>
          <t>일반법인</t>
        </is>
      </c>
      <c r="U220" t="inlineStr">
        <is>
          <t>중소기업</t>
        </is>
      </c>
      <c r="V220" t="inlineStr">
        <is>
          <t>외부감사대상</t>
        </is>
      </c>
      <c r="W220" s="6" t="inlineStr">
        <is>
          <t>2016-02-25</t>
        </is>
      </c>
      <c r="X220" t="inlineStr">
        <is>
          <t>KRI:10R9121000</t>
        </is>
      </c>
      <c r="Y220" t="inlineStr">
        <is>
          <t>유원지 및 테마파크 운영업</t>
        </is>
      </c>
      <c r="Z220" t="inlineStr">
        <is>
          <t>관광시설 운영/부동산개발</t>
        </is>
      </c>
      <c r="AA220" t="inlineStr">
        <is>
          <t>부산 해운대구 중동 555-2번지</t>
        </is>
      </c>
      <c r="AB220" t="inlineStr">
        <is>
          <t>부산 해운대구 청사포로 116</t>
        </is>
      </c>
    </row>
    <row r="221" ht="19.2" customHeight="1" s="1">
      <c r="A221" t="inlineStr">
        <is>
          <t>NICE:102849</t>
        </is>
      </c>
      <c r="B221" t="inlineStr">
        <is>
          <t>한국제이텍트써모시스템</t>
        </is>
      </c>
      <c r="C221" s="5" t="n">
        <v>64258642000</v>
      </c>
      <c r="D221" s="5" t="n">
        <v>10823956000</v>
      </c>
      <c r="E221" s="5" t="n">
        <v>53434686000</v>
      </c>
      <c r="F221" s="5" t="n">
        <v>66358613000</v>
      </c>
      <c r="G221" s="5" t="n">
        <v>9613530000</v>
      </c>
      <c r="H221" s="5" t="n">
        <v>59702920000</v>
      </c>
      <c r="I221" s="5" t="n">
        <v>6176725000</v>
      </c>
      <c r="J221" s="4" t="n">
        <v>5.247399806976318</v>
      </c>
      <c r="K221" s="4" t="n">
        <v>0.2026000022888184</v>
      </c>
      <c r="L221" s="4" t="n">
        <v>0.144899994134903</v>
      </c>
      <c r="M221" t="inlineStr">
        <is>
          <t>일본국인 카토나오히토</t>
        </is>
      </c>
      <c r="N221" t="inlineStr">
        <is>
          <t>031-654-3450</t>
        </is>
      </c>
      <c r="O221" t="inlineStr">
        <is>
          <t>031-654-2689</t>
        </is>
      </c>
      <c r="P221" s="3">
        <f>HYPERLINK("http://www.jtskr.co.kr", "http://www.jtskr.co.kr")</f>
        <v/>
      </c>
      <c r="Q221" t="inlineStr">
        <is>
          <t>1258118619</t>
        </is>
      </c>
      <c r="R221" t="inlineStr">
        <is>
          <t>1346110007133</t>
        </is>
      </c>
      <c r="S221" t="inlineStr">
        <is>
          <t>대상아님</t>
        </is>
      </c>
      <c r="T221" t="inlineStr">
        <is>
          <t>일반법인</t>
        </is>
      </c>
      <c r="U221" t="inlineStr">
        <is>
          <t>중견기업</t>
        </is>
      </c>
      <c r="V221" t="inlineStr">
        <is>
          <t>외부감사대상</t>
        </is>
      </c>
      <c r="W221" s="6" t="inlineStr">
        <is>
          <t>1996-04-17</t>
        </is>
      </c>
      <c r="X221" t="inlineStr">
        <is>
          <t>KRI:10C2915000</t>
        </is>
      </c>
      <c r="Y221" t="inlineStr">
        <is>
          <t>산업용 오븐, 노 및 노용 버너 제조업</t>
        </is>
      </c>
      <c r="Z221" t="inlineStr">
        <is>
          <t>산업용오븐,노,노용버너 제조</t>
        </is>
      </c>
      <c r="AA221" t="inlineStr">
        <is>
          <t>경기 평택시 팽성읍 추팔리 397-4번지</t>
        </is>
      </c>
      <c r="AB221" t="inlineStr">
        <is>
          <t>경기 평택시 팽성읍 추팔산단1길 70</t>
        </is>
      </c>
    </row>
    <row r="222" s="1">
      <c r="A222" t="inlineStr">
        <is>
          <t>NICE:384240</t>
        </is>
      </c>
      <c r="B222" t="inlineStr">
        <is>
          <t>에이치에스효성인포메이션시스템</t>
        </is>
      </c>
      <c r="C222" s="5" t="n">
        <v>228183932000</v>
      </c>
      <c r="D222" s="5" t="n">
        <v>97531142000</v>
      </c>
      <c r="E222" s="5" t="n">
        <v>130652789000</v>
      </c>
      <c r="F222" s="5" t="n">
        <v>301232470000</v>
      </c>
      <c r="G222" s="5" t="n">
        <v>33030698000</v>
      </c>
      <c r="H222" s="5" t="n">
        <v>271268593000</v>
      </c>
      <c r="I222" s="5" t="n">
        <v>18849849000</v>
      </c>
      <c r="J222" s="4" t="n">
        <v>2.350499868392944</v>
      </c>
      <c r="K222" s="4" t="n">
        <v>0.7465000152587891</v>
      </c>
      <c r="L222" s="4" t="n">
        <v>0.1097000017762184</v>
      </c>
      <c r="M222" t="inlineStr">
        <is>
          <t>양정규/아드리안리차드존슨</t>
        </is>
      </c>
      <c r="N222" t="inlineStr">
        <is>
          <t>02-510-0300</t>
        </is>
      </c>
      <c r="O222" t="inlineStr">
        <is>
          <t>02-547-9998</t>
        </is>
      </c>
      <c r="P222">
        <f>HYPERLINK("http://www.his21.co.kr", "http://www.his21.co.kr")</f>
        <v/>
      </c>
      <c r="Q222" t="inlineStr">
        <is>
          <t>1208102941</t>
        </is>
      </c>
      <c r="R222" t="inlineStr">
        <is>
          <t>1101110405806</t>
        </is>
      </c>
      <c r="S222" t="inlineStr">
        <is>
          <t>대상아님</t>
        </is>
      </c>
      <c r="T222" t="inlineStr">
        <is>
          <t>일반법인</t>
        </is>
      </c>
      <c r="U222" t="inlineStr">
        <is>
          <t>대기업</t>
        </is>
      </c>
      <c r="V222" t="inlineStr">
        <is>
          <t>외부감사대상</t>
        </is>
      </c>
      <c r="W222" s="6" t="inlineStr">
        <is>
          <t>1985-08-26</t>
        </is>
      </c>
      <c r="X222" t="inlineStr">
        <is>
          <t>KRI:10G4651000</t>
        </is>
      </c>
      <c r="Y222" t="inlineStr">
        <is>
          <t>컴퓨터 및 주변장치, 소프트웨어 도매업</t>
        </is>
      </c>
      <c r="Z222" t="inlineStr">
        <is>
          <t>컴퓨터,네트워크장비,주변기기,통신장비,방송장비 도소매/소프트웨어 자문,개발,공급</t>
        </is>
      </c>
      <c r="AA222" t="inlineStr">
        <is>
          <t>서울 강남구 청담동 52번지</t>
        </is>
      </c>
      <c r="AB222" t="inlineStr">
        <is>
          <t>서울 강남구 도산대로 524</t>
        </is>
      </c>
    </row>
    <row r="223" s="1">
      <c r="A223" t="inlineStr">
        <is>
          <t>NICE:L82704</t>
        </is>
      </c>
      <c r="B223" t="inlineStr">
        <is>
          <t>정광</t>
        </is>
      </c>
      <c r="C223" s="5" t="n">
        <v>75686497000</v>
      </c>
      <c r="D223" s="5" t="n">
        <v>37949916000</v>
      </c>
      <c r="E223" s="5" t="n">
        <v>37736580000</v>
      </c>
      <c r="F223" s="5" t="n">
        <v>23569672000</v>
      </c>
      <c r="G223" s="5" t="n">
        <v>6802281000</v>
      </c>
      <c r="H223" s="5" t="n">
        <v>25380743000</v>
      </c>
      <c r="I223" s="5" t="n">
        <v>8480663000</v>
      </c>
      <c r="J223" s="4" t="n">
        <v>1.65939998626709</v>
      </c>
      <c r="K223" s="4" t="n">
        <v>1.005699992179871</v>
      </c>
      <c r="L223" s="4" t="n">
        <v>0.2885999977588654</v>
      </c>
      <c r="M223" t="inlineStr">
        <is>
          <t>이정수</t>
        </is>
      </c>
      <c r="N223" t="inlineStr">
        <is>
          <t>031-354-4657</t>
        </is>
      </c>
      <c r="O223" t="inlineStr">
        <is>
          <t>031-354-4659</t>
        </is>
      </c>
      <c r="Q223" t="inlineStr">
        <is>
          <t>1438123274</t>
        </is>
      </c>
      <c r="R223" t="inlineStr">
        <is>
          <t>1348110301789</t>
        </is>
      </c>
      <c r="S223" t="inlineStr">
        <is>
          <t>대상아님</t>
        </is>
      </c>
      <c r="T223" t="inlineStr">
        <is>
          <t>일반법인</t>
        </is>
      </c>
      <c r="U223" t="inlineStr">
        <is>
          <t>중소기업</t>
        </is>
      </c>
      <c r="V223" t="inlineStr">
        <is>
          <t>외부감사대상</t>
        </is>
      </c>
      <c r="W223" s="6" t="inlineStr">
        <is>
          <t>2014-05-29</t>
        </is>
      </c>
      <c r="X223" t="inlineStr">
        <is>
          <t>KRI:10C2929900</t>
        </is>
      </c>
      <c r="Y223" t="inlineStr">
        <is>
          <t>그 외 기타 특수목적용 기계 제조업</t>
        </is>
      </c>
      <c r="Z223" t="inlineStr">
        <is>
          <t>특수연초용 담배필터기계,종이가공용기기,제책용기계 제조/인쇄</t>
        </is>
      </c>
      <c r="AA223" t="inlineStr">
        <is>
          <t>경기 화성시 만세구 팔탄면 구장리 127-2번지</t>
        </is>
      </c>
      <c r="AB223" t="inlineStr">
        <is>
          <t>경기 화성시 만세구 팔탄면 시청로940번길 42</t>
        </is>
      </c>
    </row>
    <row r="224" ht="19.2" customHeight="1" s="1">
      <c r="A224" t="inlineStr">
        <is>
          <t>NICE:482003</t>
        </is>
      </c>
      <c r="B224" t="inlineStr">
        <is>
          <t>숙명여자대학교산학협력단</t>
        </is>
      </c>
      <c r="C224" s="5" t="n">
        <v>50901178000</v>
      </c>
      <c r="D224" s="5" t="n">
        <v>10613836000</v>
      </c>
      <c r="E224" s="5" t="n">
        <v>40287342000</v>
      </c>
      <c r="F224" s="5" t="n">
        <v>51617913000</v>
      </c>
      <c r="G224" s="5" t="n">
        <v>6159982000</v>
      </c>
      <c r="H224" s="5" t="n">
        <v>50153648000</v>
      </c>
      <c r="I224" s="5" t="n">
        <v>2249461000</v>
      </c>
      <c r="J224" s="4" t="n">
        <v>3.244500160217285</v>
      </c>
      <c r="K224" s="4" t="n">
        <v>0.2635000050067902</v>
      </c>
      <c r="L224" s="4" t="n">
        <v>0.1193000003695488</v>
      </c>
      <c r="M224" t="inlineStr">
        <is>
          <t>신지영</t>
        </is>
      </c>
      <c r="N224" t="inlineStr">
        <is>
          <t>02-2077-7848</t>
        </is>
      </c>
      <c r="O224" t="inlineStr">
        <is>
          <t>02-3275-0435</t>
        </is>
      </c>
      <c r="P224" s="3">
        <f>HYPERLINK("http://research.sookmyung.ac.kr", "http://research.sookmyung.ac.kr")</f>
        <v/>
      </c>
      <c r="Q224" t="inlineStr">
        <is>
          <t>1068212227</t>
        </is>
      </c>
      <c r="R224" t="inlineStr">
        <is>
          <t>2743710009396</t>
        </is>
      </c>
      <c r="S224" t="inlineStr">
        <is>
          <t>대상아님</t>
        </is>
      </c>
      <c r="T224" t="inlineStr">
        <is>
          <t>비영리법인</t>
        </is>
      </c>
      <c r="U224" t="inlineStr">
        <is>
          <t>대상아님</t>
        </is>
      </c>
      <c r="V224" t="inlineStr">
        <is>
          <t>외부감사비대상</t>
        </is>
      </c>
      <c r="W224" s="6" t="inlineStr">
        <is>
          <t>2004-02-19</t>
        </is>
      </c>
      <c r="X224" t="inlineStr">
        <is>
          <t>KRI:10M7160000</t>
        </is>
      </c>
      <c r="Y224" t="inlineStr">
        <is>
          <t>기타 전문 서비스업</t>
        </is>
      </c>
      <c r="Z224" t="inlineStr">
        <is>
          <t>산학협력단/아이디어제품 적용,제조,도소매/전자상거래/소프트웨어 개발,공급</t>
        </is>
      </c>
      <c r="AA224" t="inlineStr">
        <is>
          <t>서울 용산구 청파동2가 53-12번지 숙명여자대학교 내</t>
        </is>
      </c>
      <c r="AB224" t="inlineStr">
        <is>
          <t>서울 용산구 청파로47길 100, 내 (청파동2가,숙명여자대학교)</t>
        </is>
      </c>
    </row>
    <row r="225" s="1">
      <c r="A225" t="inlineStr">
        <is>
          <t>NICE:C90937</t>
        </is>
      </c>
      <c r="B225" t="inlineStr">
        <is>
          <t>어등산리조트</t>
        </is>
      </c>
      <c r="C225" s="5" t="n">
        <v>98927612000</v>
      </c>
      <c r="D225" s="5" t="n">
        <v>66132792000</v>
      </c>
      <c r="E225" s="5" t="n">
        <v>32794820000</v>
      </c>
      <c r="F225" s="5" t="n">
        <v>21322345000</v>
      </c>
      <c r="G225" s="5" t="n">
        <v>5555482000</v>
      </c>
      <c r="H225" s="5" t="n">
        <v>20916196000</v>
      </c>
      <c r="I225" s="5" t="n">
        <v>7665576000</v>
      </c>
      <c r="J225" s="4" t="n">
        <v>2.705399990081787</v>
      </c>
      <c r="K225" s="4" t="n">
        <v>2.016599893569946</v>
      </c>
      <c r="L225" s="4" t="n">
        <v>0.2604999840259552</v>
      </c>
      <c r="M225" t="inlineStr">
        <is>
          <t>고경주/이정진</t>
        </is>
      </c>
      <c r="N225" t="inlineStr">
        <is>
          <t>062-605-3112</t>
        </is>
      </c>
      <c r="O225" t="inlineStr">
        <is>
          <t>062-605-3009</t>
        </is>
      </c>
      <c r="P225">
        <f>HYPERLINK("http://www.eodeungsancc.com/", "http://www.eodeungsancc.com/")</f>
        <v/>
      </c>
      <c r="Q225" t="inlineStr">
        <is>
          <t>4088177911</t>
        </is>
      </c>
      <c r="R225" t="inlineStr">
        <is>
          <t>2001110258991</t>
        </is>
      </c>
      <c r="S225" t="inlineStr">
        <is>
          <t>대상아님</t>
        </is>
      </c>
      <c r="T225" t="inlineStr">
        <is>
          <t>일반법인</t>
        </is>
      </c>
      <c r="U225" t="inlineStr">
        <is>
          <t>중소기업</t>
        </is>
      </c>
      <c r="V225" t="inlineStr">
        <is>
          <t>외부감사대상</t>
        </is>
      </c>
      <c r="W225" s="6" t="inlineStr">
        <is>
          <t>2008-04-24</t>
        </is>
      </c>
      <c r="X225" t="inlineStr">
        <is>
          <t>KRI:10R9112100</t>
        </is>
      </c>
      <c r="Y225" t="inlineStr">
        <is>
          <t>골프장 운영업</t>
        </is>
      </c>
      <c r="Z225" t="inlineStr">
        <is>
          <t>골프장 운영/부동산 임대</t>
        </is>
      </c>
      <c r="AA225" t="inlineStr">
        <is>
          <t>광주 광산구 운수동 산157-15번지</t>
        </is>
      </c>
      <c r="AB225" t="inlineStr">
        <is>
          <t>광주 광산구 무진대로 31</t>
        </is>
      </c>
    </row>
    <row r="226" ht="19.2" customHeight="1" s="1">
      <c r="A226" t="inlineStr">
        <is>
          <t>NICE:G96810</t>
        </is>
      </c>
      <c r="B226" t="inlineStr">
        <is>
          <t>케이엠이엔지</t>
        </is>
      </c>
      <c r="C226" s="5" t="n">
        <v>37538969000</v>
      </c>
      <c r="D226" s="5" t="n">
        <v>27417618000</v>
      </c>
      <c r="E226" s="5" t="n">
        <v>10121351000</v>
      </c>
      <c r="F226" s="5" t="n">
        <v>33277352000</v>
      </c>
      <c r="G226" s="5" t="n">
        <v>3550968000</v>
      </c>
      <c r="H226" s="5" t="n">
        <v>24983340000</v>
      </c>
      <c r="I226" s="5" t="n">
        <v>1494948000</v>
      </c>
      <c r="J226" s="4" t="n">
        <v>1.247200012207031</v>
      </c>
      <c r="K226" s="4" t="n">
        <v>2.708899974822998</v>
      </c>
      <c r="L226" s="4" t="n">
        <v>0.1066999956965446</v>
      </c>
      <c r="M226" t="inlineStr">
        <is>
          <t>김광호/김재경</t>
        </is>
      </c>
      <c r="N226" t="inlineStr">
        <is>
          <t>054-478-1700</t>
        </is>
      </c>
      <c r="O226" t="inlineStr">
        <is>
          <t>054-478-1790</t>
        </is>
      </c>
      <c r="P226" s="3">
        <f>HYPERLINK("http://km-eng.co.kr", "http://km-eng.co.kr")</f>
        <v/>
      </c>
      <c r="Q226" t="inlineStr">
        <is>
          <t>5138153526</t>
        </is>
      </c>
      <c r="R226" t="inlineStr">
        <is>
          <t>1760110059649</t>
        </is>
      </c>
      <c r="S226" t="inlineStr">
        <is>
          <t>대상아님</t>
        </is>
      </c>
      <c r="T226" t="inlineStr">
        <is>
          <t>일반법인</t>
        </is>
      </c>
      <c r="U226" t="inlineStr">
        <is>
          <t>중소기업</t>
        </is>
      </c>
      <c r="V226" t="inlineStr">
        <is>
          <t>외부감사대상</t>
        </is>
      </c>
      <c r="W226" s="6" t="inlineStr">
        <is>
          <t>1993-07-13</t>
        </is>
      </c>
      <c r="X226" t="inlineStr">
        <is>
          <t>KRI:10C2591400</t>
        </is>
      </c>
      <c r="Y226" t="inlineStr">
        <is>
          <t>그 외 금속 압형제품 제조업</t>
        </is>
      </c>
      <c r="Z226" t="inlineStr">
        <is>
          <t>기계가공품,가공공작기계,금속구조재,반도체제조용 기계 제조</t>
        </is>
      </c>
      <c r="AA226" t="inlineStr">
        <is>
          <t>경북 구미시 산동읍 신당리 1235번지</t>
        </is>
      </c>
      <c r="AB226" t="inlineStr">
        <is>
          <t>경북 구미시 산동읍 첨단기업7로 98-40</t>
        </is>
      </c>
    </row>
    <row r="227" ht="19.2" customHeight="1" s="1">
      <c r="A227" t="inlineStr">
        <is>
          <t>NICE:153643</t>
        </is>
      </c>
      <c r="B227" t="inlineStr">
        <is>
          <t>내일신문</t>
        </is>
      </c>
      <c r="C227" s="5" t="n">
        <v>156722658000</v>
      </c>
      <c r="D227" s="5" t="n">
        <v>7051699000</v>
      </c>
      <c r="E227" s="5" t="n">
        <v>149670959000</v>
      </c>
      <c r="F227" s="5" t="n">
        <v>30559992000</v>
      </c>
      <c r="G227" s="5" t="n">
        <v>6833254000</v>
      </c>
      <c r="H227" s="5" t="n">
        <v>28956060000</v>
      </c>
      <c r="I227" s="5" t="n">
        <v>6206018000</v>
      </c>
      <c r="J227" s="4" t="n">
        <v>12.59229946136475</v>
      </c>
      <c r="K227" s="4" t="n">
        <v>0.0471000000834465</v>
      </c>
      <c r="L227" s="4" t="n">
        <v>0.2236000001430511</v>
      </c>
      <c r="M227" t="inlineStr">
        <is>
          <t>문진헌/박진범</t>
        </is>
      </c>
      <c r="N227" t="inlineStr">
        <is>
          <t>02-2287-2300</t>
        </is>
      </c>
      <c r="O227" t="inlineStr">
        <is>
          <t>02-2287-2310</t>
        </is>
      </c>
      <c r="P227" s="3">
        <f>HYPERLINK("http://www.naeil.com", "http://www.naeil.com")</f>
        <v/>
      </c>
      <c r="Q227" t="inlineStr">
        <is>
          <t>1118119851</t>
        </is>
      </c>
      <c r="R227" t="inlineStr">
        <is>
          <t>1101110951338</t>
        </is>
      </c>
      <c r="S227" t="inlineStr">
        <is>
          <t>제3시장</t>
        </is>
      </c>
      <c r="T227" t="inlineStr">
        <is>
          <t>일반법인</t>
        </is>
      </c>
      <c r="U227" t="inlineStr">
        <is>
          <t>중소기업</t>
        </is>
      </c>
      <c r="V227" t="inlineStr">
        <is>
          <t>외부감사대상</t>
        </is>
      </c>
      <c r="W227" s="6" t="inlineStr">
        <is>
          <t>1993-06-21</t>
        </is>
      </c>
      <c r="X227" t="inlineStr">
        <is>
          <t>KRI:10J5812100</t>
        </is>
      </c>
      <c r="Y227" t="inlineStr">
        <is>
          <t>신문 발행업</t>
        </is>
      </c>
      <c r="Z227" t="inlineStr">
        <is>
          <t>신문,광고 발행/도서,잡지 출판,도소매/부동산 임대/광고대행,행사,디지털콘텐츠</t>
        </is>
      </c>
      <c r="AA227" t="inlineStr">
        <is>
          <t>서울 종로구 신문로1가 58-15번지 내일신문</t>
        </is>
      </c>
      <c r="AB227" t="inlineStr">
        <is>
          <t>서울 종로구 새문안로3길 3 (신문로1가,내일신문)</t>
        </is>
      </c>
    </row>
    <row r="228" ht="19.2" customHeight="1" s="1">
      <c r="A228" t="inlineStr">
        <is>
          <t>NICE:052395</t>
        </is>
      </c>
      <c r="B228" t="inlineStr">
        <is>
          <t>세창인터내쇼날</t>
        </is>
      </c>
      <c r="C228" s="5" t="n">
        <v>34878889000</v>
      </c>
      <c r="D228" s="5" t="n">
        <v>16615397000</v>
      </c>
      <c r="E228" s="5" t="n">
        <v>18263492000</v>
      </c>
      <c r="F228" s="5" t="n">
        <v>21117217000</v>
      </c>
      <c r="G228" s="5" t="n">
        <v>2220556000</v>
      </c>
      <c r="H228" s="5" t="n">
        <v>32119681000</v>
      </c>
      <c r="I228" s="5" t="n">
        <v>2184763000</v>
      </c>
      <c r="J228" s="4" t="n">
        <v>1.537899851799011</v>
      </c>
      <c r="K228" s="4" t="n">
        <v>0.9097999930381775</v>
      </c>
      <c r="L228" s="4" t="n">
        <v>0.1052000001072884</v>
      </c>
      <c r="M228" t="inlineStr">
        <is>
          <t>이태훈</t>
        </is>
      </c>
      <c r="N228" t="inlineStr">
        <is>
          <t>031-366-8901</t>
        </is>
      </c>
      <c r="O228" t="inlineStr">
        <is>
          <t>031-366-8906</t>
        </is>
      </c>
      <c r="P228" s="3">
        <f>HYPERLINK("http://www.sechang-kr.com", "http://www.sechang-kr.com")</f>
        <v/>
      </c>
      <c r="Q228" t="inlineStr">
        <is>
          <t>1198117139</t>
        </is>
      </c>
      <c r="R228" t="inlineStr">
        <is>
          <t>1101111110115</t>
        </is>
      </c>
      <c r="S228" t="inlineStr">
        <is>
          <t>대상아님</t>
        </is>
      </c>
      <c r="T228" t="inlineStr">
        <is>
          <t>일반법인</t>
        </is>
      </c>
      <c r="U228" t="inlineStr">
        <is>
          <t>중소기업</t>
        </is>
      </c>
      <c r="V228" t="inlineStr">
        <is>
          <t>외부감사대상</t>
        </is>
      </c>
      <c r="W228" s="6" t="inlineStr">
        <is>
          <t>1988-10-26</t>
        </is>
      </c>
      <c r="X228" t="inlineStr">
        <is>
          <t>KRI:10C2916300</t>
        </is>
      </c>
      <c r="Y228" t="inlineStr">
        <is>
          <t>컨베이어장치 제조업</t>
        </is>
      </c>
      <c r="Z228" t="inlineStr">
        <is>
          <t>자동화부품(컨베이어시스템),의류 제조,도매,무역/부동산 임대/광고 제작</t>
        </is>
      </c>
      <c r="AA228" t="inlineStr">
        <is>
          <t>경기 화성시 만세구 남양읍 북양리 500-55번지</t>
        </is>
      </c>
      <c r="AB228" t="inlineStr">
        <is>
          <t>경기 화성시 만세구 남양읍 주석로184번길 21-32</t>
        </is>
      </c>
    </row>
    <row r="229" s="1">
      <c r="A229" t="inlineStr">
        <is>
          <t>NICE:JL5998</t>
        </is>
      </c>
      <c r="B229" t="inlineStr">
        <is>
          <t>동광엔비텍</t>
        </is>
      </c>
      <c r="C229" s="5" t="n">
        <v>30124919000</v>
      </c>
      <c r="D229" s="5" t="n">
        <v>17481701000</v>
      </c>
      <c r="E229" s="5" t="n">
        <v>12643218000</v>
      </c>
      <c r="F229" s="5" t="n">
        <v>40184989000</v>
      </c>
      <c r="G229" s="5" t="n">
        <v>11020337000</v>
      </c>
      <c r="H229" s="5" t="n">
        <v>32064542000</v>
      </c>
      <c r="I229" s="5" t="n">
        <v>8972036000</v>
      </c>
      <c r="J229" s="4" t="n">
        <v>1.036200046539307</v>
      </c>
      <c r="K229" s="4" t="n">
        <v>1.382699966430664</v>
      </c>
      <c r="L229" s="4" t="n">
        <v>0.2741999924182892</v>
      </c>
      <c r="M229" t="inlineStr">
        <is>
          <t>박병국</t>
        </is>
      </c>
      <c r="N229" t="inlineStr">
        <is>
          <t>031-8055-3799</t>
        </is>
      </c>
      <c r="O229" t="inlineStr">
        <is>
          <t>031-8055-3795</t>
        </is>
      </c>
      <c r="Q229" t="inlineStr">
        <is>
          <t>1458701448</t>
        </is>
      </c>
      <c r="R229" t="inlineStr">
        <is>
          <t>1348110485814</t>
        </is>
      </c>
      <c r="S229" t="inlineStr">
        <is>
          <t>대상아님</t>
        </is>
      </c>
      <c r="T229" t="inlineStr">
        <is>
          <t>일반법인</t>
        </is>
      </c>
      <c r="U229" t="inlineStr">
        <is>
          <t>중소기업</t>
        </is>
      </c>
      <c r="V229" t="inlineStr">
        <is>
          <t>외부감사대상</t>
        </is>
      </c>
      <c r="W229" s="6" t="inlineStr">
        <is>
          <t>2019-02-08</t>
        </is>
      </c>
      <c r="X229" t="inlineStr">
        <is>
          <t>KRI:10C2225900</t>
        </is>
      </c>
      <c r="Y229" t="inlineStr">
        <is>
          <t>기타 플라스틱 발포 성형제품 제조업</t>
        </is>
      </c>
      <c r="Z229" t="inlineStr">
        <is>
          <t>준불연스폰지,합성수지,CNC가공,필터류,자동차부품 제조</t>
        </is>
      </c>
      <c r="AA229" t="inlineStr">
        <is>
          <t>경기 화성시 효행구 정남면 덕절리 380-7번지</t>
        </is>
      </c>
      <c r="AB229" t="inlineStr">
        <is>
          <t>경기 화성시 효행구 정남면 덕절제기길 16</t>
        </is>
      </c>
    </row>
    <row r="230" s="1">
      <c r="A230" t="inlineStr">
        <is>
          <t>NICE:077798</t>
        </is>
      </c>
      <c r="B230" t="inlineStr">
        <is>
          <t>세바토이</t>
        </is>
      </c>
      <c r="C230" s="5" t="n">
        <v>37565040000</v>
      </c>
      <c r="D230" s="5" t="n">
        <v>2330539000</v>
      </c>
      <c r="E230" s="5" t="n">
        <v>35234501000</v>
      </c>
      <c r="F230" s="5" t="n">
        <v>91411968000</v>
      </c>
      <c r="G230" s="5" t="n">
        <v>11830239000</v>
      </c>
      <c r="H230" s="5" t="n">
        <v>67898621000</v>
      </c>
      <c r="I230" s="5" t="n">
        <v>11018910000</v>
      </c>
      <c r="J230" s="4" t="n">
        <v>9.277999877929688</v>
      </c>
      <c r="K230" s="4" t="n">
        <v>0.06610000133514404</v>
      </c>
      <c r="L230" s="4" t="n">
        <v>0.1293999999761581</v>
      </c>
      <c r="M230" t="inlineStr">
        <is>
          <t>이용일/이지원</t>
        </is>
      </c>
      <c r="N230" t="inlineStr">
        <is>
          <t>02-573-7216</t>
        </is>
      </c>
      <c r="O230" t="inlineStr">
        <is>
          <t>02-579-3370</t>
        </is>
      </c>
      <c r="Q230" t="inlineStr">
        <is>
          <t>2208129158</t>
        </is>
      </c>
      <c r="R230" t="inlineStr">
        <is>
          <t>1101110528492</t>
        </is>
      </c>
      <c r="S230" t="inlineStr">
        <is>
          <t>대상아님</t>
        </is>
      </c>
      <c r="T230" t="inlineStr">
        <is>
          <t>일반법인</t>
        </is>
      </c>
      <c r="U230" t="inlineStr">
        <is>
          <t>중소기업</t>
        </is>
      </c>
      <c r="V230" t="inlineStr">
        <is>
          <t>외부감사대상</t>
        </is>
      </c>
      <c r="W230" s="6" t="inlineStr">
        <is>
          <t>1987-04-23</t>
        </is>
      </c>
      <c r="X230" t="inlineStr">
        <is>
          <t>KRI:10G4646300</t>
        </is>
      </c>
      <c r="Y230" t="inlineStr">
        <is>
          <t>장난감 및 취미, 오락용품 도매업</t>
        </is>
      </c>
      <c r="Z230" t="inlineStr">
        <is>
          <t>봉제완구 도매,수출,제조</t>
        </is>
      </c>
      <c r="AA230" t="inlineStr">
        <is>
          <t>서울 서초구 양재동 124-5번지 4층</t>
        </is>
      </c>
      <c r="AB230" t="inlineStr">
        <is>
          <t>서울 서초구 양재천로19길 21, 4층</t>
        </is>
      </c>
    </row>
    <row r="231" ht="19.2" customHeight="1" s="1">
      <c r="A231" t="inlineStr">
        <is>
          <t>NICE:502918</t>
        </is>
      </c>
      <c r="B231" t="inlineStr">
        <is>
          <t>삼광에프엔씨</t>
        </is>
      </c>
      <c r="C231" s="5" t="n">
        <v>29984447000</v>
      </c>
      <c r="D231" s="5" t="n">
        <v>6446260000</v>
      </c>
      <c r="E231" s="5" t="n">
        <v>23538187000</v>
      </c>
      <c r="F231" s="5" t="n">
        <v>40999863000</v>
      </c>
      <c r="G231" s="5" t="n">
        <v>5427894000</v>
      </c>
      <c r="H231" s="5" t="n">
        <v>36093525000</v>
      </c>
      <c r="I231" s="5" t="n">
        <v>2943529000</v>
      </c>
      <c r="J231" s="4" t="n">
        <v>5.87529993057251</v>
      </c>
      <c r="K231" s="4" t="n">
        <v>0.2739000022411346</v>
      </c>
      <c r="L231" s="4" t="n">
        <v>0.1323999911546707</v>
      </c>
      <c r="M231" t="inlineStr">
        <is>
          <t>박재필</t>
        </is>
      </c>
      <c r="N231" t="inlineStr">
        <is>
          <t>063-451-4711</t>
        </is>
      </c>
      <c r="O231" t="inlineStr">
        <is>
          <t>063-451-4710</t>
        </is>
      </c>
      <c r="P231" s="3" t="n"/>
      <c r="Q231" t="inlineStr">
        <is>
          <t>1288155156</t>
        </is>
      </c>
      <c r="R231" t="inlineStr">
        <is>
          <t>1159110048366</t>
        </is>
      </c>
      <c r="S231" t="inlineStr">
        <is>
          <t>대상아님</t>
        </is>
      </c>
      <c r="T231" t="inlineStr">
        <is>
          <t>일반법인</t>
        </is>
      </c>
      <c r="U231" t="inlineStr">
        <is>
          <t>중소기업</t>
        </is>
      </c>
      <c r="V231" t="inlineStr">
        <is>
          <t>외부감사대상</t>
        </is>
      </c>
      <c r="W231" s="6" t="inlineStr">
        <is>
          <t>2001-01-09</t>
        </is>
      </c>
      <c r="X231" t="inlineStr">
        <is>
          <t>KRI:10C1080200</t>
        </is>
      </c>
      <c r="Y231" t="inlineStr">
        <is>
          <t>단미 사료 및 기타 사료 제조업</t>
        </is>
      </c>
      <c r="Z231" t="inlineStr">
        <is>
          <t>단미사료,보조사료 제조</t>
        </is>
      </c>
      <c r="AA231" t="inlineStr">
        <is>
          <t>전북 군산시 서수면 마룡리 93-34번지</t>
        </is>
      </c>
      <c r="AB231" t="inlineStr">
        <is>
          <t>전북 군산시 서수면 상장곤윗길 30</t>
        </is>
      </c>
    </row>
    <row r="232" ht="19.2" customHeight="1" s="1">
      <c r="A232" t="inlineStr">
        <is>
          <t>NICE:677914</t>
        </is>
      </c>
      <c r="B232" t="inlineStr">
        <is>
          <t>두성종이</t>
        </is>
      </c>
      <c r="C232" s="5" t="n">
        <v>102102340000</v>
      </c>
      <c r="D232" s="5" t="n">
        <v>9143995000</v>
      </c>
      <c r="E232" s="5" t="n">
        <v>92958344000</v>
      </c>
      <c r="F232" s="5" t="n">
        <v>44225910000</v>
      </c>
      <c r="G232" s="5" t="n">
        <v>5843068000</v>
      </c>
      <c r="H232" s="5" t="n">
        <v>47467573000</v>
      </c>
      <c r="I232" s="5" t="n">
        <v>4755004000</v>
      </c>
      <c r="J232" s="4" t="n">
        <v>4.925899982452393</v>
      </c>
      <c r="K232" s="4" t="n">
        <v>0.09839999675750732</v>
      </c>
      <c r="L232" s="4" t="n">
        <v>0.1321000009775162</v>
      </c>
      <c r="M232" t="inlineStr">
        <is>
          <t>이해원/이훈용</t>
        </is>
      </c>
      <c r="N232" t="inlineStr">
        <is>
          <t>02-588-2013</t>
        </is>
      </c>
      <c r="O232" t="inlineStr">
        <is>
          <t>02-528-5700</t>
        </is>
      </c>
      <c r="P232" s="3">
        <f>HYPERLINK("http://www.doosungpaper.co.kr", "http://www.doosungpaper.co.kr")</f>
        <v/>
      </c>
      <c r="Q232" t="inlineStr">
        <is>
          <t>2148179686</t>
        </is>
      </c>
      <c r="R232" t="inlineStr">
        <is>
          <t>1101110332653</t>
        </is>
      </c>
      <c r="S232" t="inlineStr">
        <is>
          <t>대상아님</t>
        </is>
      </c>
      <c r="T232" t="inlineStr">
        <is>
          <t>일반법인</t>
        </is>
      </c>
      <c r="U232" t="inlineStr">
        <is>
          <t>중소기업</t>
        </is>
      </c>
      <c r="V232" t="inlineStr">
        <is>
          <t>외부감사대상</t>
        </is>
      </c>
      <c r="W232" s="6" t="inlineStr">
        <is>
          <t>1982-10-07</t>
        </is>
      </c>
      <c r="X232" t="inlineStr">
        <is>
          <t>KRI:10G4645100</t>
        </is>
      </c>
      <c r="Y232" t="inlineStr">
        <is>
          <t>생활용 포장 및 위생용품, 봉투 및 유사 제품 도매업</t>
        </is>
      </c>
      <c r="Z232" t="inlineStr">
        <is>
          <t>특수가공지(도공지,디스플레이패키지용지,그래픽용지),골판지,문구 도매,제조</t>
        </is>
      </c>
      <c r="AA232" t="inlineStr">
        <is>
          <t>서울 서초구 서초동 1641-6번지</t>
        </is>
      </c>
      <c r="AB232" t="inlineStr">
        <is>
          <t>서울 서초구 사임당로23길 41</t>
        </is>
      </c>
    </row>
    <row r="233" s="1">
      <c r="A233" t="inlineStr">
        <is>
          <t>NICE:897077</t>
        </is>
      </c>
      <c r="B233" t="inlineStr">
        <is>
          <t>한국이구스</t>
        </is>
      </c>
      <c r="C233" s="5" t="n">
        <v>34155916000</v>
      </c>
      <c r="D233" s="5" t="n">
        <v>21660974000</v>
      </c>
      <c r="E233" s="5" t="n">
        <v>12494942000</v>
      </c>
      <c r="F233" s="5" t="n">
        <v>32519917000</v>
      </c>
      <c r="G233" s="5" t="n">
        <v>4749959000</v>
      </c>
      <c r="H233" s="5" t="n">
        <v>30987602000</v>
      </c>
      <c r="I233" s="5" t="n">
        <v>4767493000</v>
      </c>
      <c r="J233" s="4" t="n">
        <v>1.594099998474121</v>
      </c>
      <c r="K233" s="4" t="n">
        <v>1.73360002040863</v>
      </c>
      <c r="L233" s="4" t="n">
        <v>0.1460999995470047</v>
      </c>
      <c r="M233" t="inlineStr">
        <is>
          <t>칼스텐헤커/윤창원</t>
        </is>
      </c>
      <c r="N233" t="inlineStr">
        <is>
          <t>032-821-2911</t>
        </is>
      </c>
      <c r="O233" t="inlineStr">
        <is>
          <t>032-821-2921</t>
        </is>
      </c>
      <c r="P233">
        <f>HYPERLINK("http://www.igus.kr", "http://www.igus.kr")</f>
        <v/>
      </c>
      <c r="Q233" t="inlineStr">
        <is>
          <t>1318160863</t>
        </is>
      </c>
      <c r="R233" t="inlineStr">
        <is>
          <t>1246110241668</t>
        </is>
      </c>
      <c r="S233" t="inlineStr">
        <is>
          <t>대상아님</t>
        </is>
      </c>
      <c r="T233" t="inlineStr">
        <is>
          <t>일반법인</t>
        </is>
      </c>
      <c r="U233" t="inlineStr">
        <is>
          <t>중소기업</t>
        </is>
      </c>
      <c r="V233" t="inlineStr">
        <is>
          <t>외부감사대상</t>
        </is>
      </c>
      <c r="W233" s="6" t="inlineStr">
        <is>
          <t>2001-01-26</t>
        </is>
      </c>
      <c r="X233" t="inlineStr">
        <is>
          <t>KRI:10G4659600</t>
        </is>
      </c>
      <c r="Y233" t="inlineStr">
        <is>
          <t>전지 및 케이블 도매업</t>
        </is>
      </c>
      <c r="Z233" t="inlineStr">
        <is>
          <t>케이블,베어링(에너지체인) 도소매,제조</t>
        </is>
      </c>
      <c r="AA233" t="inlineStr">
        <is>
          <t>인천 연수구 송도동 10-84번지</t>
        </is>
      </c>
      <c r="AB233" t="inlineStr">
        <is>
          <t>인천 연수구 벤처로12번길 42</t>
        </is>
      </c>
    </row>
    <row r="234" ht="19.2" customHeight="1" s="1">
      <c r="A234" t="inlineStr">
        <is>
          <t>NICE:311880</t>
        </is>
      </c>
      <c r="B234" t="inlineStr">
        <is>
          <t>선양소주</t>
        </is>
      </c>
      <c r="C234" s="5" t="n">
        <v>95782130000</v>
      </c>
      <c r="D234" s="5" t="n">
        <v>45455027000</v>
      </c>
      <c r="E234" s="5" t="n">
        <v>50327102000</v>
      </c>
      <c r="F234" s="5" t="n">
        <v>52511122000</v>
      </c>
      <c r="G234" s="5" t="n">
        <v>6745886000</v>
      </c>
      <c r="H234" s="5" t="n">
        <v>48023547000</v>
      </c>
      <c r="I234" s="5" t="n">
        <v>1534494000</v>
      </c>
      <c r="J234" s="4" t="n">
        <v>1.275599956512451</v>
      </c>
      <c r="K234" s="4" t="n">
        <v>0.9031999707221985</v>
      </c>
      <c r="L234" s="4" t="n">
        <v>0.1284999996423721</v>
      </c>
      <c r="M234" t="inlineStr">
        <is>
          <t>김규식/조웅래</t>
        </is>
      </c>
      <c r="N234" t="inlineStr">
        <is>
          <t>042-580-1881</t>
        </is>
      </c>
      <c r="O234" t="inlineStr">
        <is>
          <t>042-537-2062</t>
        </is>
      </c>
      <c r="P234" s="3">
        <f>HYPERLINK("http://www.mackisscompany.co.kr", "http://www.mackisscompany.co.kr")</f>
        <v/>
      </c>
      <c r="Q234" t="inlineStr">
        <is>
          <t>3148100723</t>
        </is>
      </c>
      <c r="R234" t="inlineStr">
        <is>
          <t>1601110005200</t>
        </is>
      </c>
      <c r="S234" t="inlineStr">
        <is>
          <t>대상아님</t>
        </is>
      </c>
      <c r="T234" t="inlineStr">
        <is>
          <t>일반법인</t>
        </is>
      </c>
      <c r="U234" t="inlineStr">
        <is>
          <t>중소기업</t>
        </is>
      </c>
      <c r="V234" t="inlineStr">
        <is>
          <t>외부감사대상</t>
        </is>
      </c>
      <c r="W234" s="6" t="inlineStr">
        <is>
          <t>1973-08-21</t>
        </is>
      </c>
      <c r="X234" t="inlineStr">
        <is>
          <t>KRI:10C1112200</t>
        </is>
      </c>
      <c r="Y234" t="inlineStr">
        <is>
          <t>소주 제조업</t>
        </is>
      </c>
      <c r="Z234" t="inlineStr">
        <is>
          <t>소주 제조/부동산 임대/콘텐츠 제작,기술,산업디자인,환경디자인,시각디자인 개발,첨단공연,전시,과학전시관 운영</t>
        </is>
      </c>
      <c r="AA234" t="inlineStr">
        <is>
          <t>대전 서구 오동 276번지</t>
        </is>
      </c>
      <c r="AB234" t="inlineStr">
        <is>
          <t>대전 서구 영골길 158</t>
        </is>
      </c>
    </row>
    <row r="235" ht="19.2" customHeight="1" s="1">
      <c r="A235" t="inlineStr">
        <is>
          <t>NICE:JI2927</t>
        </is>
      </c>
      <c r="B235" t="inlineStr">
        <is>
          <t>오라스</t>
        </is>
      </c>
      <c r="C235" s="5" t="n">
        <v>30105164000</v>
      </c>
      <c r="D235" s="5" t="n">
        <v>10434445000</v>
      </c>
      <c r="E235" s="5" t="n">
        <v>19670719000</v>
      </c>
      <c r="F235" s="5" t="n">
        <v>41920567000</v>
      </c>
      <c r="G235" s="5" t="n">
        <v>9589406000</v>
      </c>
      <c r="H235" s="5" t="n">
        <v>22105970000</v>
      </c>
      <c r="I235" s="5" t="n">
        <v>8570434000</v>
      </c>
      <c r="J235" s="4" t="n">
        <v>2.269199848175049</v>
      </c>
      <c r="K235" s="4" t="n">
        <v>0.5304999947547913</v>
      </c>
      <c r="L235" s="4" t="n">
        <v>0.2287999838590622</v>
      </c>
      <c r="M235" t="inlineStr">
        <is>
          <t>김영선</t>
        </is>
      </c>
      <c r="P235" s="3" t="n"/>
      <c r="Q235" t="inlineStr">
        <is>
          <t>1108801089</t>
        </is>
      </c>
      <c r="R235" t="inlineStr">
        <is>
          <t>1615110240659</t>
        </is>
      </c>
      <c r="S235" t="inlineStr">
        <is>
          <t>대상아님</t>
        </is>
      </c>
      <c r="T235" t="inlineStr">
        <is>
          <t>일반법인</t>
        </is>
      </c>
      <c r="U235" t="inlineStr">
        <is>
          <t>중소기업</t>
        </is>
      </c>
      <c r="V235" t="inlineStr">
        <is>
          <t>외부감사대상</t>
        </is>
      </c>
      <c r="W235" s="6" t="inlineStr">
        <is>
          <t>2018-11-01</t>
        </is>
      </c>
      <c r="X235" t="inlineStr">
        <is>
          <t>KRI:10C2049900</t>
        </is>
      </c>
      <c r="Y235" t="inlineStr">
        <is>
          <t>그 외 기타 분류 안된 화학제품 제조업</t>
        </is>
      </c>
      <c r="Z235" t="inlineStr">
        <is>
          <t>기타화학물,감광 재료 및 관련 화학제품 제조업,기타 상품 중개업,염료, 안료 및 관련제품 도매업,상품 종합 도매업,물리, 화학 및 생물학 연구개발업,농학 연구</t>
        </is>
      </c>
      <c r="AA235" t="inlineStr">
        <is>
          <t>경기 화성시 동탄구 영천동 823-6번지 금강펜테리움아이엑스타워 에이3312, 에이3313, 씨325, 씨526</t>
        </is>
      </c>
      <c r="AB235" t="inlineStr">
        <is>
          <t>경기 화성시 동탄구 동탄첨단산업1로 27, 에이3312, 에이3313, 씨325, 씨526 (영천동,금강펜테리움아이엑스타워)</t>
        </is>
      </c>
    </row>
    <row r="236" ht="19.2" customHeight="1" s="1">
      <c r="A236" t="inlineStr">
        <is>
          <t>NICE:C44977</t>
        </is>
      </c>
      <c r="B236" t="inlineStr">
        <is>
          <t>에이취휴먼테크</t>
        </is>
      </c>
      <c r="C236" s="5" t="n">
        <v>11282967000</v>
      </c>
      <c r="D236" s="5" t="n">
        <v>2276970000</v>
      </c>
      <c r="E236" s="5" t="n">
        <v>9005996000</v>
      </c>
      <c r="F236" s="5" t="n">
        <v>20379312000</v>
      </c>
      <c r="G236" s="5" t="n">
        <v>2538854000</v>
      </c>
      <c r="H236" s="5" t="n">
        <v>26816144000</v>
      </c>
      <c r="I236" s="5" t="n">
        <v>1766101000</v>
      </c>
      <c r="J236" s="4" t="n">
        <v>4.712900161743164</v>
      </c>
      <c r="K236" s="4" t="n">
        <v>0.2527999877929688</v>
      </c>
      <c r="L236" s="4" t="n">
        <v>0.124600000679493</v>
      </c>
      <c r="M236" t="inlineStr">
        <is>
          <t>성다일</t>
        </is>
      </c>
      <c r="N236" t="inlineStr">
        <is>
          <t>02-2062-8902</t>
        </is>
      </c>
      <c r="O236" t="inlineStr">
        <is>
          <t>02-6455-8905</t>
        </is>
      </c>
      <c r="P236" s="3">
        <f>HYPERLINK("http://www.he.co.kr", "http://www.he.co.kr")</f>
        <v/>
      </c>
      <c r="Q236" t="inlineStr">
        <is>
          <t>1098606173</t>
        </is>
      </c>
      <c r="R236" t="inlineStr">
        <is>
          <t>1101113601211</t>
        </is>
      </c>
      <c r="S236" t="inlineStr">
        <is>
          <t>대상아님</t>
        </is>
      </c>
      <c r="T236" t="inlineStr">
        <is>
          <t>일반법인</t>
        </is>
      </c>
      <c r="U236" t="inlineStr">
        <is>
          <t>중소기업</t>
        </is>
      </c>
      <c r="V236" t="inlineStr">
        <is>
          <t>외부감사비대상</t>
        </is>
      </c>
      <c r="W236" s="6" t="inlineStr">
        <is>
          <t>2007-01-16</t>
        </is>
      </c>
      <c r="X236" t="inlineStr">
        <is>
          <t>KRI:10M7212900</t>
        </is>
      </c>
      <c r="Y236" t="inlineStr">
        <is>
          <t>기타 엔지니어링 서비스업</t>
        </is>
      </c>
      <c r="Z236" t="inlineStr">
        <is>
          <t>기술용역/소프트웨어 개발/컴퓨터시스템,주변기기 제조,도소매</t>
        </is>
      </c>
      <c r="AA236" t="inlineStr">
        <is>
          <t>서울 강서구 가양동 449-21번지 한화비즈메트로2차 701호</t>
        </is>
      </c>
      <c r="AB236" t="inlineStr">
        <is>
          <t>서울 강서구 양천로 551-24, 701호 (가양동,한화비즈메트로2차)</t>
        </is>
      </c>
    </row>
    <row r="237" ht="19.2" customHeight="1" s="1">
      <c r="A237" t="inlineStr">
        <is>
          <t>NICE:PQ3796</t>
        </is>
      </c>
      <c r="B237" t="inlineStr">
        <is>
          <t>티더블유씨</t>
        </is>
      </c>
      <c r="C237" s="5" t="n">
        <v>27914239000</v>
      </c>
      <c r="D237" s="5" t="n">
        <v>23028051000</v>
      </c>
      <c r="E237" s="5" t="n">
        <v>4886188000</v>
      </c>
      <c r="F237" s="5" t="n">
        <v>22243479000</v>
      </c>
      <c r="G237" s="5" t="n">
        <v>6398714000</v>
      </c>
      <c r="H237" s="5" t="n">
        <v>19559842000</v>
      </c>
      <c r="I237" s="5" t="n">
        <v>2535023000</v>
      </c>
      <c r="J237" s="4" t="n">
        <v>0.3397000133991241</v>
      </c>
      <c r="K237" s="4" t="n">
        <v>4.712900161743164</v>
      </c>
      <c r="L237" s="4" t="n">
        <v>0.2876999974250793</v>
      </c>
      <c r="M237" t="inlineStr">
        <is>
          <t>박민수</t>
        </is>
      </c>
      <c r="N237" t="inlineStr">
        <is>
          <t>070-4155-0333</t>
        </is>
      </c>
      <c r="P237" s="3" t="n"/>
      <c r="Q237" t="inlineStr">
        <is>
          <t>4318702862</t>
        </is>
      </c>
      <c r="R237" t="inlineStr">
        <is>
          <t>1101118493358</t>
        </is>
      </c>
      <c r="S237" t="inlineStr">
        <is>
          <t>대상아님</t>
        </is>
      </c>
      <c r="T237" t="inlineStr">
        <is>
          <t>일반법인</t>
        </is>
      </c>
      <c r="U237" t="inlineStr">
        <is>
          <t>중소기업</t>
        </is>
      </c>
      <c r="V237" t="inlineStr">
        <is>
          <t>외부감사대상</t>
        </is>
      </c>
      <c r="W237" s="6" t="inlineStr">
        <is>
          <t>2022-12-05</t>
        </is>
      </c>
      <c r="X237" t="inlineStr">
        <is>
          <t>KRI:10G4721700</t>
        </is>
      </c>
      <c r="Y237" t="inlineStr">
        <is>
          <t>건강보조식품 소매업</t>
        </is>
      </c>
      <c r="Z237" t="inlineStr">
        <is>
          <t>건강보조식품 소매</t>
        </is>
      </c>
      <c r="AA237" t="inlineStr">
        <is>
          <t>서울 서초구 방배동 750-20번지 인시그니아반포 102동 1802호</t>
        </is>
      </c>
      <c r="AB237" t="inlineStr">
        <is>
          <t>서울 서초구 사평대로 12, 102동 1802호 (방배동,인시그니아반포)</t>
        </is>
      </c>
    </row>
    <row r="238" s="1">
      <c r="A238" t="inlineStr">
        <is>
          <t>NICE:E73240</t>
        </is>
      </c>
      <c r="B238" t="inlineStr">
        <is>
          <t>아이티잉크</t>
        </is>
      </c>
      <c r="C238" s="5" t="n">
        <v>28678159000</v>
      </c>
      <c r="D238" s="5" t="n">
        <v>2889475000</v>
      </c>
      <c r="E238" s="5" t="n">
        <v>25788684000</v>
      </c>
      <c r="F238" s="5" t="n">
        <v>21616344000</v>
      </c>
      <c r="G238" s="5" t="n">
        <v>12078782000</v>
      </c>
      <c r="H238" s="5" t="n">
        <v>14844991000</v>
      </c>
      <c r="I238" s="5" t="n">
        <v>7896343000</v>
      </c>
      <c r="J238" s="4" t="n">
        <v>8.678099632263184</v>
      </c>
      <c r="K238" s="4" t="n">
        <v>0.1119999960064888</v>
      </c>
      <c r="L238" s="4" t="n">
        <v>0.5587999820709229</v>
      </c>
      <c r="M238" t="inlineStr">
        <is>
          <t>김인태</t>
        </is>
      </c>
      <c r="N238" t="inlineStr">
        <is>
          <t>031-977-2989</t>
        </is>
      </c>
      <c r="O238" t="inlineStr">
        <is>
          <t>031-977-2986</t>
        </is>
      </c>
      <c r="P238">
        <f>HYPERLINK("http://www.itink.co.kr", "http://www.itink.co.kr")</f>
        <v/>
      </c>
      <c r="Q238" t="inlineStr">
        <is>
          <t>1288632503</t>
        </is>
      </c>
      <c r="R238" t="inlineStr">
        <is>
          <t>2850110147062</t>
        </is>
      </c>
      <c r="S238" t="inlineStr">
        <is>
          <t>대상아님</t>
        </is>
      </c>
      <c r="T238" t="inlineStr">
        <is>
          <t>일반법인</t>
        </is>
      </c>
      <c r="U238" t="inlineStr">
        <is>
          <t>중소기업</t>
        </is>
      </c>
      <c r="V238" t="inlineStr">
        <is>
          <t>외부감사대상</t>
        </is>
      </c>
      <c r="W238" s="6" t="inlineStr">
        <is>
          <t>2008-07-16</t>
        </is>
      </c>
      <c r="X238" t="inlineStr">
        <is>
          <t>KRI:10C2041300</t>
        </is>
      </c>
      <c r="Y238" t="inlineStr">
        <is>
          <t>인쇄잉크 및 회화용 물감 제조업</t>
        </is>
      </c>
      <c r="Z238" t="inlineStr">
        <is>
          <t>잉크제품(특수잉크젯잉크),컴퓨터주변기기 제조</t>
        </is>
      </c>
      <c r="AA238" t="inlineStr">
        <is>
          <t>경기 파주시 신촌동 724-2번지</t>
        </is>
      </c>
      <c r="AB238" t="inlineStr">
        <is>
          <t>경기 파주시 신촌2로 23</t>
        </is>
      </c>
    </row>
    <row r="239" ht="19.2" customHeight="1" s="1">
      <c r="A239" t="inlineStr">
        <is>
          <t>NICE:490444</t>
        </is>
      </c>
      <c r="B239" t="inlineStr">
        <is>
          <t>농업회사법인오설록농장</t>
        </is>
      </c>
      <c r="C239" s="5" t="n">
        <v>170238630000</v>
      </c>
      <c r="D239" s="5" t="n">
        <v>15394271000</v>
      </c>
      <c r="E239" s="5" t="n">
        <v>154844359000</v>
      </c>
      <c r="F239" s="5" t="n">
        <v>65045487000</v>
      </c>
      <c r="G239" s="5" t="n">
        <v>15185909000</v>
      </c>
      <c r="H239" s="5" t="n">
        <v>57312280000</v>
      </c>
      <c r="I239" s="5" t="n">
        <v>8775654000</v>
      </c>
      <c r="J239" s="4" t="n">
        <v>4.458999633789062</v>
      </c>
      <c r="K239" s="4" t="n">
        <v>0.09939999133348465</v>
      </c>
      <c r="L239" s="4" t="n">
        <v>0.2335000038146973</v>
      </c>
      <c r="M239" t="inlineStr">
        <is>
          <t>이진호</t>
        </is>
      </c>
      <c r="N239" t="inlineStr">
        <is>
          <t>064-794-6606</t>
        </is>
      </c>
      <c r="O239" t="inlineStr">
        <is>
          <t>064-794-6607</t>
        </is>
      </c>
      <c r="P239" s="3">
        <f>HYPERLINK("http://www.jwgreentea.co.kr", "http://www.jwgreentea.co.kr")</f>
        <v/>
      </c>
      <c r="Q239" t="inlineStr">
        <is>
          <t>6168160063</t>
        </is>
      </c>
      <c r="R239" t="inlineStr">
        <is>
          <t>2241110013610</t>
        </is>
      </c>
      <c r="S239" t="inlineStr">
        <is>
          <t>대상아님</t>
        </is>
      </c>
      <c r="T239" t="inlineStr">
        <is>
          <t>일반법인</t>
        </is>
      </c>
      <c r="U239" t="inlineStr">
        <is>
          <t>중견기업</t>
        </is>
      </c>
      <c r="V239" t="inlineStr">
        <is>
          <t>외부감사대상</t>
        </is>
      </c>
      <c r="W239" s="6" t="inlineStr">
        <is>
          <t>2007-04-16</t>
        </is>
      </c>
      <c r="X239" t="inlineStr">
        <is>
          <t>KRI:10C1079200</t>
        </is>
      </c>
      <c r="Y239" t="inlineStr">
        <is>
          <t>차류 가공업</t>
        </is>
      </c>
      <c r="Z239" t="inlineStr">
        <is>
          <t>녹차 가공,다류 제조,판매</t>
        </is>
      </c>
      <c r="AA239" t="inlineStr">
        <is>
          <t>제주 서귀포시 남원읍 한남리 1443번지</t>
        </is>
      </c>
      <c r="AB239" t="inlineStr">
        <is>
          <t>제주 서귀포시 남원읍 서성로652번길 199</t>
        </is>
      </c>
    </row>
    <row r="240" ht="19.2" customHeight="1" s="1">
      <c r="A240" t="inlineStr">
        <is>
          <t>NICE:032127</t>
        </is>
      </c>
      <c r="B240" t="inlineStr">
        <is>
          <t>서우건설산업</t>
        </is>
      </c>
      <c r="C240" s="5" t="n">
        <v>85767902000</v>
      </c>
      <c r="D240" s="5" t="n">
        <v>16186511000</v>
      </c>
      <c r="E240" s="5" t="n">
        <v>69581391000</v>
      </c>
      <c r="F240" s="5" t="n">
        <v>58623259000</v>
      </c>
      <c r="G240" s="5" t="n">
        <v>6539965000</v>
      </c>
      <c r="H240" s="5" t="n">
        <v>65772682000</v>
      </c>
      <c r="I240" s="5" t="n">
        <v>3116202000</v>
      </c>
      <c r="J240" s="4" t="n">
        <v>4.144099712371826</v>
      </c>
      <c r="K240" s="4" t="n">
        <v>0.2326000034809113</v>
      </c>
      <c r="L240" s="4" t="n">
        <v>0.1115999966859818</v>
      </c>
      <c r="M240" t="inlineStr">
        <is>
          <t>이자영/이종록</t>
        </is>
      </c>
      <c r="N240" t="inlineStr">
        <is>
          <t>02-808-3983-5</t>
        </is>
      </c>
      <c r="O240" t="inlineStr">
        <is>
          <t>02-804-2163</t>
        </is>
      </c>
      <c r="P240" s="3" t="n"/>
      <c r="Q240" t="inlineStr">
        <is>
          <t>1198116692</t>
        </is>
      </c>
      <c r="R240" t="inlineStr">
        <is>
          <t>1101111042649</t>
        </is>
      </c>
      <c r="S240" t="inlineStr">
        <is>
          <t>대상아님</t>
        </is>
      </c>
      <c r="T240" t="inlineStr">
        <is>
          <t>일반법인</t>
        </is>
      </c>
      <c r="U240" t="inlineStr">
        <is>
          <t>중소기업</t>
        </is>
      </c>
      <c r="V240" t="inlineStr">
        <is>
          <t>외부감사대상</t>
        </is>
      </c>
      <c r="W240" s="6" t="inlineStr">
        <is>
          <t>1994-06-02</t>
        </is>
      </c>
      <c r="X240" t="inlineStr">
        <is>
          <t>KRI:10F4231100</t>
        </is>
      </c>
      <c r="Y240" t="inlineStr">
        <is>
          <t>일반전기 공사업</t>
        </is>
      </c>
      <c r="Z240" t="inlineStr">
        <is>
          <t>전기공사,소방시설공사,정보통신공사/철도신호제품 제조,도소매/소프트웨어 개발,공급/공장 임대</t>
        </is>
      </c>
      <c r="AA240" t="inlineStr">
        <is>
          <t>서울 금천구 시흥동 113-114번지</t>
        </is>
      </c>
      <c r="AB240" t="inlineStr">
        <is>
          <t>서울 금천구 시흥대로63길 60</t>
        </is>
      </c>
    </row>
    <row r="241" ht="19.2" customHeight="1" s="1">
      <c r="A241" t="inlineStr">
        <is>
          <t>NICE:206324</t>
        </is>
      </c>
      <c r="B241" t="inlineStr">
        <is>
          <t>한드림넷</t>
        </is>
      </c>
      <c r="C241" s="5" t="n">
        <v>47767768000</v>
      </c>
      <c r="D241" s="5" t="n">
        <v>12832787000</v>
      </c>
      <c r="E241" s="5" t="n">
        <v>34934981000</v>
      </c>
      <c r="F241" s="5" t="n">
        <v>22398363000</v>
      </c>
      <c r="G241" s="5" t="n">
        <v>3444512000</v>
      </c>
      <c r="H241" s="5" t="n">
        <v>28033853000</v>
      </c>
      <c r="I241" s="5" t="n">
        <v>6728375000</v>
      </c>
      <c r="J241" s="4" t="n">
        <v>2.851400136947632</v>
      </c>
      <c r="K241" s="4" t="n">
        <v>0.3672999739646912</v>
      </c>
      <c r="L241" s="4" t="n">
        <v>0.1537999957799911</v>
      </c>
      <c r="M241" t="inlineStr">
        <is>
          <t>서현원</t>
        </is>
      </c>
      <c r="N241" t="inlineStr">
        <is>
          <t>070-5070-9404</t>
        </is>
      </c>
      <c r="O241" t="inlineStr">
        <is>
          <t>02-890-6654</t>
        </is>
      </c>
      <c r="P241" s="3">
        <f>HYPERLINK("http://www.handream.net", "http://www.handream.net")</f>
        <v/>
      </c>
      <c r="Q241" t="inlineStr">
        <is>
          <t>2208182449</t>
        </is>
      </c>
      <c r="R241" t="inlineStr">
        <is>
          <t>1101111916654</t>
        </is>
      </c>
      <c r="S241" t="inlineStr">
        <is>
          <t>대상아님</t>
        </is>
      </c>
      <c r="T241" t="inlineStr">
        <is>
          <t>일반법인</t>
        </is>
      </c>
      <c r="U241" t="inlineStr">
        <is>
          <t>중소기업</t>
        </is>
      </c>
      <c r="V241" t="inlineStr">
        <is>
          <t>외부감사대상</t>
        </is>
      </c>
      <c r="W241" s="6" t="inlineStr">
        <is>
          <t>2000-03-23</t>
        </is>
      </c>
      <c r="X241" t="inlineStr">
        <is>
          <t>KRI:10C2641000</t>
        </is>
      </c>
      <c r="Y241" t="inlineStr">
        <is>
          <t>유선 통신장비 제조업</t>
        </is>
      </c>
      <c r="Z241" t="inlineStr">
        <is>
          <t>인터넷장비,컴퓨터,컴퓨터주변기기 제조,도소매,수출입/소프트웨어개발</t>
        </is>
      </c>
      <c r="AA241" t="inlineStr">
        <is>
          <t>경기 의왕시 포일동 653번지 D동 821호</t>
        </is>
      </c>
      <c r="AB241" t="inlineStr">
        <is>
          <t>경기 의왕시 이미로 40, D동 821호</t>
        </is>
      </c>
    </row>
    <row r="242" s="1">
      <c r="A242" t="inlineStr">
        <is>
          <t>NICE:C19960</t>
        </is>
      </c>
      <c r="B242" t="inlineStr">
        <is>
          <t>명지대학교산학협력단</t>
        </is>
      </c>
      <c r="C242" s="5" t="n">
        <v>31603159000</v>
      </c>
      <c r="D242" s="5" t="n">
        <v>9434178000</v>
      </c>
      <c r="E242" s="5" t="n">
        <v>22168981000</v>
      </c>
      <c r="F242" s="5" t="n">
        <v>35530449000</v>
      </c>
      <c r="G242" s="5" t="n">
        <v>4621479000</v>
      </c>
      <c r="H242" s="5" t="n">
        <v>32344040000</v>
      </c>
      <c r="I242" s="5" t="n">
        <v>2876411000</v>
      </c>
      <c r="J242" s="4" t="n">
        <v>4.43779993057251</v>
      </c>
      <c r="K242" s="4" t="n">
        <v>0.425599992275238</v>
      </c>
      <c r="L242" s="4" t="n">
        <v>0.1300999969244003</v>
      </c>
      <c r="M242" t="inlineStr">
        <is>
          <t>김영욱</t>
        </is>
      </c>
      <c r="N242" t="inlineStr">
        <is>
          <t>031-330-6841</t>
        </is>
      </c>
      <c r="O242" t="inlineStr">
        <is>
          <t>031-330-6123</t>
        </is>
      </c>
      <c r="P242">
        <f>HYPERLINK("http://indcoop.mju.ac.kr", "http://indcoop.mju.ac.kr")</f>
        <v/>
      </c>
      <c r="Q242" t="inlineStr">
        <is>
          <t>1358211060</t>
        </is>
      </c>
      <c r="R242" t="inlineStr">
        <is>
          <t>1345710003971</t>
        </is>
      </c>
      <c r="S242" t="inlineStr">
        <is>
          <t>대상아님</t>
        </is>
      </c>
      <c r="T242" t="inlineStr">
        <is>
          <t>비영리법인</t>
        </is>
      </c>
      <c r="U242" t="inlineStr">
        <is>
          <t>대상아님</t>
        </is>
      </c>
      <c r="V242" t="inlineStr">
        <is>
          <t>외부감사비대상</t>
        </is>
      </c>
      <c r="W242" s="6" t="inlineStr">
        <is>
          <t>2004-07-28</t>
        </is>
      </c>
      <c r="X242" t="inlineStr">
        <is>
          <t>KRI:10M7160000</t>
        </is>
      </c>
      <c r="Y242" t="inlineStr">
        <is>
          <t>기타 전문 서비스업</t>
        </is>
      </c>
      <c r="Z242" t="inlineStr">
        <is>
          <t>산학협력단</t>
        </is>
      </c>
      <c r="AA242" t="inlineStr">
        <is>
          <t>경기 용인시 처인구 남동 555번지 명지대학교</t>
        </is>
      </c>
      <c r="AB242" t="inlineStr">
        <is>
          <t>경기 용인시 처인구 명지로 116 (남동,명지대학교)</t>
        </is>
      </c>
    </row>
    <row r="243" s="1">
      <c r="A243" t="inlineStr">
        <is>
          <t>NICE:QP2219</t>
        </is>
      </c>
      <c r="B243" t="inlineStr">
        <is>
          <t>이노션에스</t>
        </is>
      </c>
      <c r="C243" s="5" t="n">
        <v>15542355000</v>
      </c>
      <c r="D243" s="5" t="n">
        <v>9362375000</v>
      </c>
      <c r="E243" s="5" t="n">
        <v>6179979000</v>
      </c>
      <c r="F243" s="5" t="n">
        <v>22443159000</v>
      </c>
      <c r="G243" s="5" t="n">
        <v>3881886000</v>
      </c>
      <c r="H243" s="5" t="n">
        <v>14203688000</v>
      </c>
      <c r="I243" s="5" t="n">
        <v>1283500000</v>
      </c>
      <c r="J243" s="4" t="n">
        <v>1.66759991645813</v>
      </c>
      <c r="K243" s="4" t="n">
        <v>1.514999985694885</v>
      </c>
      <c r="L243" s="4" t="n">
        <v>0.1729999929666519</v>
      </c>
      <c r="M243" t="inlineStr">
        <is>
          <t>이윤경</t>
        </is>
      </c>
      <c r="N243" t="inlineStr">
        <is>
          <t>02-2052-2363</t>
        </is>
      </c>
      <c r="O243" t="inlineStr">
        <is>
          <t>02-2052-2364</t>
        </is>
      </c>
      <c r="P243">
        <f>HYPERLINK("https://innocean-s.com", "https://innocean-s.com")</f>
        <v/>
      </c>
      <c r="Q243" t="inlineStr">
        <is>
          <t>2468802956</t>
        </is>
      </c>
      <c r="R243" t="inlineStr">
        <is>
          <t>1101118806246</t>
        </is>
      </c>
      <c r="S243" t="inlineStr">
        <is>
          <t>대상아님</t>
        </is>
      </c>
      <c r="T243" t="inlineStr">
        <is>
          <t>일반법인</t>
        </is>
      </c>
      <c r="U243" t="inlineStr">
        <is>
          <t>대기업</t>
        </is>
      </c>
      <c r="V243" t="inlineStr">
        <is>
          <t>외부감사대상</t>
        </is>
      </c>
      <c r="W243" s="6" t="inlineStr">
        <is>
          <t>2023-11-30</t>
        </is>
      </c>
      <c r="X243" t="inlineStr">
        <is>
          <t>KRI:10M7131000</t>
        </is>
      </c>
      <c r="Y243" t="inlineStr">
        <is>
          <t>광고 대행업</t>
        </is>
      </c>
      <c r="Z243" t="inlineStr">
        <is>
          <t>광고 대행/무형재산권 임대,중개/인쇄,출판/부동산 임대,공급</t>
        </is>
      </c>
      <c r="AA243" t="inlineStr">
        <is>
          <t>서울 강남구 역삼동 648번지 7층</t>
        </is>
      </c>
      <c r="AB243" t="inlineStr">
        <is>
          <t>서울 강남구 테헤란로7길 12, 7층</t>
        </is>
      </c>
    </row>
    <row r="244" ht="19.2" customHeight="1" s="1">
      <c r="A244" t="inlineStr">
        <is>
          <t>NICE:I05993</t>
        </is>
      </c>
      <c r="B244" t="inlineStr">
        <is>
          <t>신세계동대구복합환승센터</t>
        </is>
      </c>
      <c r="C244" s="5" t="n">
        <v>794914000000</v>
      </c>
      <c r="D244" s="5" t="n">
        <v>346520106000</v>
      </c>
      <c r="E244" s="5" t="n">
        <v>448393893000</v>
      </c>
      <c r="F244" s="5" t="n">
        <v>295363413000</v>
      </c>
      <c r="G244" s="5" t="n">
        <v>82084855000</v>
      </c>
      <c r="H244" s="5" t="n">
        <v>284162993000</v>
      </c>
      <c r="I244" s="5" t="n">
        <v>77118436000</v>
      </c>
      <c r="J244" s="4" t="n">
        <v>0.4302999675273895</v>
      </c>
      <c r="K244" s="4" t="n">
        <v>0.7727999687194824</v>
      </c>
      <c r="L244" s="4" t="n">
        <v>0.2779000103473663</v>
      </c>
      <c r="M244" t="inlineStr">
        <is>
          <t>김은</t>
        </is>
      </c>
      <c r="N244" t="inlineStr">
        <is>
          <t>053-661-1062</t>
        </is>
      </c>
      <c r="O244" t="inlineStr">
        <is>
          <t>053-661-1177</t>
        </is>
      </c>
      <c r="P244" s="3">
        <f>HYPERLINK("http://www.shinsegae.com", "http://www.shinsegae.com")</f>
        <v/>
      </c>
      <c r="Q244" t="inlineStr">
        <is>
          <t>5028617068</t>
        </is>
      </c>
      <c r="R244" t="inlineStr">
        <is>
          <t>1701110459570</t>
        </is>
      </c>
      <c r="S244" t="inlineStr">
        <is>
          <t>대상아님</t>
        </is>
      </c>
      <c r="T244" t="inlineStr">
        <is>
          <t>일반법인</t>
        </is>
      </c>
      <c r="U244" t="inlineStr">
        <is>
          <t>대기업</t>
        </is>
      </c>
      <c r="V244" t="inlineStr">
        <is>
          <t>외부감사대상</t>
        </is>
      </c>
      <c r="W244" s="6" t="inlineStr">
        <is>
          <t>2012-05-02</t>
        </is>
      </c>
      <c r="X244" t="inlineStr">
        <is>
          <t>KRI:10G4711100</t>
        </is>
      </c>
      <c r="Y244" t="inlineStr">
        <is>
          <t>백화점</t>
        </is>
      </c>
      <c r="Z244" t="inlineStr">
        <is>
          <t>백화점/의류,잡화 제조/주차장운영,상품권판매/부동산 임대</t>
        </is>
      </c>
      <c r="AA244" t="inlineStr">
        <is>
          <t>대구 동구 신천동 1506번지</t>
        </is>
      </c>
      <c r="AB244" t="inlineStr">
        <is>
          <t>대구 동구 동부로 149</t>
        </is>
      </c>
    </row>
    <row r="245" ht="19.2" customHeight="1" s="1">
      <c r="A245" t="inlineStr">
        <is>
          <t>NICE:245541</t>
        </is>
      </c>
      <c r="B245" t="inlineStr">
        <is>
          <t>시민장례식장</t>
        </is>
      </c>
      <c r="C245" s="5" t="n">
        <v>63870477000</v>
      </c>
      <c r="D245" s="5" t="n">
        <v>21893810000</v>
      </c>
      <c r="E245" s="5" t="n">
        <v>41976667000</v>
      </c>
      <c r="F245" s="5" t="n">
        <v>27359465000</v>
      </c>
      <c r="G245" s="5" t="n">
        <v>7573534000</v>
      </c>
      <c r="H245" s="5" t="n">
        <v>26566098000</v>
      </c>
      <c r="I245" s="5" t="n">
        <v>8661389000</v>
      </c>
      <c r="J245" s="4" t="n">
        <v>1.039999961853027</v>
      </c>
      <c r="K245" s="4" t="n">
        <v>0.5216000080108643</v>
      </c>
      <c r="L245" s="4" t="n">
        <v>0.2768000066280365</v>
      </c>
      <c r="M245" t="inlineStr">
        <is>
          <t>김원숙/문성훈</t>
        </is>
      </c>
      <c r="N245" t="inlineStr">
        <is>
          <t>051-668-6817</t>
        </is>
      </c>
      <c r="O245" t="inlineStr">
        <is>
          <t>051-668-6818</t>
        </is>
      </c>
      <c r="P245" s="3">
        <f>HYPERLINK("http://www.siminf.co.kr", "http://www.siminf.co.kr")</f>
        <v/>
      </c>
      <c r="Q245" t="inlineStr">
        <is>
          <t>6058162004</t>
        </is>
      </c>
      <c r="R245" t="inlineStr">
        <is>
          <t>1801110458497</t>
        </is>
      </c>
      <c r="S245" t="inlineStr">
        <is>
          <t>대상아님</t>
        </is>
      </c>
      <c r="T245" t="inlineStr">
        <is>
          <t>일반법인</t>
        </is>
      </c>
      <c r="U245" t="inlineStr">
        <is>
          <t>중소기업</t>
        </is>
      </c>
      <c r="V245" t="inlineStr">
        <is>
          <t>외부감사대상</t>
        </is>
      </c>
      <c r="W245" s="6" t="inlineStr">
        <is>
          <t>2003-08-14</t>
        </is>
      </c>
      <c r="X245" t="inlineStr">
        <is>
          <t>KRI:10S9692100</t>
        </is>
      </c>
      <c r="Y245" t="inlineStr">
        <is>
          <t>장례식장 및 장의관련 서비스업</t>
        </is>
      </c>
      <c r="Z245" t="inlineStr">
        <is>
          <t>장례,주차장/구내매점/한식 음식점/부동산 임대</t>
        </is>
      </c>
      <c r="AA245" t="inlineStr">
        <is>
          <t>부산 부산진구 범천동 839-19번지</t>
        </is>
      </c>
      <c r="AB245" t="inlineStr">
        <is>
          <t>부산 부산진구 자유평화로 31</t>
        </is>
      </c>
    </row>
    <row r="246" ht="19.2" customHeight="1" s="1">
      <c r="A246" t="inlineStr">
        <is>
          <t>NICE:H37285</t>
        </is>
      </c>
      <c r="B246" t="inlineStr">
        <is>
          <t>피알피사이언스</t>
        </is>
      </c>
      <c r="C246" s="5" t="n">
        <v>39657045000</v>
      </c>
      <c r="D246" s="5" t="n">
        <v>12669416000</v>
      </c>
      <c r="E246" s="5" t="n">
        <v>26987629000</v>
      </c>
      <c r="F246" s="5" t="n">
        <v>25898333000</v>
      </c>
      <c r="G246" s="5" t="n">
        <v>11805703000</v>
      </c>
      <c r="H246" s="5" t="n">
        <v>11743841000</v>
      </c>
      <c r="I246" s="5" t="n">
        <v>4287693000</v>
      </c>
      <c r="J246" s="4" t="n">
        <v>3.027999877929688</v>
      </c>
      <c r="K246" s="4" t="n">
        <v>0.4695000052452087</v>
      </c>
      <c r="L246" s="4" t="n">
        <v>0.4557999968528748</v>
      </c>
      <c r="M246" t="inlineStr">
        <is>
          <t>신문석</t>
        </is>
      </c>
      <c r="N246" t="inlineStr">
        <is>
          <t>02-540-8864</t>
        </is>
      </c>
      <c r="P246" s="3">
        <f>HYPERLINK("http://www.prpscience.co.kr", "http://www.prpscience.co.kr")</f>
        <v/>
      </c>
      <c r="Q246" t="inlineStr">
        <is>
          <t>1148685807</t>
        </is>
      </c>
      <c r="R246" t="inlineStr">
        <is>
          <t>1101114518093</t>
        </is>
      </c>
      <c r="S246" t="inlineStr">
        <is>
          <t>대상아님</t>
        </is>
      </c>
      <c r="T246" t="inlineStr">
        <is>
          <t>일반법인</t>
        </is>
      </c>
      <c r="U246" t="inlineStr">
        <is>
          <t>중소기업</t>
        </is>
      </c>
      <c r="V246" t="inlineStr">
        <is>
          <t>외부감사대상</t>
        </is>
      </c>
      <c r="W246" s="6" t="inlineStr">
        <is>
          <t>2011-01-19</t>
        </is>
      </c>
      <c r="X246" t="inlineStr">
        <is>
          <t>KRI:10C2719900</t>
        </is>
      </c>
      <c r="Y246" t="inlineStr">
        <is>
          <t>그 외 기타 의료용 기기 제조업</t>
        </is>
      </c>
      <c r="Z246" t="inlineStr">
        <is>
          <t>의료기기 제조/화장품 제조,도소매/무역(수출입)</t>
        </is>
      </c>
      <c r="AA246" t="inlineStr">
        <is>
          <t>경기 화성시 만세구 팔탄면 율암리 433-3번지</t>
        </is>
      </c>
      <c r="AB246" t="inlineStr">
        <is>
          <t>경기 화성시 만세구 팔탄면 율암길 81-54</t>
        </is>
      </c>
    </row>
    <row r="247" ht="19.2" customHeight="1" s="1">
      <c r="A247" t="inlineStr">
        <is>
          <t>NICE:C51751</t>
        </is>
      </c>
      <c r="B247" t="inlineStr">
        <is>
          <t>에이엠티</t>
        </is>
      </c>
      <c r="C247" s="5" t="n">
        <v>16742103000</v>
      </c>
      <c r="D247" s="5" t="n">
        <v>5322237000</v>
      </c>
      <c r="E247" s="5" t="n">
        <v>11419866000</v>
      </c>
      <c r="F247" s="5" t="n">
        <v>22022898000</v>
      </c>
      <c r="G247" s="5" t="n">
        <v>2482885000</v>
      </c>
      <c r="H247" s="5" t="n">
        <v>19027004000</v>
      </c>
      <c r="I247" s="5" t="n">
        <v>2170480000</v>
      </c>
      <c r="J247" s="4" t="n">
        <v>2.042999982833862</v>
      </c>
      <c r="K247" s="4" t="n">
        <v>0.4661000072956085</v>
      </c>
      <c r="L247" s="4" t="n">
        <v>0.1127000004053116</v>
      </c>
      <c r="M247" t="inlineStr">
        <is>
          <t>김진천</t>
        </is>
      </c>
      <c r="N247" t="inlineStr">
        <is>
          <t>031-8047-0413</t>
        </is>
      </c>
      <c r="O247" t="inlineStr">
        <is>
          <t>031-8047-0416</t>
        </is>
      </c>
      <c r="P247" s="3" t="n"/>
      <c r="Q247" t="inlineStr">
        <is>
          <t>5138150679</t>
        </is>
      </c>
      <c r="R247" t="inlineStr">
        <is>
          <t>1760110056281</t>
        </is>
      </c>
      <c r="S247" t="inlineStr">
        <is>
          <t>대상아님</t>
        </is>
      </c>
      <c r="T247" t="inlineStr">
        <is>
          <t>일반법인</t>
        </is>
      </c>
      <c r="U247" t="inlineStr">
        <is>
          <t>중소기업</t>
        </is>
      </c>
      <c r="V247" t="inlineStr">
        <is>
          <t>외부감사대상</t>
        </is>
      </c>
      <c r="W247" s="6" t="inlineStr">
        <is>
          <t>2008-10-20</t>
        </is>
      </c>
      <c r="X247" t="inlineStr">
        <is>
          <t>KRI:10C3132200</t>
        </is>
      </c>
      <c r="Y247" t="inlineStr">
        <is>
          <t>항공기용 부품 제조업</t>
        </is>
      </c>
      <c r="Z247" t="inlineStr">
        <is>
          <t>항공우주부품,기계,금속가공,전자통신기기 제조/부동산 임대/연구개발</t>
        </is>
      </c>
      <c r="AA247" t="inlineStr">
        <is>
          <t>경기 화성시 효행구 정남면 제기리 182-6번지</t>
        </is>
      </c>
      <c r="AB247" t="inlineStr">
        <is>
          <t>경기 화성시 효행구 정남면 제기길 144</t>
        </is>
      </c>
    </row>
    <row r="248" ht="19.2" customHeight="1" s="1">
      <c r="A248" t="inlineStr">
        <is>
          <t>NICE:217582</t>
        </is>
      </c>
      <c r="B248" t="inlineStr">
        <is>
          <t>지컴</t>
        </is>
      </c>
      <c r="C248" s="5" t="n">
        <v>13718543000</v>
      </c>
      <c r="D248" s="5" t="n">
        <v>2197566000</v>
      </c>
      <c r="E248" s="5" t="n">
        <v>11520978000</v>
      </c>
      <c r="F248" s="5" t="n">
        <v>23445737000</v>
      </c>
      <c r="G248" s="5" t="n">
        <v>2488593000</v>
      </c>
      <c r="H248" s="5" t="n">
        <v>17753082000</v>
      </c>
      <c r="I248" s="5" t="n">
        <v>1068267000</v>
      </c>
      <c r="J248" s="4" t="n">
        <v>6.225499629974365</v>
      </c>
      <c r="K248" s="4" t="n">
        <v>0.1906999945640564</v>
      </c>
      <c r="L248" s="4" t="n">
        <v>0.1060999929904938</v>
      </c>
      <c r="M248" t="inlineStr">
        <is>
          <t>김우재/최성식</t>
        </is>
      </c>
      <c r="N248" t="inlineStr">
        <is>
          <t>02-581-6989</t>
        </is>
      </c>
      <c r="O248" t="inlineStr">
        <is>
          <t>02-3471-6986</t>
        </is>
      </c>
      <c r="P248" s="3">
        <f>HYPERLINK("http://www.gcomm.co.kr", "http://www.gcomm.co.kr")</f>
        <v/>
      </c>
      <c r="Q248" t="inlineStr">
        <is>
          <t>2148607436</t>
        </is>
      </c>
      <c r="R248" t="inlineStr">
        <is>
          <t>1101111294240</t>
        </is>
      </c>
      <c r="S248" t="inlineStr">
        <is>
          <t>대상아님</t>
        </is>
      </c>
      <c r="T248" t="inlineStr">
        <is>
          <t>일반법인</t>
        </is>
      </c>
      <c r="U248" t="inlineStr">
        <is>
          <t>중소기업</t>
        </is>
      </c>
      <c r="V248" t="inlineStr">
        <is>
          <t>외부감사대상</t>
        </is>
      </c>
      <c r="W248" s="6" t="inlineStr">
        <is>
          <t>1996-07-05</t>
        </is>
      </c>
      <c r="X248" t="inlineStr">
        <is>
          <t>KRI:10N7599200</t>
        </is>
      </c>
      <c r="Y248" t="inlineStr">
        <is>
          <t>전시, 컨벤션 및 행사 대행업</t>
        </is>
      </c>
      <c r="Z248" t="inlineStr">
        <is>
          <t>사업지원서비스업,광고대행외,기타도급</t>
        </is>
      </c>
      <c r="AA248" t="inlineStr">
        <is>
          <t>서울 서초구 방배동 883-3번지 3층</t>
        </is>
      </c>
      <c r="AB248" t="inlineStr">
        <is>
          <t>서울 서초구 서초대로 144, 3층</t>
        </is>
      </c>
    </row>
    <row r="249" ht="19.2" customHeight="1" s="1">
      <c r="A249" t="inlineStr">
        <is>
          <t>NICE:HP5484</t>
        </is>
      </c>
      <c r="B249" t="inlineStr">
        <is>
          <t>페렌벨</t>
        </is>
      </c>
      <c r="C249" s="5" t="n">
        <v>52864140000</v>
      </c>
      <c r="D249" s="5" t="n">
        <v>8198340000</v>
      </c>
      <c r="E249" s="5" t="n">
        <v>44665800000</v>
      </c>
      <c r="F249" s="5" t="n">
        <v>112453008000</v>
      </c>
      <c r="G249" s="5" t="n">
        <v>32284091000</v>
      </c>
      <c r="H249" s="5" t="n">
        <v>99239362000</v>
      </c>
      <c r="I249" s="5" t="n">
        <v>31703006000</v>
      </c>
      <c r="J249" s="4" t="n">
        <v>6.262599945068359</v>
      </c>
      <c r="K249" s="4" t="n">
        <v>0.1835000067949295</v>
      </c>
      <c r="L249" s="4" t="n">
        <v>0.2870999872684479</v>
      </c>
      <c r="M249" t="inlineStr">
        <is>
          <t>진윤진</t>
        </is>
      </c>
      <c r="N249" t="inlineStr">
        <is>
          <t>02-6933-6908</t>
        </is>
      </c>
      <c r="O249" t="inlineStr">
        <is>
          <t>02-6237-3002</t>
        </is>
      </c>
      <c r="P249" s="3">
        <f>HYPERLINK("http://www.somebymi.com", "http://www.somebymi.com")</f>
        <v/>
      </c>
      <c r="Q249" t="inlineStr">
        <is>
          <t>6498800410</t>
        </is>
      </c>
      <c r="R249" t="inlineStr">
        <is>
          <t>1101116039162</t>
        </is>
      </c>
      <c r="S249" t="inlineStr">
        <is>
          <t>대상아님</t>
        </is>
      </c>
      <c r="T249" t="inlineStr">
        <is>
          <t>일반법인</t>
        </is>
      </c>
      <c r="U249" t="inlineStr">
        <is>
          <t>중소기업</t>
        </is>
      </c>
      <c r="V249" t="inlineStr">
        <is>
          <t>외부감사대상</t>
        </is>
      </c>
      <c r="W249" s="6" t="inlineStr">
        <is>
          <t>2016-04-21</t>
        </is>
      </c>
      <c r="X249" t="inlineStr">
        <is>
          <t>KRI:10C2042300</t>
        </is>
      </c>
      <c r="Y249" t="inlineStr">
        <is>
          <t>화장품 제조업</t>
        </is>
      </c>
      <c r="Z249" t="inlineStr">
        <is>
          <t>화장품,여성청결제,반려동물미용용품 제조,도소매/전자상거래</t>
        </is>
      </c>
      <c r="AA249" t="inlineStr">
        <is>
          <t>서울 강남구 대치동 889-13번지 금강타워 18층</t>
        </is>
      </c>
      <c r="AB249" t="inlineStr">
        <is>
          <t>서울 강남구 테헤란로 410, 18층 (대치동,금강타워)</t>
        </is>
      </c>
    </row>
    <row r="250" ht="19.2" customHeight="1" s="1">
      <c r="A250" t="inlineStr">
        <is>
          <t>NICE:IQ8231</t>
        </is>
      </c>
      <c r="B250" t="inlineStr">
        <is>
          <t>엔엑스쓰리게임즈</t>
        </is>
      </c>
      <c r="C250" s="5" t="n">
        <v>62346794000</v>
      </c>
      <c r="D250" s="5" t="n">
        <v>15318535000</v>
      </c>
      <c r="E250" s="5" t="n">
        <v>47028260000</v>
      </c>
      <c r="F250" s="5" t="n">
        <v>57697361000</v>
      </c>
      <c r="G250" s="5" t="n">
        <v>20219293000</v>
      </c>
      <c r="H250" s="5" t="n">
        <v>50705531000</v>
      </c>
      <c r="I250" s="5" t="n">
        <v>27237242000</v>
      </c>
      <c r="J250" s="4" t="n">
        <v>3.142499923706055</v>
      </c>
      <c r="K250" s="4" t="n">
        <v>0.3256999850273132</v>
      </c>
      <c r="L250" s="4" t="n">
        <v>0.3504000008106232</v>
      </c>
      <c r="M250" t="inlineStr">
        <is>
          <t>최일돈/최재헌</t>
        </is>
      </c>
      <c r="N250" t="inlineStr">
        <is>
          <t>02-545-7595</t>
        </is>
      </c>
      <c r="O250" t="inlineStr">
        <is>
          <t>02-545-7596</t>
        </is>
      </c>
      <c r="P250" s="3">
        <f>HYPERLINK("http://www.nx3games.com/", "http://www.nx3games.com/")</f>
        <v/>
      </c>
      <c r="Q250" t="inlineStr">
        <is>
          <t>7698700809</t>
        </is>
      </c>
      <c r="R250" t="inlineStr">
        <is>
          <t>1101116420949</t>
        </is>
      </c>
      <c r="S250" t="inlineStr">
        <is>
          <t>대상아님</t>
        </is>
      </c>
      <c r="T250" t="inlineStr">
        <is>
          <t>일반법인</t>
        </is>
      </c>
      <c r="U250" t="inlineStr">
        <is>
          <t>중소기업</t>
        </is>
      </c>
      <c r="V250" t="inlineStr">
        <is>
          <t>외부감사대상</t>
        </is>
      </c>
      <c r="W250" s="6" t="inlineStr">
        <is>
          <t>2017-06-05</t>
        </is>
      </c>
      <c r="X250" t="inlineStr">
        <is>
          <t>KRI:10J5821100</t>
        </is>
      </c>
      <c r="Y250" t="inlineStr">
        <is>
          <t>유선 온라인 게임 소프트웨어 개발 및 공급업</t>
        </is>
      </c>
      <c r="Z250" t="inlineStr">
        <is>
          <t>게임 소프트웨어 개발,공급</t>
        </is>
      </c>
      <c r="AA250" t="inlineStr">
        <is>
          <t>서울 강남구 대치동 943번지 루첸타워 2층, 3층</t>
        </is>
      </c>
      <c r="AB250" t="inlineStr">
        <is>
          <t>서울 강남구 테헤란로 510, 2층, 3층 (대치동,루첸타워)</t>
        </is>
      </c>
    </row>
    <row r="251" ht="19.2" customHeight="1" s="1">
      <c r="A251" t="inlineStr">
        <is>
          <t>NICE:133137</t>
        </is>
      </c>
      <c r="B251" t="inlineStr">
        <is>
          <t>한미식품</t>
        </is>
      </c>
      <c r="C251" s="5" t="n">
        <v>41113537000</v>
      </c>
      <c r="D251" s="5" t="n">
        <v>18161118000</v>
      </c>
      <c r="E251" s="5" t="n">
        <v>22952420000</v>
      </c>
      <c r="F251" s="5" t="n">
        <v>35191223000</v>
      </c>
      <c r="G251" s="5" t="n">
        <v>3738000000</v>
      </c>
      <c r="H251" s="5" t="n">
        <v>39903889000</v>
      </c>
      <c r="I251" s="5" t="n">
        <v>5051464000</v>
      </c>
      <c r="J251" s="4" t="n">
        <v>0.7074999809265137</v>
      </c>
      <c r="K251" s="4" t="n">
        <v>0.7912999391555786</v>
      </c>
      <c r="L251" s="4" t="n">
        <v>0.1061999946832657</v>
      </c>
      <c r="M251" t="inlineStr">
        <is>
          <t>박승백</t>
        </is>
      </c>
      <c r="N251" t="inlineStr">
        <is>
          <t>041-745-1868</t>
        </is>
      </c>
      <c r="O251" t="inlineStr">
        <is>
          <t>041-745-1888</t>
        </is>
      </c>
      <c r="P251" s="3">
        <f>HYPERLINK("http://www.hanmifood.co.kr", "http://www.hanmifood.co.kr")</f>
        <v/>
      </c>
      <c r="Q251" t="inlineStr">
        <is>
          <t>1368126782</t>
        </is>
      </c>
      <c r="R251" t="inlineStr">
        <is>
          <t>1244110031980</t>
        </is>
      </c>
      <c r="S251" t="inlineStr">
        <is>
          <t>대상아님</t>
        </is>
      </c>
      <c r="T251" t="inlineStr">
        <is>
          <t>일반법인</t>
        </is>
      </c>
      <c r="U251" t="inlineStr">
        <is>
          <t>중소기업</t>
        </is>
      </c>
      <c r="V251" t="inlineStr">
        <is>
          <t>외부감사대상</t>
        </is>
      </c>
      <c r="W251" s="6" t="inlineStr">
        <is>
          <t>1998-03-13</t>
        </is>
      </c>
      <c r="X251" t="inlineStr">
        <is>
          <t>KRI:10C1079400</t>
        </is>
      </c>
      <c r="Y251" t="inlineStr">
        <is>
          <t>두부 및 유사식품 제조업</t>
        </is>
      </c>
      <c r="Z251" t="inlineStr">
        <is>
          <t>유부.곤약,과일젤리,육류포장육,냉동육,면류,음료 제조</t>
        </is>
      </c>
      <c r="AA251" t="inlineStr">
        <is>
          <t>충남 논산시 강경읍 채운리 519번지</t>
        </is>
      </c>
      <c r="AB251" t="inlineStr">
        <is>
          <t>충남 논산시 강경읍 농공단지로 8</t>
        </is>
      </c>
    </row>
    <row r="252" s="1">
      <c r="A252" t="inlineStr">
        <is>
          <t>NICE:174747</t>
        </is>
      </c>
      <c r="B252" t="inlineStr">
        <is>
          <t>라온엔터테인먼트</t>
        </is>
      </c>
      <c r="C252" s="5" t="n">
        <v>33232303000</v>
      </c>
      <c r="D252" s="5" t="n">
        <v>18004083000</v>
      </c>
      <c r="E252" s="5" t="n">
        <v>15228220000</v>
      </c>
      <c r="F252" s="5" t="n">
        <v>27761267000</v>
      </c>
      <c r="G252" s="5" t="n">
        <v>4956159000</v>
      </c>
      <c r="H252" s="5" t="n">
        <v>16138975000</v>
      </c>
      <c r="I252" s="5" t="n">
        <v>1577500000</v>
      </c>
      <c r="J252" s="4" t="n">
        <v>0.3876999914646149</v>
      </c>
      <c r="K252" s="4" t="n">
        <v>1.182299971580505</v>
      </c>
      <c r="L252" s="4" t="n">
        <v>0.1784999966621399</v>
      </c>
      <c r="M252" t="inlineStr">
        <is>
          <t>박재숙</t>
        </is>
      </c>
      <c r="N252" t="inlineStr">
        <is>
          <t>053-655-3274</t>
        </is>
      </c>
      <c r="O252" t="inlineStr">
        <is>
          <t>053-655-3275</t>
        </is>
      </c>
      <c r="P252">
        <f>HYPERLINK("http://www.rhaon.co.kr", "http://www.rhaon.co.kr")</f>
        <v/>
      </c>
      <c r="Q252" t="inlineStr">
        <is>
          <t>5148137077</t>
        </is>
      </c>
      <c r="R252" t="inlineStr">
        <is>
          <t>1701110173146</t>
        </is>
      </c>
      <c r="S252" t="inlineStr">
        <is>
          <t>대상아님</t>
        </is>
      </c>
      <c r="T252" t="inlineStr">
        <is>
          <t>일반법인</t>
        </is>
      </c>
      <c r="U252" t="inlineStr">
        <is>
          <t>중소기업</t>
        </is>
      </c>
      <c r="V252" t="inlineStr">
        <is>
          <t>외부감사대상</t>
        </is>
      </c>
      <c r="W252" s="6" t="inlineStr">
        <is>
          <t>2000-05-10</t>
        </is>
      </c>
      <c r="X252" t="inlineStr">
        <is>
          <t>KRI:10J5821900</t>
        </is>
      </c>
      <c r="Y252" t="inlineStr">
        <is>
          <t>기타 게임 소프트웨어 개발 및 공급업</t>
        </is>
      </c>
      <c r="Z252" t="inlineStr">
        <is>
          <t>게임소프트웨어 개발,공급</t>
        </is>
      </c>
      <c r="AA252" t="inlineStr">
        <is>
          <t>대구 남구 대명동 2139-11번지 아이씨티파 별관 207호, 208호, 210호, 211호, 508호, 509호, 510호</t>
        </is>
      </c>
      <c r="AB252" t="inlineStr">
        <is>
          <t>대구 남구 명덕로 104, 별관 207호, 208호, 210호, 211호, 508호, 509호, 510호 (대명동,아이씨티파)</t>
        </is>
      </c>
    </row>
    <row r="253" s="1">
      <c r="A253" t="inlineStr">
        <is>
          <t>NICE:215383</t>
        </is>
      </c>
      <c r="B253" t="inlineStr">
        <is>
          <t>은산컨테이너터미널</t>
        </is>
      </c>
      <c r="C253" s="5" t="n">
        <v>184843332000</v>
      </c>
      <c r="D253" s="5" t="n">
        <v>52973940000</v>
      </c>
      <c r="E253" s="5" t="n">
        <v>131869392000</v>
      </c>
      <c r="F253" s="5" t="n">
        <v>21752442000</v>
      </c>
      <c r="G253" s="5" t="n">
        <v>3769902000</v>
      </c>
      <c r="H253" s="5" t="n">
        <v>24333136000</v>
      </c>
      <c r="I253" s="5" t="n">
        <v>4183769000</v>
      </c>
      <c r="J253" s="4" t="n">
        <v>0.06019999831914902</v>
      </c>
      <c r="K253" s="4" t="n">
        <v>0.401699960231781</v>
      </c>
      <c r="L253" s="4" t="n">
        <v>0.1732999980449677</v>
      </c>
      <c r="M253" t="inlineStr">
        <is>
          <t>양재생</t>
        </is>
      </c>
      <c r="N253" t="inlineStr">
        <is>
          <t>051-557-9966</t>
        </is>
      </c>
      <c r="O253" t="inlineStr">
        <is>
          <t>051-980-0185</t>
        </is>
      </c>
      <c r="Q253" t="inlineStr">
        <is>
          <t>6218148533</t>
        </is>
      </c>
      <c r="R253" t="inlineStr">
        <is>
          <t>2341110028584</t>
        </is>
      </c>
      <c r="S253" t="inlineStr">
        <is>
          <t>대상아님</t>
        </is>
      </c>
      <c r="T253" t="inlineStr">
        <is>
          <t>일반법인</t>
        </is>
      </c>
      <c r="U253" t="inlineStr">
        <is>
          <t>중소기업</t>
        </is>
      </c>
      <c r="V253" t="inlineStr">
        <is>
          <t>외부감사대상</t>
        </is>
      </c>
      <c r="W253" s="6" t="inlineStr">
        <is>
          <t>2002-03-21</t>
        </is>
      </c>
      <c r="X253" t="inlineStr">
        <is>
          <t>KRI:10H5210100</t>
        </is>
      </c>
      <c r="Y253" t="inlineStr">
        <is>
          <t>일반 창고업</t>
        </is>
      </c>
      <c r="Z253" t="inlineStr">
        <is>
          <t>보관,하역,보세(컨테이너),화물 운송/부동산 임대/국제물류주선</t>
        </is>
      </c>
      <c r="AA253" t="inlineStr">
        <is>
          <t>부산 강서구 송정동 1707-2번지</t>
        </is>
      </c>
      <c r="AB253" t="inlineStr">
        <is>
          <t>부산 강서구 녹산산단232로 12</t>
        </is>
      </c>
    </row>
    <row r="254" ht="19.2" customHeight="1" s="1">
      <c r="A254" t="inlineStr">
        <is>
          <t>NICE:F63811</t>
        </is>
      </c>
      <c r="B254" t="inlineStr">
        <is>
          <t>에델웨이</t>
        </is>
      </c>
      <c r="C254" s="5" t="n">
        <v>67125651000</v>
      </c>
      <c r="D254" s="5" t="n">
        <v>20325440000</v>
      </c>
      <c r="E254" s="5" t="n">
        <v>46800210000</v>
      </c>
      <c r="F254" s="5" t="n">
        <v>21672681000</v>
      </c>
      <c r="G254" s="5" t="n">
        <v>3596495000</v>
      </c>
      <c r="H254" s="5" t="n">
        <v>19836059000</v>
      </c>
      <c r="I254" s="5" t="n">
        <v>2013245000</v>
      </c>
      <c r="J254" s="4" t="n">
        <v>1.773099899291992</v>
      </c>
      <c r="K254" s="4" t="n">
        <v>0.4343000054359436</v>
      </c>
      <c r="L254" s="4" t="n">
        <v>0.1658999919891357</v>
      </c>
      <c r="M254" t="inlineStr">
        <is>
          <t>박종헌/오세창</t>
        </is>
      </c>
      <c r="N254" t="inlineStr">
        <is>
          <t>02-733-3677</t>
        </is>
      </c>
      <c r="O254" t="inlineStr">
        <is>
          <t>02-2179-9677</t>
        </is>
      </c>
      <c r="P254" s="3">
        <f>HYPERLINK("http://www.edelway.ai", "http://www.edelway.ai")</f>
        <v/>
      </c>
      <c r="Q254" t="inlineStr">
        <is>
          <t>1018630475</t>
        </is>
      </c>
      <c r="R254" t="inlineStr">
        <is>
          <t>1101113636929</t>
        </is>
      </c>
      <c r="S254" t="inlineStr">
        <is>
          <t>대상아님</t>
        </is>
      </c>
      <c r="T254" t="inlineStr">
        <is>
          <t>일반법인</t>
        </is>
      </c>
      <c r="U254" t="inlineStr">
        <is>
          <t>중소기업</t>
        </is>
      </c>
      <c r="V254" t="inlineStr">
        <is>
          <t>외부감사대상</t>
        </is>
      </c>
      <c r="W254" s="6" t="inlineStr">
        <is>
          <t>2007-03-13</t>
        </is>
      </c>
      <c r="X254" t="inlineStr">
        <is>
          <t>KRI:10C2721500</t>
        </is>
      </c>
      <c r="Y254" t="inlineStr">
        <is>
          <t>기기용 자동측정 및 제어장치 제조업</t>
        </is>
      </c>
      <c r="Z254" t="inlineStr">
        <is>
          <t>레이더신호처리,위성탑재시스템 제조/소프트웨어,정보통신기기 도소매,무역/시스템,응용소프트웨어 개발,공급</t>
        </is>
      </c>
      <c r="AA254" t="inlineStr">
        <is>
          <t>서울 강남구 삼성동 160-28번지 아이파크타워2 4층</t>
        </is>
      </c>
      <c r="AB254" t="inlineStr">
        <is>
          <t>서울 강남구 영동대로106길 5, 4층 (삼성동,아이파크타워2)</t>
        </is>
      </c>
    </row>
    <row r="255" s="1">
      <c r="A255" t="inlineStr">
        <is>
          <t>NICE:I71074</t>
        </is>
      </c>
      <c r="B255" t="inlineStr">
        <is>
          <t>티오케이첨단재료</t>
        </is>
      </c>
      <c r="C255" s="5" t="n">
        <v>374807846000</v>
      </c>
      <c r="D255" s="5" t="n">
        <v>132287327000</v>
      </c>
      <c r="E255" s="5" t="n">
        <v>242520519000</v>
      </c>
      <c r="F255" s="5" t="n">
        <v>314494373000</v>
      </c>
      <c r="G255" s="5" t="n">
        <v>40637691000</v>
      </c>
      <c r="H255" s="5" t="n">
        <v>260739051000</v>
      </c>
      <c r="I255" s="5" t="n">
        <v>27800065000</v>
      </c>
      <c r="J255" s="4" t="n">
        <v>1.73039984703064</v>
      </c>
      <c r="K255" s="4" t="n">
        <v>0.5454999804496765</v>
      </c>
      <c r="L255" s="4" t="n">
        <v>0.1291999965906143</v>
      </c>
      <c r="M255" t="inlineStr">
        <is>
          <t>김기태</t>
        </is>
      </c>
      <c r="N255" t="inlineStr">
        <is>
          <t>032-850-2000</t>
        </is>
      </c>
      <c r="O255" t="inlineStr">
        <is>
          <t>032-850-2100</t>
        </is>
      </c>
      <c r="P255">
        <f>HYPERLINK("http://www.tokam.co.kr", "http://www.tokam.co.kr")</f>
        <v/>
      </c>
      <c r="Q255" t="inlineStr">
        <is>
          <t>1318640315</t>
        </is>
      </c>
      <c r="R255" t="inlineStr">
        <is>
          <t>1201110623638</t>
        </is>
      </c>
      <c r="S255" t="inlineStr">
        <is>
          <t>대상아님</t>
        </is>
      </c>
      <c r="T255" t="inlineStr">
        <is>
          <t>일반법인</t>
        </is>
      </c>
      <c r="U255" t="inlineStr">
        <is>
          <t>중견기업</t>
        </is>
      </c>
      <c r="V255" t="inlineStr">
        <is>
          <t>외부감사대상</t>
        </is>
      </c>
      <c r="W255" s="6" t="inlineStr">
        <is>
          <t>2012-08-17</t>
        </is>
      </c>
      <c r="X255" t="inlineStr">
        <is>
          <t>KRI:10C2049100</t>
        </is>
      </c>
      <c r="Y255" t="inlineStr">
        <is>
          <t>감광재료 및 관련 화학제품 제조업</t>
        </is>
      </c>
      <c r="Z255" t="inlineStr">
        <is>
          <t>화학제품(반도체재료,플랫판넬 디스플레이 제조용 재료) 제조</t>
        </is>
      </c>
      <c r="AA255" t="inlineStr">
        <is>
          <t>인천 연수구 송도동 215-3번지</t>
        </is>
      </c>
      <c r="AB255" t="inlineStr">
        <is>
          <t>인천 연수구 첨단대로60번길 45</t>
        </is>
      </c>
    </row>
    <row r="256" ht="19.2" customHeight="1" s="1">
      <c r="A256" t="inlineStr">
        <is>
          <t>NICE:215529</t>
        </is>
      </c>
      <c r="B256" t="inlineStr">
        <is>
          <t>팬트랙</t>
        </is>
      </c>
      <c r="C256" s="5" t="n">
        <v>16726145000</v>
      </c>
      <c r="D256" s="5" t="n">
        <v>4764264000</v>
      </c>
      <c r="E256" s="5" t="n">
        <v>11961881000</v>
      </c>
      <c r="F256" s="5" t="n">
        <v>22288350000</v>
      </c>
      <c r="G256" s="5" t="n">
        <v>2744203000</v>
      </c>
      <c r="H256" s="5" t="n">
        <v>14582923000</v>
      </c>
      <c r="I256" s="5" t="n">
        <v>1390213000</v>
      </c>
      <c r="J256" s="4" t="n">
        <v>4.153999805450439</v>
      </c>
      <c r="K256" s="4" t="n">
        <v>0.3983000218868256</v>
      </c>
      <c r="L256" s="4" t="n">
        <v>0.1231000050902367</v>
      </c>
      <c r="M256" t="inlineStr">
        <is>
          <t>장문길</t>
        </is>
      </c>
      <c r="N256" t="inlineStr">
        <is>
          <t>02-6270-0000</t>
        </is>
      </c>
      <c r="O256" t="inlineStr">
        <is>
          <t>02-722-7381</t>
        </is>
      </c>
      <c r="P256" s="3" t="n"/>
      <c r="Q256" t="inlineStr">
        <is>
          <t>2068167739</t>
        </is>
      </c>
      <c r="R256" t="inlineStr">
        <is>
          <t>1101112447898</t>
        </is>
      </c>
      <c r="S256" t="inlineStr">
        <is>
          <t>대상아님</t>
        </is>
      </c>
      <c r="T256" t="inlineStr">
        <is>
          <t>일반법인</t>
        </is>
      </c>
      <c r="U256" t="inlineStr">
        <is>
          <t>중견기업</t>
        </is>
      </c>
      <c r="V256" t="inlineStr">
        <is>
          <t>외부감사대상</t>
        </is>
      </c>
      <c r="W256" s="6" t="inlineStr">
        <is>
          <t>2002-02-16</t>
        </is>
      </c>
      <c r="X256" t="inlineStr">
        <is>
          <t>KRI:10F4213500</t>
        </is>
      </c>
      <c r="Y256" t="inlineStr">
        <is>
          <t>철도궤도 전문공사업</t>
        </is>
      </c>
      <c r="Z256" t="inlineStr">
        <is>
          <t>철도궤도공사업</t>
        </is>
      </c>
      <c r="AA256" t="inlineStr">
        <is>
          <t>서울 종로구 수송동 146-1번지 이마빌딩 13층</t>
        </is>
      </c>
      <c r="AB256" t="inlineStr">
        <is>
          <t>서울 종로구 종로1길 42, 13층 (수송동,이마빌딩)</t>
        </is>
      </c>
    </row>
    <row r="257" ht="19.2" customHeight="1" s="1">
      <c r="A257" t="inlineStr">
        <is>
          <t>NICE:212135</t>
        </is>
      </c>
      <c r="B257" t="inlineStr">
        <is>
          <t>페코텍</t>
        </is>
      </c>
      <c r="C257" s="5" t="n">
        <v>126793196000</v>
      </c>
      <c r="D257" s="5" t="n">
        <v>57771592000</v>
      </c>
      <c r="E257" s="5" t="n">
        <v>69021604000</v>
      </c>
      <c r="F257" s="5" t="n">
        <v>51839647000</v>
      </c>
      <c r="G257" s="5" t="n">
        <v>17638115000</v>
      </c>
      <c r="H257" s="5" t="n">
        <v>51162228000</v>
      </c>
      <c r="I257" s="5" t="n">
        <v>7739151000</v>
      </c>
      <c r="J257" s="4" t="n">
        <v>0.742699921131134</v>
      </c>
      <c r="K257" s="4" t="n">
        <v>0.8369999527931213</v>
      </c>
      <c r="L257" s="4" t="n">
        <v>0.3402000069618225</v>
      </c>
      <c r="M257" t="inlineStr">
        <is>
          <t>이향이</t>
        </is>
      </c>
      <c r="N257" t="inlineStr">
        <is>
          <t>02-552-5852</t>
        </is>
      </c>
      <c r="O257" t="inlineStr">
        <is>
          <t>02-558-3544</t>
        </is>
      </c>
      <c r="P257" s="3">
        <f>HYPERLINK("http://www.peco.co.kr", "http://www.peco.co.kr")</f>
        <v/>
      </c>
      <c r="Q257" t="inlineStr">
        <is>
          <t>1298129869</t>
        </is>
      </c>
      <c r="R257" t="inlineStr">
        <is>
          <t>1311110041853</t>
        </is>
      </c>
      <c r="S257" t="inlineStr">
        <is>
          <t>대상아님</t>
        </is>
      </c>
      <c r="T257" t="inlineStr">
        <is>
          <t>일반법인</t>
        </is>
      </c>
      <c r="U257" t="inlineStr">
        <is>
          <t>중소기업</t>
        </is>
      </c>
      <c r="V257" t="inlineStr">
        <is>
          <t>외부감사대상</t>
        </is>
      </c>
      <c r="W257" s="6" t="inlineStr">
        <is>
          <t>1992-05-01</t>
        </is>
      </c>
      <c r="X257" t="inlineStr">
        <is>
          <t>KRI:10C2612900</t>
        </is>
      </c>
      <c r="Y257" t="inlineStr">
        <is>
          <t>기타 반도체소자 제조업</t>
        </is>
      </c>
      <c r="Z257" t="inlineStr">
        <is>
          <t>반도체조립공구 제조</t>
        </is>
      </c>
      <c r="AA257" t="inlineStr">
        <is>
          <t>서울 성동구 성수동2가 281-27번지</t>
        </is>
      </c>
      <c r="AB257" t="inlineStr">
        <is>
          <t>서울 성동구 동일로 169</t>
        </is>
      </c>
    </row>
    <row r="258" ht="19.2" customHeight="1" s="1">
      <c r="A258" t="inlineStr">
        <is>
          <t>NICE:141002</t>
        </is>
      </c>
      <c r="B258" t="inlineStr">
        <is>
          <t>와치텍</t>
        </is>
      </c>
      <c r="C258" s="5" t="n">
        <v>41743114000</v>
      </c>
      <c r="D258" s="5" t="n">
        <v>6560675000</v>
      </c>
      <c r="E258" s="5" t="n">
        <v>35182439000</v>
      </c>
      <c r="F258" s="5" t="n">
        <v>23032316000</v>
      </c>
      <c r="G258" s="5" t="n">
        <v>6041593000</v>
      </c>
      <c r="H258" s="5" t="n">
        <v>22024778000</v>
      </c>
      <c r="I258" s="5" t="n">
        <v>5942537000</v>
      </c>
      <c r="J258" s="4" t="n">
        <v>12.21479988098145</v>
      </c>
      <c r="K258" s="4" t="n">
        <v>0.1864999979734421</v>
      </c>
      <c r="L258" s="4" t="n">
        <v>0.2622999846935272</v>
      </c>
      <c r="M258" t="inlineStr">
        <is>
          <t>박권재</t>
        </is>
      </c>
      <c r="N258" t="inlineStr">
        <is>
          <t>02-783-1334</t>
        </is>
      </c>
      <c r="O258" t="inlineStr">
        <is>
          <t>02-783-1336</t>
        </is>
      </c>
      <c r="P258" s="3">
        <f>HYPERLINK("http://www,watchtek.co.kr", "http://www,watchtek.co.kr")</f>
        <v/>
      </c>
      <c r="Q258" t="inlineStr">
        <is>
          <t>1168171304</t>
        </is>
      </c>
      <c r="R258" t="inlineStr">
        <is>
          <t>1101111633175</t>
        </is>
      </c>
      <c r="S258" t="inlineStr">
        <is>
          <t>대상아님</t>
        </is>
      </c>
      <c r="T258" t="inlineStr">
        <is>
          <t>일반법인</t>
        </is>
      </c>
      <c r="U258" t="inlineStr">
        <is>
          <t>중소기업</t>
        </is>
      </c>
      <c r="V258" t="inlineStr">
        <is>
          <t>외부감사대상</t>
        </is>
      </c>
      <c r="W258" s="6" t="inlineStr">
        <is>
          <t>1999-01-13</t>
        </is>
      </c>
      <c r="X258" t="inlineStr">
        <is>
          <t>KRI:10J5822200</t>
        </is>
      </c>
      <c r="Y258" t="inlineStr">
        <is>
          <t>응용 소프트웨어 개발 및 공급업</t>
        </is>
      </c>
      <c r="Z258" t="inlineStr">
        <is>
          <t>소프트웨어 개발,공급,자문,도소매</t>
        </is>
      </c>
      <c r="AA258" t="inlineStr">
        <is>
          <t>서울 영등포구 여의도동 44-1번지 대영빌딩</t>
        </is>
      </c>
      <c r="AB258" t="inlineStr">
        <is>
          <t>서울 영등포구 국제금융로8길 11 (여의도동,대영빌딩)</t>
        </is>
      </c>
    </row>
    <row r="259" ht="19.2" customHeight="1" s="1">
      <c r="A259" t="inlineStr">
        <is>
          <t>NICE:HT0247</t>
        </is>
      </c>
      <c r="B259" t="inlineStr">
        <is>
          <t>바론피앤에스</t>
        </is>
      </c>
      <c r="C259" s="5" t="n">
        <v>16935695000</v>
      </c>
      <c r="D259" s="5" t="n">
        <v>6844259000</v>
      </c>
      <c r="E259" s="5" t="n">
        <v>10091436000</v>
      </c>
      <c r="F259" s="5" t="n">
        <v>31083963000</v>
      </c>
      <c r="G259" s="5" t="n">
        <v>7571969000</v>
      </c>
      <c r="H259" s="5" t="n">
        <v>16938341000</v>
      </c>
      <c r="I259" s="5" t="n">
        <v>2828467000</v>
      </c>
      <c r="J259" s="4" t="n">
        <v>2.801300048828125</v>
      </c>
      <c r="K259" s="4" t="n">
        <v>0.6782000064849854</v>
      </c>
      <c r="L259" s="4" t="n">
        <v>0.243599995970726</v>
      </c>
      <c r="M259" t="inlineStr">
        <is>
          <t>김선웅</t>
        </is>
      </c>
      <c r="N259" t="inlineStr">
        <is>
          <t>02-554-2131</t>
        </is>
      </c>
      <c r="O259" t="inlineStr">
        <is>
          <t>02-554-2133</t>
        </is>
      </c>
      <c r="P259" s="3" t="n"/>
      <c r="Q259" t="inlineStr">
        <is>
          <t>6998600629</t>
        </is>
      </c>
      <c r="R259" t="inlineStr">
        <is>
          <t>1101116148070</t>
        </is>
      </c>
      <c r="S259" t="inlineStr">
        <is>
          <t>대상아님</t>
        </is>
      </c>
      <c r="T259" t="inlineStr">
        <is>
          <t>일반법인</t>
        </is>
      </c>
      <c r="U259" t="inlineStr">
        <is>
          <t>중소기업</t>
        </is>
      </c>
      <c r="V259" t="inlineStr">
        <is>
          <t>외부감사대상</t>
        </is>
      </c>
      <c r="W259" s="6" t="inlineStr">
        <is>
          <t>2016-08-11</t>
        </is>
      </c>
      <c r="X259" t="inlineStr">
        <is>
          <t>KRI:10L6822100</t>
        </is>
      </c>
      <c r="Y259" t="inlineStr">
        <is>
          <t>부동산 중개 및 대리업</t>
        </is>
      </c>
      <c r="Z259" t="inlineStr">
        <is>
          <t>부동산 분양,시행 대행/소프트웨어 개발,공급</t>
        </is>
      </c>
      <c r="AA259" t="inlineStr">
        <is>
          <t>서울 강남구 역삼동 707-12번지 4,5층</t>
        </is>
      </c>
      <c r="AB259" t="inlineStr">
        <is>
          <t>서울 강남구 테헤란로44길 7, 4,5층</t>
        </is>
      </c>
    </row>
    <row r="260" ht="19.2" customHeight="1" s="1">
      <c r="A260" t="inlineStr">
        <is>
          <t>NICE:028196</t>
        </is>
      </c>
      <c r="B260" t="inlineStr">
        <is>
          <t>안세기술</t>
        </is>
      </c>
      <c r="C260" s="5" t="n">
        <v>14929421000</v>
      </c>
      <c r="D260" s="5" t="n">
        <v>4174894000</v>
      </c>
      <c r="E260" s="5" t="n">
        <v>10754527000</v>
      </c>
      <c r="F260" s="5" t="n">
        <v>24025883000</v>
      </c>
      <c r="G260" s="5" t="n">
        <v>4594942000</v>
      </c>
      <c r="H260" s="5" t="n">
        <v>18305149000</v>
      </c>
      <c r="I260" s="5" t="n">
        <v>1515335000</v>
      </c>
      <c r="J260" s="4" t="n">
        <v>3.443599700927734</v>
      </c>
      <c r="K260" s="4" t="n">
        <v>0.3881999850273132</v>
      </c>
      <c r="L260" s="4" t="n">
        <v>0.191200003027916</v>
      </c>
      <c r="M260" t="inlineStr">
        <is>
          <t>이용안</t>
        </is>
      </c>
      <c r="N260" t="inlineStr">
        <is>
          <t>02-6221-6123</t>
        </is>
      </c>
      <c r="O260" t="inlineStr">
        <is>
          <t>02-6221-6128</t>
        </is>
      </c>
      <c r="P260" s="3">
        <f>HYPERLINK("http://www.ansetech.co.kr", "http://www.ansetech.co.kr")</f>
        <v/>
      </c>
      <c r="Q260" t="inlineStr">
        <is>
          <t>1188109785</t>
        </is>
      </c>
      <c r="R260" t="inlineStr">
        <is>
          <t>1101111055519</t>
        </is>
      </c>
      <c r="S260" t="inlineStr">
        <is>
          <t>대상아님</t>
        </is>
      </c>
      <c r="T260" t="inlineStr">
        <is>
          <t>일반법인</t>
        </is>
      </c>
      <c r="U260" t="inlineStr">
        <is>
          <t>중소기업</t>
        </is>
      </c>
      <c r="V260" t="inlineStr">
        <is>
          <t>외부감사대상</t>
        </is>
      </c>
      <c r="W260" s="6" t="inlineStr">
        <is>
          <t>1993-05-01</t>
        </is>
      </c>
      <c r="X260" t="inlineStr">
        <is>
          <t>KRI:10M7212900</t>
        </is>
      </c>
      <c r="Y260" t="inlineStr">
        <is>
          <t>기타 엔지니어링 서비스업</t>
        </is>
      </c>
      <c r="Z260" t="inlineStr">
        <is>
          <t>정보통신기술,전산장비유지보수용역</t>
        </is>
      </c>
      <c r="AA260" t="inlineStr">
        <is>
          <t>서울 구로구 구로동 235-2번지 에이스하이엔드타워 701, 702, 703, 714, 1103호</t>
        </is>
      </c>
      <c r="AB260" t="inlineStr">
        <is>
          <t>서울 구로구 디지털로26길 5, 701, 702, 703, 714, 1103호 (구로동,에이스하이엔드타워)</t>
        </is>
      </c>
    </row>
    <row r="261" ht="19.2" customHeight="1" s="1">
      <c r="A261" t="inlineStr">
        <is>
          <t>NICE:271755</t>
        </is>
      </c>
      <c r="B261" t="inlineStr">
        <is>
          <t>삼원액트</t>
        </is>
      </c>
      <c r="C261" s="5" t="n">
        <v>98621080000</v>
      </c>
      <c r="D261" s="5" t="n">
        <v>8871717000</v>
      </c>
      <c r="E261" s="5" t="n">
        <v>89749364000</v>
      </c>
      <c r="F261" s="5" t="n">
        <v>53668273000</v>
      </c>
      <c r="G261" s="5" t="n">
        <v>11246619000</v>
      </c>
      <c r="H261" s="5" t="n">
        <v>59351885000</v>
      </c>
      <c r="I261" s="5" t="n">
        <v>10838574000</v>
      </c>
      <c r="J261" s="4" t="n">
        <v>10.53979969024658</v>
      </c>
      <c r="K261" s="4" t="n">
        <v>0.09879999607801437</v>
      </c>
      <c r="L261" s="4" t="n">
        <v>0.2095999866724014</v>
      </c>
      <c r="M261" t="inlineStr">
        <is>
          <t>배광호</t>
        </is>
      </c>
      <c r="N261" t="inlineStr">
        <is>
          <t>051-320-7701</t>
        </is>
      </c>
      <c r="O261" t="inlineStr">
        <is>
          <t>051-312-2233</t>
        </is>
      </c>
      <c r="P261" s="3">
        <f>HYPERLINK("http://www.iolink.co.kr", "http://www.iolink.co.kr")</f>
        <v/>
      </c>
      <c r="Q261" t="inlineStr">
        <is>
          <t>6068172897</t>
        </is>
      </c>
      <c r="R261" t="inlineStr">
        <is>
          <t>1801110392778</t>
        </is>
      </c>
      <c r="S261" t="inlineStr">
        <is>
          <t>대상아님</t>
        </is>
      </c>
      <c r="T261" t="inlineStr">
        <is>
          <t>일반법인</t>
        </is>
      </c>
      <c r="U261" t="inlineStr">
        <is>
          <t>중소기업</t>
        </is>
      </c>
      <c r="V261" t="inlineStr">
        <is>
          <t>외부감사대상</t>
        </is>
      </c>
      <c r="W261" s="6" t="inlineStr">
        <is>
          <t>2002-01-17</t>
        </is>
      </c>
      <c r="X261" t="inlineStr">
        <is>
          <t>KRI:10C2890900</t>
        </is>
      </c>
      <c r="Y261" t="inlineStr">
        <is>
          <t>그 외 기타 전기장비 제조업</t>
        </is>
      </c>
      <c r="Z261" t="inlineStr">
        <is>
          <t>전기전자기기,전자부품,건축구조재 제조/전기장비,특수용도 조명 디자인</t>
        </is>
      </c>
      <c r="AA261" t="inlineStr">
        <is>
          <t>부산 사상구 엄궁동 25-15번지</t>
        </is>
      </c>
      <c r="AB261" t="inlineStr">
        <is>
          <t>부산 사상구 대동로 28</t>
        </is>
      </c>
    </row>
    <row r="262" s="1">
      <c r="A262" t="inlineStr">
        <is>
          <t>NICE:004347</t>
        </is>
      </c>
      <c r="B262" t="inlineStr">
        <is>
          <t>페르노리카코리아</t>
        </is>
      </c>
      <c r="C262" s="5" t="n">
        <v>69884164000</v>
      </c>
      <c r="D262" s="5" t="n">
        <v>51657068000</v>
      </c>
      <c r="E262" s="5" t="n">
        <v>18227096000</v>
      </c>
      <c r="F262" s="5" t="n">
        <v>120711766000</v>
      </c>
      <c r="G262" s="5" t="n">
        <v>15092462000</v>
      </c>
      <c r="H262" s="5" t="n">
        <v>175161647000</v>
      </c>
      <c r="I262" s="5" t="n">
        <v>53087682000</v>
      </c>
      <c r="J262" s="4" t="n">
        <v>1.395099878311157</v>
      </c>
      <c r="K262" s="4" t="n">
        <v>2.834100008010864</v>
      </c>
      <c r="L262" s="4" t="n">
        <v>0.125</v>
      </c>
      <c r="M262" t="inlineStr">
        <is>
          <t>파딜타쉬긴</t>
        </is>
      </c>
      <c r="N262" t="inlineStr">
        <is>
          <t>02-3466-5700</t>
        </is>
      </c>
      <c r="O262" t="inlineStr">
        <is>
          <t>02-3466-5995</t>
        </is>
      </c>
      <c r="P262">
        <f>HYPERLINK("http://www.pernod-ricard-korea.com", "http://www.pernod-ricard-korea.com")</f>
        <v/>
      </c>
      <c r="Q262" t="inlineStr">
        <is>
          <t>1208164461</t>
        </is>
      </c>
      <c r="R262" t="inlineStr">
        <is>
          <t>1101110903412</t>
        </is>
      </c>
      <c r="S262" t="inlineStr">
        <is>
          <t>대상아님</t>
        </is>
      </c>
      <c r="T262" t="inlineStr">
        <is>
          <t>일반법인</t>
        </is>
      </c>
      <c r="U262" t="inlineStr">
        <is>
          <t>중견기업</t>
        </is>
      </c>
      <c r="V262" t="inlineStr">
        <is>
          <t>외부감사대상</t>
        </is>
      </c>
      <c r="W262" s="6" t="inlineStr">
        <is>
          <t>1992-11-24</t>
        </is>
      </c>
      <c r="X262" t="inlineStr">
        <is>
          <t>KRI:10G4633100</t>
        </is>
      </c>
      <c r="Y262" t="inlineStr">
        <is>
          <t>주류 도매업</t>
        </is>
      </c>
      <c r="Z262" t="inlineStr">
        <is>
          <t>수입양주 도매</t>
        </is>
      </c>
      <c r="AA262" t="inlineStr">
        <is>
          <t>경기 이천시 마장면 이치리 688번지</t>
        </is>
      </c>
      <c r="AB262" t="inlineStr">
        <is>
          <t>경기 이천시 마장면 서이천로 91</t>
        </is>
      </c>
    </row>
    <row r="263" ht="19.2" customHeight="1" s="1">
      <c r="A263" t="inlineStr">
        <is>
          <t>NICE:OV0344</t>
        </is>
      </c>
      <c r="B263" t="inlineStr">
        <is>
          <t>덕산피앤브이</t>
        </is>
      </c>
      <c r="C263" s="5" t="n">
        <v>36173542000</v>
      </c>
      <c r="D263" s="5" t="n">
        <v>22441583000</v>
      </c>
      <c r="E263" s="5" t="n">
        <v>13731959000</v>
      </c>
      <c r="F263" s="5" t="n">
        <v>24154360000</v>
      </c>
      <c r="G263" s="5" t="n">
        <v>4296018000</v>
      </c>
      <c r="H263" s="5" t="n">
        <v>15118876000</v>
      </c>
      <c r="I263" s="5" t="n">
        <v>1908486000</v>
      </c>
      <c r="J263" s="4" t="n">
        <v>1.339600086212158</v>
      </c>
      <c r="K263" s="4" t="n">
        <v>1.634299874305725</v>
      </c>
      <c r="L263" s="4" t="n">
        <v>0.1779000014066696</v>
      </c>
      <c r="M263" t="inlineStr">
        <is>
          <t>정희철</t>
        </is>
      </c>
      <c r="N263" t="inlineStr">
        <is>
          <t>051-923-0001</t>
        </is>
      </c>
      <c r="O263" t="inlineStr">
        <is>
          <t>051-923-0002</t>
        </is>
      </c>
      <c r="P263" s="3" t="n"/>
      <c r="Q263" t="inlineStr">
        <is>
          <t>3148667296</t>
        </is>
      </c>
      <c r="R263" t="inlineStr">
        <is>
          <t>1801111414555</t>
        </is>
      </c>
      <c r="S263" t="inlineStr">
        <is>
          <t>대상아님</t>
        </is>
      </c>
      <c r="T263" t="inlineStr">
        <is>
          <t>일반법인</t>
        </is>
      </c>
      <c r="U263" t="inlineStr">
        <is>
          <t>중소기업</t>
        </is>
      </c>
      <c r="V263" t="inlineStr">
        <is>
          <t>외부감사대상</t>
        </is>
      </c>
      <c r="W263" s="6" t="inlineStr">
        <is>
          <t>2022-01-05</t>
        </is>
      </c>
      <c r="X263" t="inlineStr">
        <is>
          <t>KRI:10H5011200</t>
        </is>
      </c>
      <c r="Y263" t="inlineStr">
        <is>
          <t>외항 화물 운송업</t>
        </is>
      </c>
      <c r="Z263" t="inlineStr">
        <is>
          <t>외항화물 운송,해운 중개/무역</t>
        </is>
      </c>
      <c r="AA263" t="inlineStr">
        <is>
          <t>부산 중구 중앙동4가 53-11번지 2층</t>
        </is>
      </c>
      <c r="AB263" t="inlineStr">
        <is>
          <t>부산 중구 중앙대로 87, 2층</t>
        </is>
      </c>
    </row>
    <row r="264" ht="19.2" customHeight="1" s="1">
      <c r="A264" t="inlineStr">
        <is>
          <t>NICE:312193</t>
        </is>
      </c>
      <c r="B264" t="inlineStr">
        <is>
          <t>동화청과</t>
        </is>
      </c>
      <c r="C264" s="5" t="n">
        <v>56344994000</v>
      </c>
      <c r="D264" s="5" t="n">
        <v>12706653000</v>
      </c>
      <c r="E264" s="5" t="n">
        <v>43638341000</v>
      </c>
      <c r="F264" s="5" t="n">
        <v>40274128000</v>
      </c>
      <c r="G264" s="5" t="n">
        <v>5377612000</v>
      </c>
      <c r="H264" s="5" t="n">
        <v>41485473000</v>
      </c>
      <c r="I264" s="5" t="n">
        <v>7840356000</v>
      </c>
      <c r="J264" s="4" t="n">
        <v>6.398900032043457</v>
      </c>
      <c r="K264" s="4" t="n">
        <v>0.2912000119686127</v>
      </c>
      <c r="L264" s="4" t="n">
        <v>0.1334999948740005</v>
      </c>
      <c r="M264" t="inlineStr">
        <is>
          <t>홍성호</t>
        </is>
      </c>
      <c r="N264" t="inlineStr">
        <is>
          <t>02-3435-7000</t>
        </is>
      </c>
      <c r="O264" t="inlineStr">
        <is>
          <t>02-3435-7009</t>
        </is>
      </c>
      <c r="P264" s="3">
        <f>HYPERLINK("http://www.donghwafp.com", "http://www.donghwafp.com")</f>
        <v/>
      </c>
      <c r="Q264" t="inlineStr">
        <is>
          <t>2158103383</t>
        </is>
      </c>
      <c r="R264" t="inlineStr">
        <is>
          <t>1101110215528</t>
        </is>
      </c>
      <c r="S264" t="inlineStr">
        <is>
          <t>대상아님</t>
        </is>
      </c>
      <c r="T264" t="inlineStr">
        <is>
          <t>일반법인</t>
        </is>
      </c>
      <c r="U264" t="inlineStr">
        <is>
          <t>중견기업</t>
        </is>
      </c>
      <c r="V264" t="inlineStr">
        <is>
          <t>외부감사대상</t>
        </is>
      </c>
      <c r="W264" s="6" t="inlineStr">
        <is>
          <t>1977-06-25</t>
        </is>
      </c>
      <c r="X264" t="inlineStr">
        <is>
          <t>KRI:10G4610200</t>
        </is>
      </c>
      <c r="Y264" t="inlineStr">
        <is>
          <t>음ㆍ식료품 및 담배 중개업</t>
        </is>
      </c>
      <c r="Z264" t="inlineStr">
        <is>
          <t>농수산물(과일,채소류) 수탁매매,저장</t>
        </is>
      </c>
      <c r="AA264" t="inlineStr">
        <is>
          <t>서울 송파구 가락동 600번지</t>
        </is>
      </c>
      <c r="AB264" t="inlineStr">
        <is>
          <t>서울 송파구 양재대로 932</t>
        </is>
      </c>
    </row>
    <row r="265" ht="19.2" customHeight="1" s="1">
      <c r="A265" t="inlineStr">
        <is>
          <t>NICE:373363</t>
        </is>
      </c>
      <c r="B265" t="inlineStr">
        <is>
          <t>이안알앤씨</t>
        </is>
      </c>
      <c r="C265" s="5" t="n">
        <v>105694724000</v>
      </c>
      <c r="D265" s="5" t="n">
        <v>36535097000</v>
      </c>
      <c r="E265" s="5" t="n">
        <v>69159626000</v>
      </c>
      <c r="F265" s="5" t="n">
        <v>196423387000</v>
      </c>
      <c r="G265" s="5" t="n">
        <v>23348564000</v>
      </c>
      <c r="H265" s="5" t="n">
        <v>168012074000</v>
      </c>
      <c r="I265" s="5" t="n">
        <v>13820114000</v>
      </c>
      <c r="J265" s="4" t="n">
        <v>2.478299856185913</v>
      </c>
      <c r="K265" s="4" t="n">
        <v>0.5282999873161316</v>
      </c>
      <c r="L265" s="4" t="n">
        <v>0.1189000010490417</v>
      </c>
      <c r="M265" t="inlineStr">
        <is>
          <t>이인홍/허용</t>
        </is>
      </c>
      <c r="N265" t="inlineStr">
        <is>
          <t>02-3482-5785</t>
        </is>
      </c>
      <c r="O265" t="inlineStr">
        <is>
          <t>02-3482-5799</t>
        </is>
      </c>
      <c r="P265" s="3">
        <f>HYPERLINK("http://www.eanrnc.com", "http://www.eanrnc.com")</f>
        <v/>
      </c>
      <c r="Q265" t="inlineStr">
        <is>
          <t>1148638721</t>
        </is>
      </c>
      <c r="R265" t="inlineStr">
        <is>
          <t>1101113074377</t>
        </is>
      </c>
      <c r="S265" t="inlineStr">
        <is>
          <t>대상아님</t>
        </is>
      </c>
      <c r="T265" t="inlineStr">
        <is>
          <t>일반법인</t>
        </is>
      </c>
      <c r="U265" t="inlineStr">
        <is>
          <t>중견기업</t>
        </is>
      </c>
      <c r="V265" t="inlineStr">
        <is>
          <t>외부감사대상</t>
        </is>
      </c>
      <c r="W265" s="6" t="inlineStr">
        <is>
          <t>2004-08-26</t>
        </is>
      </c>
      <c r="X265" t="inlineStr">
        <is>
          <t>KRI:10F4122000</t>
        </is>
      </c>
      <c r="Y265" t="inlineStr">
        <is>
          <t>토목시설물 건설업</t>
        </is>
      </c>
      <c r="Z265" t="inlineStr">
        <is>
          <t>토목공사,건축공사,주택신축공사,해외공사,실내장식공사,전문소방시설공사,전기공사,주택공사/부동산 개발</t>
        </is>
      </c>
      <c r="AA265" t="inlineStr">
        <is>
          <t>서울 강남구 논현동 237-11번지 파크랜드빌딩 10층</t>
        </is>
      </c>
      <c r="AB265" t="inlineStr">
        <is>
          <t>서울 강남구 언주로 601, 10층 (논현동,파크랜드빌딩)</t>
        </is>
      </c>
    </row>
    <row r="266" ht="19.2" customHeight="1" s="1">
      <c r="A266" t="inlineStr">
        <is>
          <t>NICE:C84224</t>
        </is>
      </c>
      <c r="B266" t="inlineStr">
        <is>
          <t>엠이에이치</t>
        </is>
      </c>
      <c r="C266" s="5" t="n">
        <v>133825039000</v>
      </c>
      <c r="D266" s="5" t="n">
        <v>54273346000</v>
      </c>
      <c r="E266" s="5" t="n">
        <v>79551692000</v>
      </c>
      <c r="F266" s="5" t="n">
        <v>54536909000</v>
      </c>
      <c r="G266" s="5" t="n">
        <v>24497777000</v>
      </c>
      <c r="H266" s="5" t="n">
        <v>332500733000</v>
      </c>
      <c r="I266" s="5" t="n">
        <v>23756721000</v>
      </c>
      <c r="J266" s="4" t="n">
        <v>4.037300109863281</v>
      </c>
      <c r="K266" s="4" t="n">
        <v>0.682200014591217</v>
      </c>
      <c r="L266" s="4" t="n">
        <v>0.4491999745368958</v>
      </c>
      <c r="M266" t="inlineStr">
        <is>
          <t>김기원</t>
        </is>
      </c>
      <c r="N266" t="inlineStr">
        <is>
          <t>031-4465-1160</t>
        </is>
      </c>
      <c r="O266" t="inlineStr">
        <is>
          <t>031-337-1468</t>
        </is>
      </c>
      <c r="P266" s="3" t="n"/>
      <c r="Q266" t="inlineStr">
        <is>
          <t>1358159150</t>
        </is>
      </c>
      <c r="R266" t="inlineStr">
        <is>
          <t>1345110066686</t>
        </is>
      </c>
      <c r="S266" t="inlineStr">
        <is>
          <t>대상아님</t>
        </is>
      </c>
      <c r="T266" t="inlineStr">
        <is>
          <t>일반법인</t>
        </is>
      </c>
      <c r="U266" t="inlineStr">
        <is>
          <t>중소기업</t>
        </is>
      </c>
      <c r="V266" t="inlineStr">
        <is>
          <t>외부감사대상</t>
        </is>
      </c>
      <c r="W266" s="6" t="inlineStr">
        <is>
          <t>2002-12-12</t>
        </is>
      </c>
      <c r="X266" t="inlineStr">
        <is>
          <t>KRI:10L6812100</t>
        </is>
      </c>
      <c r="Y266" t="inlineStr">
        <is>
          <t>주거용 건물 개발 및 공급업</t>
        </is>
      </c>
      <c r="Z266" t="inlineStr">
        <is>
          <t>주택신축판매</t>
        </is>
      </c>
      <c r="AA266" t="inlineStr">
        <is>
          <t>경기 용인시 처인구 역북동 436-2번지</t>
        </is>
      </c>
      <c r="AB266" t="inlineStr">
        <is>
          <t>경기 용인시 처인구 중부대로 1315</t>
        </is>
      </c>
    </row>
    <row r="267" ht="19.2" customHeight="1" s="1">
      <c r="A267" t="inlineStr">
        <is>
          <t>NICE:L02619</t>
        </is>
      </c>
      <c r="B267" t="inlineStr">
        <is>
          <t>두동도시개발</t>
        </is>
      </c>
      <c r="C267" s="5" t="n">
        <v>115290671000</v>
      </c>
      <c r="D267" s="5" t="n">
        <v>65852698000</v>
      </c>
      <c r="E267" s="5" t="n">
        <v>49437973000</v>
      </c>
      <c r="F267" s="5" t="n">
        <v>37320553000</v>
      </c>
      <c r="G267" s="5" t="n">
        <v>4232641000</v>
      </c>
      <c r="H267" s="5" t="n">
        <v>22045901000</v>
      </c>
      <c r="I267" s="5" t="n">
        <v>2597529000</v>
      </c>
      <c r="J267" s="4" t="n">
        <v>1.783099889755249</v>
      </c>
      <c r="K267" s="4" t="n">
        <v>1.331999897956848</v>
      </c>
      <c r="L267" s="4" t="n">
        <v>0.1133999973535538</v>
      </c>
      <c r="M267" t="inlineStr">
        <is>
          <t>최규식/최영식</t>
        </is>
      </c>
      <c r="N267" t="inlineStr">
        <is>
          <t>051-959-7771</t>
        </is>
      </c>
      <c r="O267" t="inlineStr">
        <is>
          <t>051-959-7776</t>
        </is>
      </c>
      <c r="P267" s="3" t="n"/>
      <c r="Q267" t="inlineStr">
        <is>
          <t>6068650016</t>
        </is>
      </c>
      <c r="R267" t="inlineStr">
        <is>
          <t>1801110882406</t>
        </is>
      </c>
      <c r="S267" t="inlineStr">
        <is>
          <t>대상아님</t>
        </is>
      </c>
      <c r="T267" t="inlineStr">
        <is>
          <t>일반법인</t>
        </is>
      </c>
      <c r="U267" t="inlineStr">
        <is>
          <t>중소기업</t>
        </is>
      </c>
      <c r="V267" t="inlineStr">
        <is>
          <t>외부감사대상</t>
        </is>
      </c>
      <c r="W267" s="6" t="inlineStr">
        <is>
          <t>2013-10-21</t>
        </is>
      </c>
      <c r="X267" t="inlineStr">
        <is>
          <t>KRI:10L6812900</t>
        </is>
      </c>
      <c r="Y267" t="inlineStr">
        <is>
          <t>기타 부동산 개발 및 공급업</t>
        </is>
      </c>
      <c r="Z267" t="inlineStr">
        <is>
          <t>부동산개발시행</t>
        </is>
      </c>
      <c r="AA267" t="inlineStr">
        <is>
          <t>부산 강서구 송정동 1709-2번지</t>
        </is>
      </c>
      <c r="AB267" t="inlineStr">
        <is>
          <t>부산 강서구 녹산산단232로 38-26</t>
        </is>
      </c>
    </row>
    <row r="268" ht="19.2" customHeight="1" s="1">
      <c r="A268" t="inlineStr">
        <is>
          <t>NICE:189255</t>
        </is>
      </c>
      <c r="B268" t="inlineStr">
        <is>
          <t>한국의료환경</t>
        </is>
      </c>
      <c r="C268" s="5" t="n">
        <v>44992147000</v>
      </c>
      <c r="D268" s="5" t="n">
        <v>5003665000</v>
      </c>
      <c r="E268" s="5" t="n">
        <v>39988482000</v>
      </c>
      <c r="F268" s="5" t="n">
        <v>21945760000</v>
      </c>
      <c r="G268" s="5" t="n">
        <v>5547262000</v>
      </c>
      <c r="H268" s="5" t="n">
        <v>30792183000</v>
      </c>
      <c r="I268" s="5" t="n">
        <v>5992011000</v>
      </c>
      <c r="J268" s="4" t="n">
        <v>2.515599966049194</v>
      </c>
      <c r="K268" s="4" t="n">
        <v>0.1251000016927719</v>
      </c>
      <c r="L268" s="4" t="n">
        <v>0.2527999877929688</v>
      </c>
      <c r="M268" t="inlineStr">
        <is>
          <t>전은우</t>
        </is>
      </c>
      <c r="N268" t="inlineStr">
        <is>
          <t>031-323-0360</t>
        </is>
      </c>
      <c r="O268" t="inlineStr">
        <is>
          <t>031-333-1675</t>
        </is>
      </c>
      <c r="P268" s="3" t="n"/>
      <c r="Q268" t="inlineStr">
        <is>
          <t>1358131002</t>
        </is>
      </c>
      <c r="R268" t="inlineStr">
        <is>
          <t>1345110031085</t>
        </is>
      </c>
      <c r="S268" t="inlineStr">
        <is>
          <t>대상아님</t>
        </is>
      </c>
      <c r="T268" t="inlineStr">
        <is>
          <t>일반법인</t>
        </is>
      </c>
      <c r="U268" t="inlineStr">
        <is>
          <t>대기업</t>
        </is>
      </c>
      <c r="V268" t="inlineStr">
        <is>
          <t>외부감사대상</t>
        </is>
      </c>
      <c r="W268" s="6" t="inlineStr">
        <is>
          <t>1998-12-17</t>
        </is>
      </c>
      <c r="X268" t="inlineStr">
        <is>
          <t>KRI:10E3822000</t>
        </is>
      </c>
      <c r="Y268" t="inlineStr">
        <is>
          <t>지정 폐기물 처리업</t>
        </is>
      </c>
      <c r="Z268" t="inlineStr">
        <is>
          <t>폐기물 처리,용역,의료기관세탁물처리/환경산업기기 제조/의약품 도매/부동산 임대</t>
        </is>
      </c>
      <c r="AA268" t="inlineStr">
        <is>
          <t>경기 용인시 처인구 남사읍 진목리 257번지</t>
        </is>
      </c>
      <c r="AB268" t="inlineStr">
        <is>
          <t>경기 용인시 처인구 남사읍 천덕산로428번길 22</t>
        </is>
      </c>
    </row>
    <row r="269" ht="19.2" customHeight="1" s="1">
      <c r="A269" t="inlineStr">
        <is>
          <t>NICE:710881</t>
        </is>
      </c>
      <c r="B269" t="inlineStr">
        <is>
          <t>아라리오</t>
        </is>
      </c>
      <c r="C269" s="5" t="n">
        <v>448667568000</v>
      </c>
      <c r="D269" s="5" t="n">
        <v>345275316000</v>
      </c>
      <c r="E269" s="5" t="n">
        <v>103392253000</v>
      </c>
      <c r="F269" s="5" t="n">
        <v>87310657000</v>
      </c>
      <c r="G269" s="5" t="n">
        <v>13482557000</v>
      </c>
      <c r="H269" s="5" t="n">
        <v>91234588000</v>
      </c>
      <c r="I269" s="5" t="n">
        <v>13811392000</v>
      </c>
      <c r="J269" s="4" t="n">
        <v>1.495499968528748</v>
      </c>
      <c r="K269" s="4" t="n">
        <v>3.339499950408936</v>
      </c>
      <c r="L269" s="4" t="n">
        <v>0.1543999910354614</v>
      </c>
      <c r="M269" t="inlineStr">
        <is>
          <t>김문수</t>
        </is>
      </c>
      <c r="N269" t="inlineStr">
        <is>
          <t>041-640-6000</t>
        </is>
      </c>
      <c r="O269" t="inlineStr">
        <is>
          <t>041-640-6068</t>
        </is>
      </c>
      <c r="P269" s="3">
        <f>HYPERLINK("http://www.arario.co.kr", "http://www.arario.co.kr")</f>
        <v/>
      </c>
      <c r="Q269" t="inlineStr">
        <is>
          <t>3128104553</t>
        </is>
      </c>
      <c r="R269" t="inlineStr">
        <is>
          <t>1615110003396</t>
        </is>
      </c>
      <c r="S269" t="inlineStr">
        <is>
          <t>대상아님</t>
        </is>
      </c>
      <c r="T269" t="inlineStr">
        <is>
          <t>일반법인</t>
        </is>
      </c>
      <c r="U269" t="inlineStr">
        <is>
          <t>중소기업</t>
        </is>
      </c>
      <c r="V269" t="inlineStr">
        <is>
          <t>외부감사대상</t>
        </is>
      </c>
      <c r="W269" s="6" t="inlineStr">
        <is>
          <t>1986-12-10</t>
        </is>
      </c>
      <c r="X269" t="inlineStr">
        <is>
          <t>KRI:10G4711100</t>
        </is>
      </c>
      <c r="Y269" t="inlineStr">
        <is>
          <t>백화점</t>
        </is>
      </c>
      <c r="Z269" t="inlineStr">
        <is>
          <t>백화점 경영/종합 소매/화랑,미술관/간이,휴게 음식/부동산 임대</t>
        </is>
      </c>
      <c r="AA269" t="inlineStr">
        <is>
          <t>충남 천안시 동남구 신부동 354-1번지</t>
        </is>
      </c>
      <c r="AB269" t="inlineStr">
        <is>
          <t>충남 천안시 동남구 만남로 43</t>
        </is>
      </c>
    </row>
    <row r="270" ht="19.2" customHeight="1" s="1">
      <c r="A270" t="inlineStr">
        <is>
          <t>NICE:371130</t>
        </is>
      </c>
      <c r="B270" t="inlineStr">
        <is>
          <t>세일엘앤아이</t>
        </is>
      </c>
      <c r="C270" s="5" t="n">
        <v>283709557000</v>
      </c>
      <c r="D270" s="5" t="n">
        <v>104562954000</v>
      </c>
      <c r="E270" s="5" t="n">
        <v>179146603000</v>
      </c>
      <c r="F270" s="5" t="n">
        <v>24718907000</v>
      </c>
      <c r="G270" s="5" t="n">
        <v>13438801000</v>
      </c>
      <c r="H270" s="5" t="n">
        <v>25322499000</v>
      </c>
      <c r="I270" s="5" t="n">
        <v>14298454000</v>
      </c>
      <c r="J270" s="4" t="n">
        <v>0.2729999721050262</v>
      </c>
      <c r="K270" s="4" t="n">
        <v>0.5837000012397766</v>
      </c>
      <c r="L270" s="4" t="n">
        <v>0.5436999797821045</v>
      </c>
      <c r="M270" t="inlineStr">
        <is>
          <t>권민수</t>
        </is>
      </c>
      <c r="N270" t="inlineStr">
        <is>
          <t>031-698-3950</t>
        </is>
      </c>
      <c r="O270" t="inlineStr">
        <is>
          <t>031-698-3960</t>
        </is>
      </c>
      <c r="P270" s="3">
        <f>HYPERLINK("http://www.seilsteel.com", "http://www.seilsteel.com")</f>
        <v/>
      </c>
      <c r="Q270" t="inlineStr">
        <is>
          <t>1198106971</t>
        </is>
      </c>
      <c r="R270" t="inlineStr">
        <is>
          <t>1101110089816</t>
        </is>
      </c>
      <c r="S270" t="inlineStr">
        <is>
          <t>대상아님</t>
        </is>
      </c>
      <c r="T270" t="inlineStr">
        <is>
          <t>일반법인</t>
        </is>
      </c>
      <c r="U270" t="inlineStr">
        <is>
          <t>중소기업</t>
        </is>
      </c>
      <c r="V270" t="inlineStr">
        <is>
          <t>외부감사대상</t>
        </is>
      </c>
      <c r="W270" s="6" t="inlineStr">
        <is>
          <t>1971-02-11</t>
        </is>
      </c>
      <c r="X270" t="inlineStr">
        <is>
          <t>KRI:10H5210100</t>
        </is>
      </c>
      <c r="Y270" t="inlineStr">
        <is>
          <t>일반 창고업</t>
        </is>
      </c>
      <c r="Z270" t="inlineStr">
        <is>
          <t>창고보관/아연도강판,자동차차체용부품,자동차부품,금속캔,포장용기 제조/칼라강판 도매/부동산 임대/용역 파견</t>
        </is>
      </c>
      <c r="AA270" t="inlineStr">
        <is>
          <t>경기 성남시 분당구 삼평동 678번지 삼환하이펙스 A동 711호</t>
        </is>
      </c>
      <c r="AB270" t="inlineStr">
        <is>
          <t>경기 성남시 분당구 판교역로 240, A동 711호 (삼평동,삼환하이펙스)</t>
        </is>
      </c>
    </row>
    <row r="271" ht="19.2" customHeight="1" s="1">
      <c r="A271" t="inlineStr">
        <is>
          <t>NICE:146292</t>
        </is>
      </c>
      <c r="B271" t="inlineStr">
        <is>
          <t>에스에프씨</t>
        </is>
      </c>
      <c r="C271" s="5" t="n">
        <v>213765990000</v>
      </c>
      <c r="D271" s="5" t="n">
        <v>21347450000</v>
      </c>
      <c r="E271" s="5" t="n">
        <v>192418540000</v>
      </c>
      <c r="F271" s="5" t="n">
        <v>158124210000</v>
      </c>
      <c r="G271" s="5" t="n">
        <v>29528878000</v>
      </c>
      <c r="H271" s="5" t="n">
        <v>133103992000</v>
      </c>
      <c r="I271" s="5" t="n">
        <v>22702487000</v>
      </c>
      <c r="J271" s="4" t="n">
        <v>7.757399559020996</v>
      </c>
      <c r="K271" s="4" t="n">
        <v>0.1108999997377396</v>
      </c>
      <c r="L271" s="4" t="n">
        <v>0.1867000013589859</v>
      </c>
      <c r="M271" t="inlineStr">
        <is>
          <t>김용관</t>
        </is>
      </c>
      <c r="N271" t="inlineStr">
        <is>
          <t>043-280-9500</t>
        </is>
      </c>
      <c r="O271" t="inlineStr">
        <is>
          <t>043-280-9505</t>
        </is>
      </c>
      <c r="P271" s="3">
        <f>HYPERLINK("http://www.sfc-dye.com", "http://www.sfc-dye.com")</f>
        <v/>
      </c>
      <c r="Q271" t="inlineStr">
        <is>
          <t>1348154429</t>
        </is>
      </c>
      <c r="R271" t="inlineStr">
        <is>
          <t>1355110105889</t>
        </is>
      </c>
      <c r="S271" t="inlineStr">
        <is>
          <t>대상아님</t>
        </is>
      </c>
      <c r="T271" t="inlineStr">
        <is>
          <t>일반법인</t>
        </is>
      </c>
      <c r="U271" t="inlineStr">
        <is>
          <t>중견기업</t>
        </is>
      </c>
      <c r="V271" t="inlineStr">
        <is>
          <t>외부감사대상</t>
        </is>
      </c>
      <c r="W271" s="6" t="inlineStr">
        <is>
          <t>1998-07-01</t>
        </is>
      </c>
      <c r="X271" t="inlineStr">
        <is>
          <t>KRI:10C2049100</t>
        </is>
      </c>
      <c r="Y271" t="inlineStr">
        <is>
          <t>감광재료 및 관련 화학제품 제조업</t>
        </is>
      </c>
      <c r="Z271" t="inlineStr">
        <is>
          <t>OLED 발광재료,정밀화학제품 제조,도소매</t>
        </is>
      </c>
      <c r="AA271" t="inlineStr">
        <is>
          <t>충북 청주시 청원구 오창읍 각리 653-9번지</t>
        </is>
      </c>
      <c r="AB271" t="inlineStr">
        <is>
          <t>충북 청주시 청원구 오창읍 과학산업5로 89</t>
        </is>
      </c>
    </row>
    <row r="272" s="1">
      <c r="A272" t="inlineStr">
        <is>
          <t>NICE:M22818</t>
        </is>
      </c>
      <c r="B272" t="inlineStr">
        <is>
          <t>케이알에너지</t>
        </is>
      </c>
      <c r="C272" s="5" t="n">
        <v>83244266000</v>
      </c>
      <c r="D272" s="5" t="n">
        <v>40194814000</v>
      </c>
      <c r="E272" s="5" t="n">
        <v>43049452000</v>
      </c>
      <c r="F272" s="5" t="n">
        <v>30787103000</v>
      </c>
      <c r="G272" s="5" t="n">
        <v>6548868000</v>
      </c>
      <c r="H272" s="5" t="n">
        <v>34127966000</v>
      </c>
      <c r="I272" s="5" t="n">
        <v>9964652000</v>
      </c>
      <c r="J272" s="4" t="n">
        <v>3.486199855804443</v>
      </c>
      <c r="K272" s="4" t="n">
        <v>0.9337000250816345</v>
      </c>
      <c r="L272" s="4" t="n">
        <v>0.2126999944448471</v>
      </c>
      <c r="M272" t="inlineStr">
        <is>
          <t>김진우/이강용</t>
        </is>
      </c>
      <c r="N272" t="inlineStr">
        <is>
          <t>052-227-5564</t>
        </is>
      </c>
      <c r="O272" t="inlineStr">
        <is>
          <t>052-227-5576</t>
        </is>
      </c>
      <c r="Q272" t="inlineStr">
        <is>
          <t>6108631089</t>
        </is>
      </c>
      <c r="R272" t="inlineStr">
        <is>
          <t>2301110228724</t>
        </is>
      </c>
      <c r="S272" t="inlineStr">
        <is>
          <t>대상아님</t>
        </is>
      </c>
      <c r="T272" t="inlineStr">
        <is>
          <t>일반법인</t>
        </is>
      </c>
      <c r="U272" t="inlineStr">
        <is>
          <t>중소기업</t>
        </is>
      </c>
      <c r="V272" t="inlineStr">
        <is>
          <t>외부감사대상</t>
        </is>
      </c>
      <c r="W272" s="6" t="inlineStr">
        <is>
          <t>2014-10-07</t>
        </is>
      </c>
      <c r="X272" t="inlineStr">
        <is>
          <t>KRI:10D3530000</t>
        </is>
      </c>
      <c r="Y272" t="inlineStr">
        <is>
          <t>증기, 냉ㆍ온수 및 공기조절 공급업</t>
        </is>
      </c>
      <c r="Z272" t="inlineStr">
        <is>
          <t>증기(스팀),온수 공급/태양광 발전</t>
        </is>
      </c>
      <c r="AA272" t="inlineStr">
        <is>
          <t>울산 남구 매암동 391-144번지</t>
        </is>
      </c>
      <c r="AB272" t="inlineStr">
        <is>
          <t>울산 남구 장생포고래로29번길 7</t>
        </is>
      </c>
    </row>
    <row r="273" s="1">
      <c r="A273" t="inlineStr">
        <is>
          <t>NICE:FZ6187</t>
        </is>
      </c>
      <c r="B273" t="inlineStr">
        <is>
          <t>윤준에스티</t>
        </is>
      </c>
      <c r="C273" s="5" t="n">
        <v>62703006000</v>
      </c>
      <c r="D273" s="5" t="n">
        <v>44589181000</v>
      </c>
      <c r="E273" s="5" t="n">
        <v>18113824000</v>
      </c>
      <c r="F273" s="5" t="n">
        <v>28254551000</v>
      </c>
      <c r="G273" s="5" t="n">
        <v>5787955000</v>
      </c>
      <c r="H273" s="5" t="n">
        <v>23176927000</v>
      </c>
      <c r="I273" s="5" t="n">
        <v>4049088000</v>
      </c>
      <c r="J273" s="4" t="n">
        <v>0.6215000152587891</v>
      </c>
      <c r="K273" s="4" t="n">
        <v>2.461600065231323</v>
      </c>
      <c r="L273" s="4" t="n">
        <v>0.2048999965190887</v>
      </c>
      <c r="M273" t="inlineStr">
        <is>
          <t>김태수</t>
        </is>
      </c>
      <c r="N273" t="inlineStr">
        <is>
          <t>043-212-0401</t>
        </is>
      </c>
      <c r="O273" t="inlineStr">
        <is>
          <t>043-213-0231</t>
        </is>
      </c>
      <c r="Q273" t="inlineStr">
        <is>
          <t>7468100070</t>
        </is>
      </c>
      <c r="R273" t="inlineStr">
        <is>
          <t>1101115688796</t>
        </is>
      </c>
      <c r="S273" t="inlineStr">
        <is>
          <t>대상아님</t>
        </is>
      </c>
      <c r="T273" t="inlineStr">
        <is>
          <t>일반법인</t>
        </is>
      </c>
      <c r="U273" t="inlineStr">
        <is>
          <t>중소기업</t>
        </is>
      </c>
      <c r="V273" t="inlineStr">
        <is>
          <t>외부감사대상</t>
        </is>
      </c>
      <c r="W273" s="6" t="inlineStr">
        <is>
          <t>2015-04-07</t>
        </is>
      </c>
      <c r="X273" t="inlineStr">
        <is>
          <t>KRI:10C2511300</t>
        </is>
      </c>
      <c r="Y273" t="inlineStr">
        <is>
          <t>육상 금속 골조 구조재 제조업</t>
        </is>
      </c>
      <c r="Z273" t="inlineStr">
        <is>
          <t>금속조립체 제조/토공사,비계구조물해체공사,콘크리트공사,철근공사,상하수도설비공사,전문건설하도급공사/철강제 임대,엔지니어링</t>
        </is>
      </c>
      <c r="AA273" t="inlineStr">
        <is>
          <t>충북 증평군 도안면 광덕리 566번지</t>
        </is>
      </c>
      <c r="AB273" t="inlineStr">
        <is>
          <t>충북 증평군 도안면 원명로 15-12</t>
        </is>
      </c>
    </row>
    <row r="274" ht="19.2" customHeight="1" s="1">
      <c r="A274" t="inlineStr">
        <is>
          <t>NICE:JE2909</t>
        </is>
      </c>
      <c r="B274" t="inlineStr">
        <is>
          <t>동진피씨이</t>
        </is>
      </c>
      <c r="C274" s="5" t="n">
        <v>84762303000</v>
      </c>
      <c r="D274" s="5" t="n">
        <v>7159318000</v>
      </c>
      <c r="E274" s="5" t="n">
        <v>77602985000</v>
      </c>
      <c r="F274" s="5" t="n">
        <v>42992205000</v>
      </c>
      <c r="G274" s="5" t="n">
        <v>7767210000</v>
      </c>
      <c r="H274" s="5" t="n">
        <v>62691876000</v>
      </c>
      <c r="I274" s="5" t="n">
        <v>13730017000</v>
      </c>
      <c r="J274" s="4" t="n">
        <v>7.116199970245361</v>
      </c>
      <c r="K274" s="4" t="n">
        <v>0.09229999035596848</v>
      </c>
      <c r="L274" s="4" t="n">
        <v>0.1806999891996384</v>
      </c>
      <c r="M274" t="inlineStr">
        <is>
          <t>노희철/이명수</t>
        </is>
      </c>
      <c r="N274" t="inlineStr">
        <is>
          <t>043-883-3800</t>
        </is>
      </c>
      <c r="O274" t="inlineStr">
        <is>
          <t>043-883-3804</t>
        </is>
      </c>
      <c r="P274" s="3">
        <f>HYPERLINK("http://djpce.com", "http://djpce.com")</f>
        <v/>
      </c>
      <c r="Q274" t="inlineStr">
        <is>
          <t>2658101037</t>
        </is>
      </c>
      <c r="R274" t="inlineStr">
        <is>
          <t>1545110079023</t>
        </is>
      </c>
      <c r="S274" t="inlineStr">
        <is>
          <t>대상아님</t>
        </is>
      </c>
      <c r="T274" t="inlineStr">
        <is>
          <t>일반법인</t>
        </is>
      </c>
      <c r="U274" t="inlineStr">
        <is>
          <t>중소기업</t>
        </is>
      </c>
      <c r="V274" t="inlineStr">
        <is>
          <t>외부감사대상</t>
        </is>
      </c>
      <c r="W274" s="6" t="inlineStr">
        <is>
          <t>2018-07-02</t>
        </is>
      </c>
      <c r="X274" t="inlineStr">
        <is>
          <t>KRI:10C2332900</t>
        </is>
      </c>
      <c r="Y274" t="inlineStr">
        <is>
          <t>그 외 기타 콘크리트 제품 및 유사제품 제조업</t>
        </is>
      </c>
      <c r="Z274" t="inlineStr">
        <is>
          <t>프리캐스트콘트리트제품,콘크리트제품 제조/지붕판금공사,건축물조립공사</t>
        </is>
      </c>
      <c r="AA274" t="inlineStr">
        <is>
          <t>충북 음성군 감곡면 문촌리 386번지</t>
        </is>
      </c>
      <c r="AB274" t="inlineStr">
        <is>
          <t>충북 음성군 감곡면 가곡로 572-60</t>
        </is>
      </c>
    </row>
    <row r="275" s="1">
      <c r="A275" t="inlineStr">
        <is>
          <t>NICE:HP0307</t>
        </is>
      </c>
      <c r="B275" t="inlineStr">
        <is>
          <t>피스</t>
        </is>
      </c>
      <c r="C275" s="5" t="n">
        <v>131981057000</v>
      </c>
      <c r="D275" s="5" t="n">
        <v>21635428000</v>
      </c>
      <c r="E275" s="5" t="n">
        <v>110345629000</v>
      </c>
      <c r="F275" s="5" t="n">
        <v>127661272000</v>
      </c>
      <c r="G275" s="5" t="n">
        <v>13956053000</v>
      </c>
      <c r="H275" s="5" t="n">
        <v>120167335000</v>
      </c>
      <c r="I275" s="5" t="n">
        <v>14245041000</v>
      </c>
      <c r="J275" s="4" t="n">
        <v>5.684699535369873</v>
      </c>
      <c r="K275" s="4" t="n">
        <v>0.1960999965667725</v>
      </c>
      <c r="L275" s="4" t="n">
        <v>0.1093000024557114</v>
      </c>
      <c r="M275" t="inlineStr">
        <is>
          <t>신경용</t>
        </is>
      </c>
      <c r="N275" t="inlineStr">
        <is>
          <t>032-814-7601</t>
        </is>
      </c>
      <c r="O275" t="inlineStr">
        <is>
          <t>032-814-7605</t>
        </is>
      </c>
      <c r="P275">
        <f>HYPERLINK("http://www.peaceind.co.kr", "http://www.peaceind.co.kr")</f>
        <v/>
      </c>
      <c r="Q275" t="inlineStr">
        <is>
          <t>1838700359</t>
        </is>
      </c>
      <c r="R275" t="inlineStr">
        <is>
          <t>1201110812299</t>
        </is>
      </c>
      <c r="S275" t="inlineStr">
        <is>
          <t>대상아님</t>
        </is>
      </c>
      <c r="T275" t="inlineStr">
        <is>
          <t>일반법인</t>
        </is>
      </c>
      <c r="U275" t="inlineStr">
        <is>
          <t>중소기업</t>
        </is>
      </c>
      <c r="V275" t="inlineStr">
        <is>
          <t>외부감사대상</t>
        </is>
      </c>
      <c r="W275" s="6" t="inlineStr">
        <is>
          <t>2016-04-05</t>
        </is>
      </c>
      <c r="X275" t="inlineStr">
        <is>
          <t>KRI:10C2599900</t>
        </is>
      </c>
      <c r="Y275" t="inlineStr">
        <is>
          <t>그 외 기타 분류 안된 금속 가공 제품 제조업</t>
        </is>
      </c>
      <c r="Z275" t="inlineStr">
        <is>
          <t>산업용,포장용 스테플러,에어공구,농기계,못 제조,판매/무역,전자상거래/광고대행</t>
        </is>
      </c>
      <c r="AA275" t="inlineStr">
        <is>
          <t>인천 남동구 논현동 432-11번지 19동 16호</t>
        </is>
      </c>
      <c r="AB275" t="inlineStr">
        <is>
          <t>인천 남동구 남동서로270번길 47, 19동 16호</t>
        </is>
      </c>
    </row>
    <row r="276" ht="19.2" customHeight="1" s="1">
      <c r="A276" t="inlineStr">
        <is>
          <t>NICE:F85355</t>
        </is>
      </c>
      <c r="B276" t="inlineStr">
        <is>
          <t>성호전자</t>
        </is>
      </c>
      <c r="C276" s="5" t="n">
        <v>50968305000</v>
      </c>
      <c r="D276" s="5" t="n">
        <v>27808842000</v>
      </c>
      <c r="E276" s="5" t="n">
        <v>23159463000</v>
      </c>
      <c r="F276" s="5" t="n">
        <v>53298009000</v>
      </c>
      <c r="G276" s="5" t="n">
        <v>5359413000</v>
      </c>
      <c r="H276" s="5" t="n">
        <v>44289855000</v>
      </c>
      <c r="I276" s="5" t="n">
        <v>4449329000</v>
      </c>
      <c r="J276" s="4" t="n">
        <v>1.479200005531311</v>
      </c>
      <c r="K276" s="4" t="n">
        <v>1.200799942016602</v>
      </c>
      <c r="L276" s="4" t="n">
        <v>0.100600004196167</v>
      </c>
      <c r="M276" t="inlineStr">
        <is>
          <t>이준식</t>
        </is>
      </c>
      <c r="N276" t="inlineStr">
        <is>
          <t>055-253-7324</t>
        </is>
      </c>
      <c r="O276" t="inlineStr">
        <is>
          <t>055-251-7325</t>
        </is>
      </c>
      <c r="P276" s="3">
        <f>HYPERLINK("http://www.defense-sungho.co.kr/", "http://www.defense-sungho.co.kr/")</f>
        <v/>
      </c>
      <c r="Q276" t="inlineStr">
        <is>
          <t>6098190822</t>
        </is>
      </c>
      <c r="R276" t="inlineStr">
        <is>
          <t>1942110102450</t>
        </is>
      </c>
      <c r="S276" t="inlineStr">
        <is>
          <t>대상아님</t>
        </is>
      </c>
      <c r="T276" t="inlineStr">
        <is>
          <t>일반법인</t>
        </is>
      </c>
      <c r="U276" t="inlineStr">
        <is>
          <t>중소기업</t>
        </is>
      </c>
      <c r="V276" t="inlineStr">
        <is>
          <t>외부감사대상</t>
        </is>
      </c>
      <c r="W276" s="6" t="inlineStr">
        <is>
          <t>2009-11-16</t>
        </is>
      </c>
      <c r="X276" t="inlineStr">
        <is>
          <t>KRI:10C2830200</t>
        </is>
      </c>
      <c r="Y276" t="inlineStr">
        <is>
          <t>기타 절연선 및 케이블 제조업</t>
        </is>
      </c>
      <c r="Z276" t="inlineStr">
        <is>
          <t>방위산업용(전차,장갑차) 케이블 조립체,전기전자제품 제조</t>
        </is>
      </c>
      <c r="AA276" t="inlineStr">
        <is>
          <t>경남 창원시 성산구 내동 456-9번지</t>
        </is>
      </c>
      <c r="AB276" t="inlineStr">
        <is>
          <t>경남 창원시 성산구 완암로 153</t>
        </is>
      </c>
    </row>
    <row r="277" ht="19.2" customHeight="1" s="1">
      <c r="A277" t="inlineStr">
        <is>
          <t>NICE:040724</t>
        </is>
      </c>
      <c r="B277" t="inlineStr">
        <is>
          <t>신동진</t>
        </is>
      </c>
      <c r="C277" s="5" t="n">
        <v>250931249000</v>
      </c>
      <c r="D277" s="5" t="n">
        <v>45127185000</v>
      </c>
      <c r="E277" s="5" t="n">
        <v>205804065000</v>
      </c>
      <c r="F277" s="5" t="n">
        <v>21194195000</v>
      </c>
      <c r="G277" s="5" t="n">
        <v>15882920000</v>
      </c>
      <c r="H277" s="5" t="n">
        <v>152418819000</v>
      </c>
      <c r="I277" s="5" t="n">
        <v>15100025000</v>
      </c>
      <c r="J277" s="4" t="n">
        <v>2.050099849700928</v>
      </c>
      <c r="K277" s="4" t="n">
        <v>0.2193000018596649</v>
      </c>
      <c r="L277" s="4" t="n">
        <v>0.7494000196456909</v>
      </c>
      <c r="M277" t="inlineStr">
        <is>
          <t>김석범</t>
        </is>
      </c>
      <c r="N277" t="inlineStr">
        <is>
          <t>02-2146-5000</t>
        </is>
      </c>
      <c r="O277" t="inlineStr">
        <is>
          <t>02-2146-5003</t>
        </is>
      </c>
      <c r="P277" s="3" t="n"/>
      <c r="Q277" t="inlineStr">
        <is>
          <t>1148143438</t>
        </is>
      </c>
      <c r="R277" t="inlineStr">
        <is>
          <t>1101110160533</t>
        </is>
      </c>
      <c r="S277" t="inlineStr">
        <is>
          <t>대상아님</t>
        </is>
      </c>
      <c r="T277" t="inlineStr">
        <is>
          <t>일반법인</t>
        </is>
      </c>
      <c r="U277" t="inlineStr">
        <is>
          <t>대기업</t>
        </is>
      </c>
      <c r="V277" t="inlineStr">
        <is>
          <t>외부감사대상</t>
        </is>
      </c>
      <c r="W277" s="6" t="inlineStr">
        <is>
          <t>1974-02-21</t>
        </is>
      </c>
      <c r="X277" t="inlineStr">
        <is>
          <t>KRI:10L6811200</t>
        </is>
      </c>
      <c r="Y277" t="inlineStr">
        <is>
          <t>비주거용 건물 임대업</t>
        </is>
      </c>
      <c r="Z277" t="inlineStr">
        <is>
          <t>부동산 임대,관리/주차장 운영</t>
        </is>
      </c>
      <c r="AA277" t="inlineStr">
        <is>
          <t>서울 서초구 반포동 63-7번지 에이치에스효성반포빌딩 1층</t>
        </is>
      </c>
      <c r="AB277" t="inlineStr">
        <is>
          <t>서울 서초구 반포대로 235, 1층 (반포동,에이치에스효성반포빌딩)</t>
        </is>
      </c>
    </row>
    <row r="278" ht="19.2" customHeight="1" s="1">
      <c r="A278" t="inlineStr">
        <is>
          <t>NICE:401290</t>
        </is>
      </c>
      <c r="B278" t="inlineStr">
        <is>
          <t>한국산텐제약</t>
        </is>
      </c>
      <c r="C278" s="5" t="n">
        <v>155115557000</v>
      </c>
      <c r="D278" s="5" t="n">
        <v>22482196000</v>
      </c>
      <c r="E278" s="5" t="n">
        <v>132633361000</v>
      </c>
      <c r="F278" s="5" t="n">
        <v>136137252000</v>
      </c>
      <c r="G278" s="5" t="n">
        <v>14299232000</v>
      </c>
      <c r="H278" s="5" t="n">
        <v>133182692000</v>
      </c>
      <c r="I278" s="5" t="n">
        <v>17297684000</v>
      </c>
      <c r="J278" s="4" t="n">
        <v>4.019299983978271</v>
      </c>
      <c r="K278" s="4" t="n">
        <v>0.169500008225441</v>
      </c>
      <c r="L278" s="4" t="n">
        <v>0.1049999967217445</v>
      </c>
      <c r="M278" t="inlineStr">
        <is>
          <t>이한웅</t>
        </is>
      </c>
      <c r="N278" t="inlineStr">
        <is>
          <t>02-754-1434</t>
        </is>
      </c>
      <c r="O278" t="inlineStr">
        <is>
          <t>02-754-2929</t>
        </is>
      </c>
      <c r="P278" s="3">
        <f>HYPERLINK("http://www.santen.co.kr", "http://www.santen.co.kr")</f>
        <v/>
      </c>
      <c r="Q278" t="inlineStr">
        <is>
          <t>1078186915</t>
        </is>
      </c>
      <c r="R278" t="inlineStr">
        <is>
          <t>1101112024539</t>
        </is>
      </c>
      <c r="S278" t="inlineStr">
        <is>
          <t>대상아님</t>
        </is>
      </c>
      <c r="T278" t="inlineStr">
        <is>
          <t>일반법인</t>
        </is>
      </c>
      <c r="U278" t="inlineStr">
        <is>
          <t>중견기업</t>
        </is>
      </c>
      <c r="V278" t="inlineStr">
        <is>
          <t>외부감사대상</t>
        </is>
      </c>
      <c r="W278" s="6" t="inlineStr">
        <is>
          <t>2000-07-12</t>
        </is>
      </c>
      <c r="X278" t="inlineStr">
        <is>
          <t>KRI:10G4644100</t>
        </is>
      </c>
      <c r="Y278" t="inlineStr">
        <is>
          <t>의약품 도매업</t>
        </is>
      </c>
      <c r="Z278" t="inlineStr">
        <is>
          <t>의약품 도소매,무역</t>
        </is>
      </c>
      <c r="AA278" t="inlineStr">
        <is>
          <t>서울 강남구 역삼동 679-4번지 에스아이타워 15층</t>
        </is>
      </c>
      <c r="AB278" t="inlineStr">
        <is>
          <t>서울 강남구 테헤란로 203, 15층 (역삼동,에스아이타워)</t>
        </is>
      </c>
    </row>
    <row r="279" ht="19.2" customHeight="1" s="1">
      <c r="A279" t="inlineStr">
        <is>
          <t>NICE:J91131</t>
        </is>
      </c>
      <c r="B279" t="inlineStr">
        <is>
          <t>경이수산영어조합법인</t>
        </is>
      </c>
      <c r="C279" s="5" t="n">
        <v>14486738000</v>
      </c>
      <c r="D279" s="5" t="n">
        <v>4344642000</v>
      </c>
      <c r="E279" s="5" t="n">
        <v>10142096000</v>
      </c>
      <c r="F279" s="5" t="n">
        <v>28914457000</v>
      </c>
      <c r="G279" s="5" t="n">
        <v>11180683000</v>
      </c>
      <c r="H279" s="5" t="n">
        <v>17007592000</v>
      </c>
      <c r="I279" s="5" t="n">
        <v>1716623000</v>
      </c>
      <c r="J279" s="4" t="n">
        <v>5.848199844360352</v>
      </c>
      <c r="K279" s="4" t="n">
        <v>0.4283999800682068</v>
      </c>
      <c r="L279" s="4" t="n">
        <v>0.3866999745368958</v>
      </c>
      <c r="M279" t="inlineStr">
        <is>
          <t>김인희</t>
        </is>
      </c>
      <c r="N279" t="inlineStr">
        <is>
          <t>055-547-8627</t>
        </is>
      </c>
      <c r="O279" t="inlineStr">
        <is>
          <t>055-552-6663</t>
        </is>
      </c>
      <c r="P279" s="3" t="n"/>
      <c r="Q279" t="inlineStr">
        <is>
          <t>6098615100</t>
        </is>
      </c>
      <c r="R279" t="inlineStr">
        <is>
          <t>1941710001369</t>
        </is>
      </c>
      <c r="S279" t="inlineStr">
        <is>
          <t>대상아님</t>
        </is>
      </c>
      <c r="T279" t="inlineStr">
        <is>
          <t>일반법인</t>
        </is>
      </c>
      <c r="U279" t="inlineStr">
        <is>
          <t>중소기업</t>
        </is>
      </c>
      <c r="V279" t="inlineStr">
        <is>
          <t>외부감사비대상</t>
        </is>
      </c>
      <c r="W279" s="6" t="inlineStr">
        <is>
          <t>2013-08-30</t>
        </is>
      </c>
      <c r="X279" t="inlineStr">
        <is>
          <t>KRI:10C1022000</t>
        </is>
      </c>
      <c r="Y279" t="inlineStr">
        <is>
          <t>수산식물 가공 및 저장 처리업</t>
        </is>
      </c>
      <c r="Z279" t="inlineStr">
        <is>
          <t>해태가공</t>
        </is>
      </c>
      <c r="AA279" t="inlineStr">
        <is>
          <t>경남 창원시 진해구 두동 1199-5번지</t>
        </is>
      </c>
      <c r="AB279" t="inlineStr">
        <is>
          <t>경남 창원시 진해구 청안로 47</t>
        </is>
      </c>
    </row>
    <row r="280" ht="19.2" customHeight="1" s="1">
      <c r="A280" t="inlineStr">
        <is>
          <t>NICE:327638</t>
        </is>
      </c>
      <c r="B280" t="inlineStr">
        <is>
          <t>삼호산업</t>
        </is>
      </c>
      <c r="C280" s="5" t="n">
        <v>381489365000</v>
      </c>
      <c r="D280" s="5" t="n">
        <v>159628657000</v>
      </c>
      <c r="E280" s="5" t="n">
        <v>221860708000</v>
      </c>
      <c r="F280" s="5" t="n">
        <v>515732242000</v>
      </c>
      <c r="G280" s="5" t="n">
        <v>64172460000</v>
      </c>
      <c r="H280" s="5" t="n">
        <v>401728024000</v>
      </c>
      <c r="I280" s="5" t="n">
        <v>59326037000</v>
      </c>
      <c r="J280" s="4" t="n">
        <v>1.135699987411499</v>
      </c>
      <c r="K280" s="4" t="n">
        <v>0.719499945640564</v>
      </c>
      <c r="L280" s="4" t="n">
        <v>0.1243999898433685</v>
      </c>
      <c r="M280" t="inlineStr">
        <is>
          <t>박연구</t>
        </is>
      </c>
      <c r="N280" t="inlineStr">
        <is>
          <t>051-550-1101</t>
        </is>
      </c>
      <c r="O280" t="inlineStr">
        <is>
          <t>051-531-0254</t>
        </is>
      </c>
      <c r="P280" s="3">
        <f>HYPERLINK("http://www.esamho.com", "http://www.esamho.com")</f>
        <v/>
      </c>
      <c r="Q280" t="inlineStr">
        <is>
          <t>6188109567</t>
        </is>
      </c>
      <c r="R280" t="inlineStr">
        <is>
          <t>1801110103042</t>
        </is>
      </c>
      <c r="S280" t="inlineStr">
        <is>
          <t>대상아님</t>
        </is>
      </c>
      <c r="T280" t="inlineStr">
        <is>
          <t>일반법인</t>
        </is>
      </c>
      <c r="U280" t="inlineStr">
        <is>
          <t>중견기업</t>
        </is>
      </c>
      <c r="V280" t="inlineStr">
        <is>
          <t>외부감사대상</t>
        </is>
      </c>
      <c r="W280" s="6" t="inlineStr">
        <is>
          <t>1990-08-01</t>
        </is>
      </c>
      <c r="X280" t="inlineStr">
        <is>
          <t>KRI:10G4642000</t>
        </is>
      </c>
      <c r="Y280" t="inlineStr">
        <is>
          <t>신발 도매업</t>
        </is>
      </c>
      <c r="Z280" t="inlineStr">
        <is>
          <t>신발 도소매,무역(수출),제조</t>
        </is>
      </c>
      <c r="AA280" t="inlineStr">
        <is>
          <t>부산 해운대구 반여동 1486-40번지</t>
        </is>
      </c>
      <c r="AB280" t="inlineStr">
        <is>
          <t>부산 해운대구 해운대로 35</t>
        </is>
      </c>
    </row>
    <row r="281" ht="19.2" customHeight="1" s="1">
      <c r="A281" t="inlineStr">
        <is>
          <t>NICE:151319</t>
        </is>
      </c>
      <c r="B281" t="inlineStr">
        <is>
          <t>니카코리아</t>
        </is>
      </c>
      <c r="C281" s="5" t="n">
        <v>49120737000</v>
      </c>
      <c r="D281" s="5" t="n">
        <v>8339538000</v>
      </c>
      <c r="E281" s="5" t="n">
        <v>40781199000</v>
      </c>
      <c r="F281" s="5" t="n">
        <v>43898182000</v>
      </c>
      <c r="G281" s="5" t="n">
        <v>6202917000</v>
      </c>
      <c r="H281" s="5" t="n">
        <v>40252175000</v>
      </c>
      <c r="I281" s="5" t="n">
        <v>3980832000</v>
      </c>
      <c r="J281" s="4" t="n">
        <v>3.797799825668335</v>
      </c>
      <c r="K281" s="4" t="n">
        <v>0.2045000046491623</v>
      </c>
      <c r="L281" s="4" t="n">
        <v>0.1412999927997589</v>
      </c>
      <c r="M281" t="inlineStr">
        <is>
          <t>김희철/나가미네히로마사</t>
        </is>
      </c>
      <c r="N281" t="inlineStr">
        <is>
          <t>02-779-7727</t>
        </is>
      </c>
      <c r="O281" t="inlineStr">
        <is>
          <t>02-757-7437</t>
        </is>
      </c>
      <c r="P281" s="3">
        <f>HYPERLINK("http://www.niccakorea.com", "http://www.niccakorea.com")</f>
        <v/>
      </c>
      <c r="Q281" t="inlineStr">
        <is>
          <t>1048131916</t>
        </is>
      </c>
      <c r="R281" t="inlineStr">
        <is>
          <t>1101110123044</t>
        </is>
      </c>
      <c r="S281" t="inlineStr">
        <is>
          <t>대상아님</t>
        </is>
      </c>
      <c r="T281" t="inlineStr">
        <is>
          <t>일반법인</t>
        </is>
      </c>
      <c r="U281" t="inlineStr">
        <is>
          <t>중소기업</t>
        </is>
      </c>
      <c r="V281" t="inlineStr">
        <is>
          <t>외부감사대상</t>
        </is>
      </c>
      <c r="W281" s="6" t="inlineStr">
        <is>
          <t>1971-05-22</t>
        </is>
      </c>
      <c r="X281" t="inlineStr">
        <is>
          <t>KRI:10C2042100</t>
        </is>
      </c>
      <c r="Y281" t="inlineStr">
        <is>
          <t>계면활성제 제조업</t>
        </is>
      </c>
      <c r="Z281" t="inlineStr">
        <is>
          <t>계면활성제(섬유가공,제지용,금속용),화학약품,화장품 제조,판매/무역</t>
        </is>
      </c>
      <c r="AA281" t="inlineStr">
        <is>
          <t>서울 금천구 가산동 459-11번지 제이플라츠 1502호</t>
        </is>
      </c>
      <c r="AB281" t="inlineStr">
        <is>
          <t>서울 금천구 가산디지털1로 186, 1502호 (가산동,제이플라츠)</t>
        </is>
      </c>
    </row>
    <row r="282" ht="19.2" customHeight="1" s="1">
      <c r="A282" t="inlineStr">
        <is>
          <t>NICE:218832</t>
        </is>
      </c>
      <c r="B282" t="inlineStr">
        <is>
          <t>아이티사이언스</t>
        </is>
      </c>
      <c r="C282" s="5" t="n">
        <v>47420393000</v>
      </c>
      <c r="D282" s="5" t="n">
        <v>26636040000</v>
      </c>
      <c r="E282" s="5" t="n">
        <v>20784353000</v>
      </c>
      <c r="F282" s="5" t="n">
        <v>82083735000</v>
      </c>
      <c r="G282" s="5" t="n">
        <v>11189671000</v>
      </c>
      <c r="H282" s="5" t="n">
        <v>75951934000</v>
      </c>
      <c r="I282" s="5" t="n">
        <v>3981613000</v>
      </c>
      <c r="J282" s="4" t="n">
        <v>1.432100057601929</v>
      </c>
      <c r="K282" s="4" t="n">
        <v>1.281499862670898</v>
      </c>
      <c r="L282" s="4" t="n">
        <v>0.1362999975681305</v>
      </c>
      <c r="M282" t="inlineStr">
        <is>
          <t>노순석</t>
        </is>
      </c>
      <c r="N282" t="inlineStr">
        <is>
          <t>031-360-3240</t>
        </is>
      </c>
      <c r="O282" t="inlineStr">
        <is>
          <t>031-360-3250</t>
        </is>
      </c>
      <c r="P282" s="3">
        <f>HYPERLINK("http://www.itscience.co.kr", "http://www.itscience.co.kr")</f>
        <v/>
      </c>
      <c r="Q282" t="inlineStr">
        <is>
          <t>1078627075</t>
        </is>
      </c>
      <c r="R282" t="inlineStr">
        <is>
          <t>1101112660010</t>
        </is>
      </c>
      <c r="S282" t="inlineStr">
        <is>
          <t>대상아님</t>
        </is>
      </c>
      <c r="T282" t="inlineStr">
        <is>
          <t>일반법인</t>
        </is>
      </c>
      <c r="U282" t="inlineStr">
        <is>
          <t>중소기업</t>
        </is>
      </c>
      <c r="V282" t="inlineStr">
        <is>
          <t>외부감사대상</t>
        </is>
      </c>
      <c r="W282" s="6" t="inlineStr">
        <is>
          <t>2002-11-25</t>
        </is>
      </c>
      <c r="X282" t="inlineStr">
        <is>
          <t>KRI:10C2641000</t>
        </is>
      </c>
      <c r="Y282" t="inlineStr">
        <is>
          <t>유선 통신장비 제조업</t>
        </is>
      </c>
      <c r="Z282" t="inlineStr">
        <is>
          <t>유,무선,방송 통신기기,전동기,발전기,변압기 제조/소프트웨어 개발</t>
        </is>
      </c>
      <c r="AA282" t="inlineStr">
        <is>
          <t>경기 안양시 동안구 호계동 1029-4번지 지식산업센터 9층</t>
        </is>
      </c>
      <c r="AB282" t="inlineStr">
        <is>
          <t>경기 안양시 동안구 엘에스로91번길 19, 9층 (호계동,지식산업센터)</t>
        </is>
      </c>
    </row>
    <row r="283" ht="19.2" customHeight="1" s="1">
      <c r="A283" t="inlineStr">
        <is>
          <t>NICE:079780</t>
        </is>
      </c>
      <c r="B283" t="inlineStr">
        <is>
          <t>삼남제약</t>
        </is>
      </c>
      <c r="C283" s="5" t="n">
        <v>27312859000</v>
      </c>
      <c r="D283" s="5" t="n">
        <v>5320967000</v>
      </c>
      <c r="E283" s="5" t="n">
        <v>21991891000</v>
      </c>
      <c r="F283" s="5" t="n">
        <v>22104578000</v>
      </c>
      <c r="G283" s="5" t="n">
        <v>3634488000</v>
      </c>
      <c r="H283" s="5" t="n">
        <v>22520106000</v>
      </c>
      <c r="I283" s="5" t="n">
        <v>4346201000</v>
      </c>
      <c r="J283" s="4" t="n">
        <v>1.76800000667572</v>
      </c>
      <c r="K283" s="4" t="n">
        <v>0.2419999986886978</v>
      </c>
      <c r="L283" s="4" t="n">
        <v>0.1643999963998795</v>
      </c>
      <c r="M283" t="inlineStr">
        <is>
          <t>김호택</t>
        </is>
      </c>
      <c r="N283" t="inlineStr">
        <is>
          <t>041-754-3771</t>
        </is>
      </c>
      <c r="O283" t="inlineStr">
        <is>
          <t>041-752-0086</t>
        </is>
      </c>
      <c r="P283" s="3">
        <f>HYPERLINK("http://www.samnam51.com", "http://www.samnam51.com")</f>
        <v/>
      </c>
      <c r="Q283" t="inlineStr">
        <is>
          <t>3058118345</t>
        </is>
      </c>
      <c r="R283" t="inlineStr">
        <is>
          <t>1642110002127</t>
        </is>
      </c>
      <c r="S283" t="inlineStr">
        <is>
          <t>대상아님</t>
        </is>
      </c>
      <c r="T283" t="inlineStr">
        <is>
          <t>일반법인</t>
        </is>
      </c>
      <c r="U283" t="inlineStr">
        <is>
          <t>중소기업</t>
        </is>
      </c>
      <c r="V283" t="inlineStr">
        <is>
          <t>외부감사대상</t>
        </is>
      </c>
      <c r="W283" s="6" t="inlineStr">
        <is>
          <t>1951-05-23</t>
        </is>
      </c>
      <c r="X283" t="inlineStr">
        <is>
          <t>KRI:10C2121000</t>
        </is>
      </c>
      <c r="Y283" t="inlineStr">
        <is>
          <t>완제 의약품 제조업</t>
        </is>
      </c>
      <c r="Z283" t="inlineStr">
        <is>
          <t>의약품 제조,도매</t>
        </is>
      </c>
      <c r="AA283" t="inlineStr">
        <is>
          <t>충남 금산군 금산읍 상리 99-1번지</t>
        </is>
      </c>
      <c r="AB283" t="inlineStr">
        <is>
          <t>충남 금산군 금산읍 인삼로 77</t>
        </is>
      </c>
    </row>
    <row r="284" ht="19.2" customHeight="1" s="1">
      <c r="A284" t="inlineStr">
        <is>
          <t>NICE:G78770</t>
        </is>
      </c>
      <c r="B284" t="inlineStr">
        <is>
          <t>동아산업</t>
        </is>
      </c>
      <c r="C284" s="5" t="n">
        <v>49474751000</v>
      </c>
      <c r="D284" s="5" t="n">
        <v>11908656000</v>
      </c>
      <c r="E284" s="5" t="n">
        <v>37566095000</v>
      </c>
      <c r="F284" s="5" t="n">
        <v>30881625000</v>
      </c>
      <c r="G284" s="5" t="n">
        <v>3864667000</v>
      </c>
      <c r="H284" s="5" t="n">
        <v>53959200000</v>
      </c>
      <c r="I284" s="5" t="n">
        <v>7310335000</v>
      </c>
      <c r="J284" s="4" t="n">
        <v>2.1875</v>
      </c>
      <c r="K284" s="4" t="n">
        <v>0.3170000016689301</v>
      </c>
      <c r="L284" s="4" t="n">
        <v>0.1251000016927719</v>
      </c>
      <c r="M284" t="inlineStr">
        <is>
          <t>이영수</t>
        </is>
      </c>
      <c r="N284" t="inlineStr">
        <is>
          <t>031-895-6446</t>
        </is>
      </c>
      <c r="O284" t="inlineStr">
        <is>
          <t>031-296-4611</t>
        </is>
      </c>
      <c r="P284" s="3">
        <f>HYPERLINK("http://www.donga-pc.co.kr", "http://www.donga-pc.co.kr")</f>
        <v/>
      </c>
      <c r="Q284" t="inlineStr">
        <is>
          <t>1248675010</t>
        </is>
      </c>
      <c r="R284" t="inlineStr">
        <is>
          <t>1358110161603</t>
        </is>
      </c>
      <c r="S284" t="inlineStr">
        <is>
          <t>대상아님</t>
        </is>
      </c>
      <c r="T284" t="inlineStr">
        <is>
          <t>일반법인</t>
        </is>
      </c>
      <c r="U284" t="inlineStr">
        <is>
          <t>중소기업</t>
        </is>
      </c>
      <c r="V284" t="inlineStr">
        <is>
          <t>외부감사대상</t>
        </is>
      </c>
      <c r="W284" s="6" t="inlineStr">
        <is>
          <t>2009-01-12</t>
        </is>
      </c>
      <c r="X284" t="inlineStr">
        <is>
          <t>KRI:10C2332900</t>
        </is>
      </c>
      <c r="Y284" t="inlineStr">
        <is>
          <t>그 외 기타 콘크리트 제품 및 유사제품 제조업</t>
        </is>
      </c>
      <c r="Z284" t="inlineStr">
        <is>
          <t>PC암거,수로관,흄관,맨홀 제조,도소매,무역,전자상거래</t>
        </is>
      </c>
      <c r="AA284" t="inlineStr">
        <is>
          <t>경기 화성시 만세구 장안면 석포리 672-15번지</t>
        </is>
      </c>
      <c r="AB284" t="inlineStr">
        <is>
          <t>경기 화성시 만세구 장안면 무봉길 213</t>
        </is>
      </c>
    </row>
    <row r="285" ht="19.2" customHeight="1" s="1">
      <c r="A285" t="inlineStr">
        <is>
          <t>NICE:385816</t>
        </is>
      </c>
      <c r="B285" t="inlineStr">
        <is>
          <t>클라리오스델코</t>
        </is>
      </c>
      <c r="C285" s="5" t="n">
        <v>328304024000</v>
      </c>
      <c r="D285" s="5" t="n">
        <v>139654177000</v>
      </c>
      <c r="E285" s="5" t="n">
        <v>188649846000</v>
      </c>
      <c r="F285" s="5" t="n">
        <v>798216105000</v>
      </c>
      <c r="G285" s="5" t="n">
        <v>105369817000</v>
      </c>
      <c r="H285" s="5" t="n">
        <v>755793996000</v>
      </c>
      <c r="I285" s="5" t="n">
        <v>91636830000</v>
      </c>
      <c r="J285" s="4" t="n">
        <v>1.772199988365173</v>
      </c>
      <c r="K285" s="4" t="n">
        <v>0.7402999997138977</v>
      </c>
      <c r="L285" s="4" t="n">
        <v>0.1319999992847443</v>
      </c>
      <c r="M285" t="inlineStr">
        <is>
          <t>원석준/유소영</t>
        </is>
      </c>
      <c r="N285" t="inlineStr">
        <is>
          <t>054-472-7862</t>
        </is>
      </c>
      <c r="O285" t="inlineStr">
        <is>
          <t>054-472-7868</t>
        </is>
      </c>
      <c r="P285" s="3">
        <f>HYPERLINK("http://www.delkor.com", "http://www.delkor.com")</f>
        <v/>
      </c>
      <c r="Q285" t="inlineStr">
        <is>
          <t>5138104520</t>
        </is>
      </c>
      <c r="R285" t="inlineStr">
        <is>
          <t>1760140001983</t>
        </is>
      </c>
      <c r="S285" t="inlineStr">
        <is>
          <t>대상아님</t>
        </is>
      </c>
      <c r="T285" t="inlineStr">
        <is>
          <t>일반법인</t>
        </is>
      </c>
      <c r="U285" t="inlineStr">
        <is>
          <t>중견기업</t>
        </is>
      </c>
      <c r="V285" t="inlineStr">
        <is>
          <t>외부감사대상</t>
        </is>
      </c>
      <c r="W285" s="6" t="inlineStr">
        <is>
          <t>1985-10-22</t>
        </is>
      </c>
      <c r="X285" t="inlineStr">
        <is>
          <t>KRI:10C2820200</t>
        </is>
      </c>
      <c r="Y285" t="inlineStr">
        <is>
          <t>축전지 제조업</t>
        </is>
      </c>
      <c r="Z285" t="inlineStr">
        <is>
          <t>밧데리(자동차,산업,휴대기기용) 제조,도소매</t>
        </is>
      </c>
      <c r="AA285" t="inlineStr">
        <is>
          <t>경북 구미시 황상동 495번지</t>
        </is>
      </c>
      <c r="AB285" t="inlineStr">
        <is>
          <t>경북 구미시 옥계2공단로 13</t>
        </is>
      </c>
    </row>
    <row r="286" ht="19.2" customHeight="1" s="1">
      <c r="A286" t="inlineStr">
        <is>
          <t>NICE:426288</t>
        </is>
      </c>
      <c r="B286" t="inlineStr">
        <is>
          <t>디에스테크노</t>
        </is>
      </c>
      <c r="C286" s="5" t="n">
        <v>312325149000</v>
      </c>
      <c r="D286" s="5" t="n">
        <v>181823086000</v>
      </c>
      <c r="E286" s="5" t="n">
        <v>130502064000</v>
      </c>
      <c r="F286" s="5" t="n">
        <v>157263256000</v>
      </c>
      <c r="G286" s="5" t="n">
        <v>18022780000</v>
      </c>
      <c r="H286" s="5" t="n">
        <v>126446405000</v>
      </c>
      <c r="I286" s="5" t="n">
        <v>13174860000</v>
      </c>
      <c r="J286" s="4" t="n">
        <v>1.218700051307678</v>
      </c>
      <c r="K286" s="4" t="n">
        <v>1.39329993724823</v>
      </c>
      <c r="L286" s="4" t="n">
        <v>0.1145999953150749</v>
      </c>
      <c r="M286" t="inlineStr">
        <is>
          <t>안병관/안학준</t>
        </is>
      </c>
      <c r="N286" t="inlineStr">
        <is>
          <t>031-8026-0700</t>
        </is>
      </c>
      <c r="O286" t="inlineStr">
        <is>
          <t>031-8026-0707</t>
        </is>
      </c>
      <c r="P286" s="3">
        <f>HYPERLINK("http://www.dstechno.co.kr", "http://www.dstechno.co.kr")</f>
        <v/>
      </c>
      <c r="Q286" t="inlineStr">
        <is>
          <t>1268143237</t>
        </is>
      </c>
      <c r="R286" t="inlineStr">
        <is>
          <t>1342110035116</t>
        </is>
      </c>
      <c r="S286" t="inlineStr">
        <is>
          <t>대상아님</t>
        </is>
      </c>
      <c r="T286" t="inlineStr">
        <is>
          <t>일반법인</t>
        </is>
      </c>
      <c r="U286" t="inlineStr">
        <is>
          <t>중소기업</t>
        </is>
      </c>
      <c r="V286" t="inlineStr">
        <is>
          <t>외부감사대상</t>
        </is>
      </c>
      <c r="W286" s="6" t="inlineStr">
        <is>
          <t>1990-05-01</t>
        </is>
      </c>
      <c r="X286" t="inlineStr">
        <is>
          <t>KRI:10C2629900</t>
        </is>
      </c>
      <c r="Y286" t="inlineStr">
        <is>
          <t>그 외 기타 전자부품 제조업</t>
        </is>
      </c>
      <c r="Z286" t="inlineStr">
        <is>
          <t>전자부품,반도체부품 제조,도소매/무역/부동산 임대</t>
        </is>
      </c>
      <c r="AA286" t="inlineStr">
        <is>
          <t>경기 이천시 마장면 관리 1408번지</t>
        </is>
      </c>
      <c r="AB286" t="inlineStr">
        <is>
          <t>경기 이천시 마장면 마도로 70-81</t>
        </is>
      </c>
    </row>
    <row r="287" ht="19.2" customHeight="1" s="1">
      <c r="A287" t="inlineStr">
        <is>
          <t>NICE:L87030</t>
        </is>
      </c>
      <c r="B287" t="inlineStr">
        <is>
          <t>아이티엑스코리아</t>
        </is>
      </c>
      <c r="C287" s="5" t="n">
        <v>111102369000</v>
      </c>
      <c r="D287" s="5" t="n">
        <v>49645484000</v>
      </c>
      <c r="E287" s="5" t="n">
        <v>61456885000</v>
      </c>
      <c r="F287" s="5" t="n">
        <v>281057492000</v>
      </c>
      <c r="G287" s="5" t="n">
        <v>44469146000</v>
      </c>
      <c r="H287" s="5" t="n">
        <v>206704490000</v>
      </c>
      <c r="I287" s="5" t="n">
        <v>34862911000</v>
      </c>
      <c r="J287" s="4" t="n">
        <v>1.972299933433533</v>
      </c>
      <c r="K287" s="4" t="n">
        <v>0.8077999949455261</v>
      </c>
      <c r="L287" s="4" t="n">
        <v>0.1581999957561493</v>
      </c>
      <c r="M287" t="inlineStr">
        <is>
          <t>호세마누엘로마이데라꼴리나</t>
        </is>
      </c>
      <c r="N287" t="inlineStr">
        <is>
          <t>02-3413-9848</t>
        </is>
      </c>
      <c r="O287" t="inlineStr">
        <is>
          <t>02-3413-9899</t>
        </is>
      </c>
      <c r="P287" s="3" t="n"/>
      <c r="Q287" t="inlineStr">
        <is>
          <t>1208814733</t>
        </is>
      </c>
      <c r="R287" t="inlineStr">
        <is>
          <t>1101119160203</t>
        </is>
      </c>
      <c r="S287" t="inlineStr">
        <is>
          <t>대상아님</t>
        </is>
      </c>
      <c r="T287" t="inlineStr">
        <is>
          <t>일반법인</t>
        </is>
      </c>
      <c r="U287" t="inlineStr">
        <is>
          <t>중소기업</t>
        </is>
      </c>
      <c r="V287" t="inlineStr">
        <is>
          <t>외부감사대상</t>
        </is>
      </c>
      <c r="W287" s="6" t="inlineStr">
        <is>
          <t>2014-06-16</t>
        </is>
      </c>
      <c r="X287" t="inlineStr">
        <is>
          <t>KRI:10G4641300</t>
        </is>
      </c>
      <c r="Y287" t="inlineStr">
        <is>
          <t>남녀용 겉옷 및 셔츠 도매업</t>
        </is>
      </c>
      <c r="Z287" t="inlineStr">
        <is>
          <t>의류,악세사리,가정용품 도소매/전자상거래</t>
        </is>
      </c>
      <c r="AA287" t="inlineStr">
        <is>
          <t>서울 강남구 삼성동 159-1번지 트레이드타워 20층 2002호</t>
        </is>
      </c>
      <c r="AB287" t="inlineStr">
        <is>
          <t>서울 강남구 영동대로 511, 20층 2002호 (삼성동,트레이드타워)</t>
        </is>
      </c>
    </row>
    <row r="288" ht="19.2" customHeight="1" s="1">
      <c r="A288" t="inlineStr">
        <is>
          <t>NICE:G28228</t>
        </is>
      </c>
      <c r="B288" t="inlineStr">
        <is>
          <t>티앤에프글로벌</t>
        </is>
      </c>
      <c r="C288" s="5" t="n">
        <v>109009112000</v>
      </c>
      <c r="D288" s="5" t="n">
        <v>19693417000</v>
      </c>
      <c r="E288" s="5" t="n">
        <v>89315695000</v>
      </c>
      <c r="F288" s="5" t="n">
        <v>81116693000</v>
      </c>
      <c r="G288" s="5" t="n">
        <v>9186842000</v>
      </c>
      <c r="H288" s="5" t="n">
        <v>93900308000</v>
      </c>
      <c r="I288" s="5" t="n">
        <v>14590276000</v>
      </c>
      <c r="J288" s="4" t="n">
        <v>3.691699981689453</v>
      </c>
      <c r="K288" s="4" t="n">
        <v>0.2204999923706055</v>
      </c>
      <c r="L288" s="4" t="n">
        <v>0.1132999956607819</v>
      </c>
      <c r="M288" t="inlineStr">
        <is>
          <t>정윤교</t>
        </is>
      </c>
      <c r="N288" t="inlineStr">
        <is>
          <t>031-5180-4900</t>
        </is>
      </c>
      <c r="O288" t="inlineStr">
        <is>
          <t>031-5180-4999</t>
        </is>
      </c>
      <c r="P288" s="3">
        <f>HYPERLINK("http://www.tnfglobal.co.kr", "http://www.tnfglobal.co.kr")</f>
        <v/>
      </c>
      <c r="Q288" t="inlineStr">
        <is>
          <t>1228604673</t>
        </is>
      </c>
      <c r="R288" t="inlineStr">
        <is>
          <t>1201110493552</t>
        </is>
      </c>
      <c r="S288" t="inlineStr">
        <is>
          <t>대상아님</t>
        </is>
      </c>
      <c r="T288" t="inlineStr">
        <is>
          <t>일반법인</t>
        </is>
      </c>
      <c r="U288" t="inlineStr">
        <is>
          <t>중소기업</t>
        </is>
      </c>
      <c r="V288" t="inlineStr">
        <is>
          <t>외부감사대상</t>
        </is>
      </c>
      <c r="W288" s="6" t="inlineStr">
        <is>
          <t>2009-04-16</t>
        </is>
      </c>
      <c r="X288" t="inlineStr">
        <is>
          <t>KRI:10C3039900</t>
        </is>
      </c>
      <c r="Y288" t="inlineStr">
        <is>
          <t>그 외 자동차용 신품 부품 제조업</t>
        </is>
      </c>
      <c r="Z288" t="inlineStr">
        <is>
          <t>헤드업디스플레이,레이더센서,차량용인포테인먼트시스템,비젼카메라 제조,개발</t>
        </is>
      </c>
      <c r="AA288" t="inlineStr">
        <is>
          <t>경기 평택시 진위면 마산리 420-6번지</t>
        </is>
      </c>
      <c r="AB288" t="inlineStr">
        <is>
          <t>경기 평택시 진위면 삼남로 654</t>
        </is>
      </c>
    </row>
    <row r="289" s="1">
      <c r="A289" t="inlineStr">
        <is>
          <t>NICE:774626</t>
        </is>
      </c>
      <c r="B289" t="inlineStr">
        <is>
          <t>대지정공</t>
        </is>
      </c>
      <c r="C289" s="5" t="n">
        <v>89305111000</v>
      </c>
      <c r="D289" s="5" t="n">
        <v>71884548000</v>
      </c>
      <c r="E289" s="5" t="n">
        <v>17420563000</v>
      </c>
      <c r="F289" s="5" t="n">
        <v>46810024000</v>
      </c>
      <c r="G289" s="5" t="n">
        <v>4873999000</v>
      </c>
      <c r="H289" s="5" t="n">
        <v>15883498000</v>
      </c>
      <c r="I289" s="5" t="n">
        <v>2583746000</v>
      </c>
      <c r="J289" s="4" t="n">
        <v>1.855200052261353</v>
      </c>
      <c r="K289" s="4" t="n">
        <v>4.126399993896484</v>
      </c>
      <c r="L289" s="4" t="n">
        <v>0.1040999963879585</v>
      </c>
      <c r="M289" t="inlineStr">
        <is>
          <t>조효상</t>
        </is>
      </c>
      <c r="N289" t="inlineStr">
        <is>
          <t>031-336-1151</t>
        </is>
      </c>
      <c r="O289" t="inlineStr">
        <is>
          <t>031-336-1150</t>
        </is>
      </c>
      <c r="P289">
        <f>HYPERLINK("http://www.daejicar.com", "http://www.daejicar.com")</f>
        <v/>
      </c>
      <c r="Q289" t="inlineStr">
        <is>
          <t>1358103210</t>
        </is>
      </c>
      <c r="R289" t="inlineStr">
        <is>
          <t>1345110000262</t>
        </is>
      </c>
      <c r="S289" t="inlineStr">
        <is>
          <t>대상아님</t>
        </is>
      </c>
      <c r="T289" t="inlineStr">
        <is>
          <t>일반법인</t>
        </is>
      </c>
      <c r="U289" t="inlineStr">
        <is>
          <t>중소기업</t>
        </is>
      </c>
      <c r="V289" t="inlineStr">
        <is>
          <t>외부감사대상</t>
        </is>
      </c>
      <c r="W289" s="6" t="inlineStr">
        <is>
          <t>1974-02-20</t>
        </is>
      </c>
      <c r="X289" t="inlineStr">
        <is>
          <t>KRI:10C3020100</t>
        </is>
      </c>
      <c r="Y289" t="inlineStr">
        <is>
          <t>차체 및 특장차 제조업</t>
        </is>
      </c>
      <c r="Z289" t="inlineStr">
        <is>
          <t>특장차,탱크로리,자동차부품 제조</t>
        </is>
      </c>
      <c r="AA289" t="inlineStr">
        <is>
          <t>경기 용인시 처인구 고림동 696-1번지</t>
        </is>
      </c>
      <c r="AB289" t="inlineStr">
        <is>
          <t>경기 용인시 처인구 경안천로 170</t>
        </is>
      </c>
    </row>
    <row r="290" ht="19.2" customHeight="1" s="1">
      <c r="A290" t="inlineStr">
        <is>
          <t>NICE:I08628</t>
        </is>
      </c>
      <c r="B290" t="inlineStr">
        <is>
          <t>엠피닉스</t>
        </is>
      </c>
      <c r="C290" s="5" t="n">
        <v>74346700000</v>
      </c>
      <c r="D290" s="5" t="n">
        <v>24504890000</v>
      </c>
      <c r="E290" s="5" t="n">
        <v>49841810000</v>
      </c>
      <c r="F290" s="5" t="n">
        <v>56366846000</v>
      </c>
      <c r="G290" s="5" t="n">
        <v>22812719000</v>
      </c>
      <c r="H290" s="5" t="n">
        <v>30742333000</v>
      </c>
      <c r="I290" s="5" t="n">
        <v>6822246000</v>
      </c>
      <c r="J290" s="4" t="n">
        <v>1.991699934005737</v>
      </c>
      <c r="K290" s="4" t="n">
        <v>0.4916999638080597</v>
      </c>
      <c r="L290" s="4" t="n">
        <v>0.4047000110149384</v>
      </c>
      <c r="M290" t="inlineStr">
        <is>
          <t>강상도</t>
        </is>
      </c>
      <c r="N290" t="inlineStr">
        <is>
          <t>062-973-9520</t>
        </is>
      </c>
      <c r="O290" t="inlineStr">
        <is>
          <t>062-973-9521</t>
        </is>
      </c>
      <c r="P290" s="3">
        <f>HYPERLINK("http://www.mpnics.com", "http://www.mpnics.com")</f>
        <v/>
      </c>
      <c r="Q290" t="inlineStr">
        <is>
          <t>4098629154</t>
        </is>
      </c>
      <c r="R290" t="inlineStr">
        <is>
          <t>2001110342926</t>
        </is>
      </c>
      <c r="S290" t="inlineStr">
        <is>
          <t>대상아님</t>
        </is>
      </c>
      <c r="T290" t="inlineStr">
        <is>
          <t>일반법인</t>
        </is>
      </c>
      <c r="U290" t="inlineStr">
        <is>
          <t>중소기업</t>
        </is>
      </c>
      <c r="V290" t="inlineStr">
        <is>
          <t>외부감사대상</t>
        </is>
      </c>
      <c r="W290" s="6" t="inlineStr">
        <is>
          <t>2012-05-16</t>
        </is>
      </c>
      <c r="X290" t="inlineStr">
        <is>
          <t>KRI:10C2730100</t>
        </is>
      </c>
      <c r="Y290" t="inlineStr">
        <is>
          <t>광학렌즈 및 광학요소 제조업</t>
        </is>
      </c>
      <c r="Z290" t="inlineStr">
        <is>
          <t>광통신용 렌즈,모듈 제조,개발</t>
        </is>
      </c>
      <c r="AA290" t="inlineStr">
        <is>
          <t>광주 북구 월출동 970-94번지</t>
        </is>
      </c>
      <c r="AB290" t="inlineStr">
        <is>
          <t>광주 북구 첨단벤처소로 45</t>
        </is>
      </c>
    </row>
    <row r="291" ht="19.2" customHeight="1" s="1">
      <c r="A291" t="inlineStr">
        <is>
          <t>NICE:376093</t>
        </is>
      </c>
      <c r="B291" t="inlineStr">
        <is>
          <t>삼영캐스코</t>
        </is>
      </c>
      <c r="C291" s="5" t="n">
        <v>40247838000</v>
      </c>
      <c r="D291" s="5" t="n">
        <v>13828252000</v>
      </c>
      <c r="E291" s="5" t="n">
        <v>26419587000</v>
      </c>
      <c r="F291" s="5" t="n">
        <v>38242486000</v>
      </c>
      <c r="G291" s="5" t="n">
        <v>5646781000</v>
      </c>
      <c r="H291" s="5" t="n">
        <v>39812892000</v>
      </c>
      <c r="I291" s="5" t="n">
        <v>6081596000</v>
      </c>
      <c r="J291" s="4" t="n">
        <v>1.547999978065491</v>
      </c>
      <c r="K291" s="4" t="n">
        <v>0.5234000086784363</v>
      </c>
      <c r="L291" s="4" t="n">
        <v>0.1476999968290329</v>
      </c>
      <c r="M291" t="inlineStr">
        <is>
          <t>전대진</t>
        </is>
      </c>
      <c r="N291" t="inlineStr">
        <is>
          <t>063-570-6050</t>
        </is>
      </c>
      <c r="O291" t="inlineStr">
        <is>
          <t>063-570-6199</t>
        </is>
      </c>
      <c r="P291" s="3">
        <f>HYPERLINK("http://www.casco-f.com", "http://www.casco-f.com")</f>
        <v/>
      </c>
      <c r="Q291" t="inlineStr">
        <is>
          <t>4028166319</t>
        </is>
      </c>
      <c r="R291" t="inlineStr">
        <is>
          <t>2101110047938</t>
        </is>
      </c>
      <c r="S291" t="inlineStr">
        <is>
          <t>대상아님</t>
        </is>
      </c>
      <c r="T291" t="inlineStr">
        <is>
          <t>일반법인</t>
        </is>
      </c>
      <c r="U291" t="inlineStr">
        <is>
          <t>중소기업</t>
        </is>
      </c>
      <c r="V291" t="inlineStr">
        <is>
          <t>외부감사대상</t>
        </is>
      </c>
      <c r="W291" s="6" t="inlineStr">
        <is>
          <t>2005-06-13</t>
        </is>
      </c>
      <c r="X291" t="inlineStr">
        <is>
          <t>KRI:10C2431100</t>
        </is>
      </c>
      <c r="Y291" t="inlineStr">
        <is>
          <t>선철주물 주조업</t>
        </is>
      </c>
      <c r="Z291" t="inlineStr">
        <is>
          <t>주철품(선박엔진부품,사출기) 제조,판매/부동산 임대</t>
        </is>
      </c>
      <c r="AA291" t="inlineStr">
        <is>
          <t>전북 정읍시 북면 태곡리 938-2번지</t>
        </is>
      </c>
      <c r="AB291" t="inlineStr">
        <is>
          <t>전북 정읍시 북면 3산단1길 24</t>
        </is>
      </c>
    </row>
    <row r="292" ht="19.2" customHeight="1" s="1">
      <c r="A292" t="inlineStr">
        <is>
          <t>NICE:211105</t>
        </is>
      </c>
      <c r="B292" t="inlineStr">
        <is>
          <t>제이비에너텍</t>
        </is>
      </c>
      <c r="C292" s="5" t="n">
        <v>35782610000</v>
      </c>
      <c r="D292" s="5" t="n">
        <v>7644718000</v>
      </c>
      <c r="E292" s="5" t="n">
        <v>28137892000</v>
      </c>
      <c r="F292" s="5" t="n">
        <v>26249344000</v>
      </c>
      <c r="G292" s="5" t="n">
        <v>3397832000</v>
      </c>
      <c r="H292" s="5" t="n">
        <v>23407436000</v>
      </c>
      <c r="I292" s="5" t="n">
        <v>2235835000</v>
      </c>
      <c r="J292" s="4" t="n">
        <v>2.024999856948853</v>
      </c>
      <c r="K292" s="4" t="n">
        <v>0.271699994802475</v>
      </c>
      <c r="L292" s="4" t="n">
        <v>0.1293999999761581</v>
      </c>
      <c r="M292" t="inlineStr">
        <is>
          <t>송종민</t>
        </is>
      </c>
      <c r="N292" t="inlineStr">
        <is>
          <t>031-370-4600</t>
        </is>
      </c>
      <c r="O292" t="inlineStr">
        <is>
          <t>031-370-4603</t>
        </is>
      </c>
      <c r="P292" s="3">
        <f>HYPERLINK("http://www.jbenertek.com/", "http://www.jbenertek.com/")</f>
        <v/>
      </c>
      <c r="Q292" t="inlineStr">
        <is>
          <t>2208653823</t>
        </is>
      </c>
      <c r="R292" t="inlineStr">
        <is>
          <t>1101112675522</t>
        </is>
      </c>
      <c r="S292" t="inlineStr">
        <is>
          <t>대상아님</t>
        </is>
      </c>
      <c r="T292" t="inlineStr">
        <is>
          <t>일반법인</t>
        </is>
      </c>
      <c r="U292" t="inlineStr">
        <is>
          <t>중견기업</t>
        </is>
      </c>
      <c r="V292" t="inlineStr">
        <is>
          <t>외부감사대상</t>
        </is>
      </c>
      <c r="W292" s="6" t="inlineStr">
        <is>
          <t>2002-12-18</t>
        </is>
      </c>
      <c r="X292" t="inlineStr">
        <is>
          <t>KRI:10C2721300</t>
        </is>
      </c>
      <c r="Y292" t="inlineStr">
        <is>
          <t>물질 검사, 측정 및 분석기구 제조업</t>
        </is>
      </c>
      <c r="Z292" t="inlineStr">
        <is>
          <t>가스압력측정기,가스기기,가스기자재 제조/가스기기 도소매/태양광 발전,전기/상하수도설비공사,포장공사,토공사,철근콘크리트공사,전기공사</t>
        </is>
      </c>
      <c r="AA292" t="inlineStr">
        <is>
          <t>경기 화성시 효행구 비봉면 양노리 673-41번지</t>
        </is>
      </c>
      <c r="AB292" t="inlineStr">
        <is>
          <t>경기 화성시 효행구 비봉면 현대기아로 825-83</t>
        </is>
      </c>
    </row>
    <row r="293" ht="19.2" customHeight="1" s="1">
      <c r="A293" t="inlineStr">
        <is>
          <t>NICE:041557</t>
        </is>
      </c>
      <c r="B293" t="inlineStr">
        <is>
          <t>에스디코리아</t>
        </is>
      </c>
      <c r="C293" s="5" t="n">
        <v>32248396000</v>
      </c>
      <c r="D293" s="5" t="n">
        <v>12840338000</v>
      </c>
      <c r="E293" s="5" t="n">
        <v>19408058000</v>
      </c>
      <c r="F293" s="5" t="n">
        <v>26184957000</v>
      </c>
      <c r="G293" s="5" t="n">
        <v>2978029000</v>
      </c>
      <c r="H293" s="5" t="n">
        <v>29260418000</v>
      </c>
      <c r="I293" s="5" t="n">
        <v>3504711000</v>
      </c>
      <c r="J293" s="4" t="n">
        <v>4.816400051116943</v>
      </c>
      <c r="K293" s="4" t="n">
        <v>0.6615999937057495</v>
      </c>
      <c r="L293" s="4" t="n">
        <v>0.1136999949812889</v>
      </c>
      <c r="M293" t="inlineStr">
        <is>
          <t>김점식</t>
        </is>
      </c>
      <c r="N293" t="inlineStr">
        <is>
          <t>031-356-2397</t>
        </is>
      </c>
      <c r="O293" t="inlineStr">
        <is>
          <t>031-356-2399</t>
        </is>
      </c>
      <c r="P293" s="3">
        <f>HYPERLINK("http://sd-korea.com", "http://sd-korea.com")</f>
        <v/>
      </c>
      <c r="Q293" t="inlineStr">
        <is>
          <t>1248128341</t>
        </is>
      </c>
      <c r="R293" t="inlineStr">
        <is>
          <t>1348110021577</t>
        </is>
      </c>
      <c r="S293" t="inlineStr">
        <is>
          <t>대상아님</t>
        </is>
      </c>
      <c r="T293" t="inlineStr">
        <is>
          <t>일반법인</t>
        </is>
      </c>
      <c r="U293" t="inlineStr">
        <is>
          <t>중소기업</t>
        </is>
      </c>
      <c r="V293" t="inlineStr">
        <is>
          <t>외부감사대상</t>
        </is>
      </c>
      <c r="W293" s="6" t="inlineStr">
        <is>
          <t>1995-01-23</t>
        </is>
      </c>
      <c r="X293" t="inlineStr">
        <is>
          <t>KRI:10C2049900</t>
        </is>
      </c>
      <c r="Y293" t="inlineStr">
        <is>
          <t>그 외 기타 분류 안된 화학제품 제조업</t>
        </is>
      </c>
      <c r="Z293" t="inlineStr">
        <is>
          <t>화공약품,프라스틱첨가제,색소 제조/화공약품 도매,무역</t>
        </is>
      </c>
      <c r="AA293" t="inlineStr">
        <is>
          <t>경기 화성시 만세구 남양읍 온석리 40번지</t>
        </is>
      </c>
      <c r="AB293" t="inlineStr">
        <is>
          <t>경기 화성시 만세구 남양읍 무하로110번길 92</t>
        </is>
      </c>
    </row>
    <row r="294" ht="19.2" customHeight="1" s="1">
      <c r="A294" t="inlineStr">
        <is>
          <t>NICE:207313</t>
        </is>
      </c>
      <c r="B294" t="inlineStr">
        <is>
          <t>오토스테크</t>
        </is>
      </c>
      <c r="C294" s="5" t="n">
        <v>27925941000</v>
      </c>
      <c r="D294" s="5" t="n">
        <v>2662542000</v>
      </c>
      <c r="E294" s="5" t="n">
        <v>25263399000</v>
      </c>
      <c r="F294" s="5" t="n">
        <v>29570498000</v>
      </c>
      <c r="G294" s="5" t="n">
        <v>7965110000</v>
      </c>
      <c r="H294" s="5" t="n">
        <v>29321823000</v>
      </c>
      <c r="I294" s="5" t="n">
        <v>7805928000</v>
      </c>
      <c r="J294" s="4" t="n">
        <v>8.059599876403809</v>
      </c>
      <c r="K294" s="4" t="n">
        <v>0.1053999960422516</v>
      </c>
      <c r="L294" s="4" t="n">
        <v>0.2694000005722046</v>
      </c>
      <c r="M294" t="inlineStr">
        <is>
          <t>허문영</t>
        </is>
      </c>
      <c r="N294" t="inlineStr">
        <is>
          <t>031-398-8000</t>
        </is>
      </c>
      <c r="O294" t="inlineStr">
        <is>
          <t>031-358-2222</t>
        </is>
      </c>
      <c r="P294" s="3">
        <f>HYPERLINK("http://www.otos.co.kr", "http://www.otos.co.kr")</f>
        <v/>
      </c>
      <c r="Q294" t="inlineStr">
        <is>
          <t>1198155813</t>
        </is>
      </c>
      <c r="R294" t="inlineStr">
        <is>
          <t>1101112487208</t>
        </is>
      </c>
      <c r="S294" t="inlineStr">
        <is>
          <t>대상아님</t>
        </is>
      </c>
      <c r="T294" t="inlineStr">
        <is>
          <t>일반법인</t>
        </is>
      </c>
      <c r="U294" t="inlineStr">
        <is>
          <t>중소기업</t>
        </is>
      </c>
      <c r="V294" t="inlineStr">
        <is>
          <t>외부감사대상</t>
        </is>
      </c>
      <c r="W294" s="6" t="inlineStr">
        <is>
          <t>2002-04-02</t>
        </is>
      </c>
      <c r="X294" t="inlineStr">
        <is>
          <t>KRI:10C2929900</t>
        </is>
      </c>
      <c r="Y294" t="inlineStr">
        <is>
          <t>그 외 기타 특수목적용 기계 제조업</t>
        </is>
      </c>
      <c r="Z294" t="inlineStr">
        <is>
          <t>자동전자용접면 제조/부동산 임대</t>
        </is>
      </c>
      <c r="AA294" t="inlineStr">
        <is>
          <t>경기 화성시 만세구 팔탄면 서근리 224-16번지</t>
        </is>
      </c>
      <c r="AB294" t="inlineStr">
        <is>
          <t>경기 화성시 만세구 팔탄면 버들로1362번길 15-6</t>
        </is>
      </c>
    </row>
    <row r="295" ht="19.2" customHeight="1" s="1">
      <c r="A295" t="inlineStr">
        <is>
          <t>NICE:G80452</t>
        </is>
      </c>
      <c r="B295" t="inlineStr">
        <is>
          <t>명지시스템</t>
        </is>
      </c>
      <c r="C295" s="5" t="n">
        <v>25640237000</v>
      </c>
      <c r="D295" s="5" t="n">
        <v>7033950000</v>
      </c>
      <c r="E295" s="5" t="n">
        <v>18606287000</v>
      </c>
      <c r="F295" s="5" t="n">
        <v>21840410000</v>
      </c>
      <c r="G295" s="5" t="n">
        <v>4907916000</v>
      </c>
      <c r="H295" s="5" t="n">
        <v>15596743000</v>
      </c>
      <c r="I295" s="5" t="n">
        <v>4789737000</v>
      </c>
      <c r="J295" s="4" t="n">
        <v>4.579699993133545</v>
      </c>
      <c r="K295" s="4" t="n">
        <v>0.3779999911785126</v>
      </c>
      <c r="L295" s="4" t="n">
        <v>0.2246999889612198</v>
      </c>
      <c r="M295" t="inlineStr">
        <is>
          <t>이상근</t>
        </is>
      </c>
      <c r="N295" t="inlineStr">
        <is>
          <t>052-245-3614</t>
        </is>
      </c>
      <c r="O295" t="inlineStr">
        <is>
          <t>052-245-3616</t>
        </is>
      </c>
      <c r="P295" s="3" t="n"/>
      <c r="Q295" t="inlineStr">
        <is>
          <t>6208134924</t>
        </is>
      </c>
      <c r="R295" t="inlineStr">
        <is>
          <t>2301110159078</t>
        </is>
      </c>
      <c r="S295" t="inlineStr">
        <is>
          <t>대상아님</t>
        </is>
      </c>
      <c r="T295" t="inlineStr">
        <is>
          <t>일반법인</t>
        </is>
      </c>
      <c r="U295" t="inlineStr">
        <is>
          <t>중소기업</t>
        </is>
      </c>
      <c r="V295" t="inlineStr">
        <is>
          <t>외부감사대상</t>
        </is>
      </c>
      <c r="W295" s="6" t="inlineStr">
        <is>
          <t>2009-10-16</t>
        </is>
      </c>
      <c r="X295" t="inlineStr">
        <is>
          <t>KRI:10C2812300</t>
        </is>
      </c>
      <c r="Y295" t="inlineStr">
        <is>
          <t>배전반 및 전기 자동제어반 제조업</t>
        </is>
      </c>
      <c r="Z295" t="inlineStr">
        <is>
          <t>배전반,전기자동제어반 제조,일반건축공사,전기,통신기자재판매/일반 창고/임대</t>
        </is>
      </c>
      <c r="AA295" t="inlineStr">
        <is>
          <t>울산 중구 성안동 472-15번지</t>
        </is>
      </c>
      <c r="AB295" t="inlineStr">
        <is>
          <t>울산 중구 성안8길 104</t>
        </is>
      </c>
    </row>
    <row r="296" ht="19.2" customHeight="1" s="1">
      <c r="A296" t="inlineStr">
        <is>
          <t>NICE:H39643</t>
        </is>
      </c>
      <c r="B296" t="inlineStr">
        <is>
          <t>제이에스스탠더드</t>
        </is>
      </c>
      <c r="C296" s="5" t="n">
        <v>20359885000</v>
      </c>
      <c r="D296" s="5" t="n">
        <v>5127787000</v>
      </c>
      <c r="E296" s="5" t="n">
        <v>15232098000</v>
      </c>
      <c r="F296" s="5" t="n">
        <v>35373188000</v>
      </c>
      <c r="G296" s="5" t="n">
        <v>4078650000</v>
      </c>
      <c r="H296" s="5" t="n">
        <v>27541263000</v>
      </c>
      <c r="I296" s="5" t="n">
        <v>3744234000</v>
      </c>
      <c r="J296" s="4" t="n">
        <v>3.599299907684326</v>
      </c>
      <c r="K296" s="4" t="n">
        <v>0.3366000056266785</v>
      </c>
      <c r="L296" s="4" t="n">
        <v>0.1152999922633171</v>
      </c>
      <c r="M296" t="inlineStr">
        <is>
          <t>정분도</t>
        </is>
      </c>
      <c r="N296" t="inlineStr">
        <is>
          <t>02-572-9488</t>
        </is>
      </c>
      <c r="O296" t="inlineStr">
        <is>
          <t>02-572-9480</t>
        </is>
      </c>
      <c r="P296" s="3" t="n"/>
      <c r="Q296" t="inlineStr">
        <is>
          <t>1098627125</t>
        </is>
      </c>
      <c r="R296" t="inlineStr">
        <is>
          <t>1101114526244</t>
        </is>
      </c>
      <c r="S296" t="inlineStr">
        <is>
          <t>대상아님</t>
        </is>
      </c>
      <c r="T296" t="inlineStr">
        <is>
          <t>일반법인</t>
        </is>
      </c>
      <c r="U296" t="inlineStr">
        <is>
          <t>중소기업</t>
        </is>
      </c>
      <c r="V296" t="inlineStr">
        <is>
          <t>외부감사대상</t>
        </is>
      </c>
      <c r="W296" s="6" t="inlineStr">
        <is>
          <t>2011-01-28</t>
        </is>
      </c>
      <c r="X296" t="inlineStr">
        <is>
          <t>KRI:10G4641700</t>
        </is>
      </c>
      <c r="Y296" t="inlineStr">
        <is>
          <t>의복 액세서리 및 모조 장신구 도매업</t>
        </is>
      </c>
      <c r="Z296" t="inlineStr">
        <is>
          <t>섬유제품 도소매/수출입,수출입알선,대행</t>
        </is>
      </c>
      <c r="AA296" t="inlineStr">
        <is>
          <t>서울 강남구 도곡동 467-19번지 8층 814호</t>
        </is>
      </c>
      <c r="AB296" t="inlineStr">
        <is>
          <t>서울 강남구 언주로30길 10, 8층 814호</t>
        </is>
      </c>
    </row>
    <row r="297" ht="19.2" customHeight="1" s="1">
      <c r="A297" t="inlineStr">
        <is>
          <t>NICE:C82330</t>
        </is>
      </c>
      <c r="B297" t="inlineStr">
        <is>
          <t>동위</t>
        </is>
      </c>
      <c r="C297" s="5" t="n">
        <v>19134616000</v>
      </c>
      <c r="D297" s="5" t="n">
        <v>5646869000</v>
      </c>
      <c r="E297" s="5" t="n">
        <v>13487748000</v>
      </c>
      <c r="F297" s="5" t="n">
        <v>51766624000</v>
      </c>
      <c r="G297" s="5" t="n">
        <v>5407113000</v>
      </c>
      <c r="H297" s="5" t="n">
        <v>45355790000</v>
      </c>
      <c r="I297" s="5" t="n">
        <v>1954770000</v>
      </c>
      <c r="J297" s="4" t="n">
        <v>2.730100154876709</v>
      </c>
      <c r="K297" s="4" t="n">
        <v>0.4186999797821045</v>
      </c>
      <c r="L297" s="4" t="n">
        <v>0.1044999957084656</v>
      </c>
      <c r="M297" t="inlineStr">
        <is>
          <t>송창선</t>
        </is>
      </c>
      <c r="N297" t="inlineStr">
        <is>
          <t>053-341-7783</t>
        </is>
      </c>
      <c r="O297" t="inlineStr">
        <is>
          <t>053-341-7784</t>
        </is>
      </c>
      <c r="P297" s="3" t="n"/>
      <c r="Q297" t="inlineStr">
        <is>
          <t>4168142029</t>
        </is>
      </c>
      <c r="R297" t="inlineStr">
        <is>
          <t>2013110025999</t>
        </is>
      </c>
      <c r="S297" t="inlineStr">
        <is>
          <t>대상아님</t>
        </is>
      </c>
      <c r="T297" t="inlineStr">
        <is>
          <t>일반법인</t>
        </is>
      </c>
      <c r="U297" t="inlineStr">
        <is>
          <t>중소기업</t>
        </is>
      </c>
      <c r="V297" t="inlineStr">
        <is>
          <t>외부감사대상</t>
        </is>
      </c>
      <c r="W297" s="6" t="inlineStr">
        <is>
          <t>2003-08-04</t>
        </is>
      </c>
      <c r="X297" t="inlineStr">
        <is>
          <t>KRI:10F4220200</t>
        </is>
      </c>
      <c r="Y297" t="inlineStr">
        <is>
          <t>건물용 기계ㆍ장비 설치 공사업</t>
        </is>
      </c>
      <c r="Z297" t="inlineStr">
        <is>
          <t>기계설비공사,전문소방시설공사,미장방수공사</t>
        </is>
      </c>
      <c r="AA297" t="inlineStr">
        <is>
          <t>대구 수성구 고모동 376-1번지</t>
        </is>
      </c>
      <c r="AB297" t="inlineStr">
        <is>
          <t>대구 수성구 고모로39길 22</t>
        </is>
      </c>
    </row>
    <row r="298" ht="19.2" customHeight="1" s="1">
      <c r="A298" t="inlineStr">
        <is>
          <t>NICE:C13312</t>
        </is>
      </c>
      <c r="B298" t="inlineStr">
        <is>
          <t>포코엔지니어링</t>
        </is>
      </c>
      <c r="C298" s="5" t="n">
        <v>38107101000</v>
      </c>
      <c r="D298" s="5" t="n">
        <v>17288917000</v>
      </c>
      <c r="E298" s="5" t="n">
        <v>20818184000</v>
      </c>
      <c r="F298" s="5" t="n">
        <v>25912955000</v>
      </c>
      <c r="G298" s="5" t="n">
        <v>4700440000</v>
      </c>
      <c r="H298" s="5" t="n">
        <v>21028565000</v>
      </c>
      <c r="I298" s="5" t="n">
        <v>2591890000</v>
      </c>
      <c r="J298" s="4" t="n">
        <v>0.6309999823570251</v>
      </c>
      <c r="K298" s="4" t="n">
        <v>0.8305000066757202</v>
      </c>
      <c r="L298" s="4" t="n">
        <v>0.1813999861478806</v>
      </c>
      <c r="M298" t="inlineStr">
        <is>
          <t>김귀동</t>
        </is>
      </c>
      <c r="N298" t="inlineStr">
        <is>
          <t>051-200-8929</t>
        </is>
      </c>
      <c r="O298" t="inlineStr">
        <is>
          <t>051-200-8981</t>
        </is>
      </c>
      <c r="P298" s="3">
        <f>HYPERLINK("http://www.pokorea.net", "http://www.pokorea.net")</f>
        <v/>
      </c>
      <c r="Q298" t="inlineStr">
        <is>
          <t>6028127274</t>
        </is>
      </c>
      <c r="R298" t="inlineStr">
        <is>
          <t>1801110427400</t>
        </is>
      </c>
      <c r="S298" t="inlineStr">
        <is>
          <t>대상아님</t>
        </is>
      </c>
      <c r="T298" t="inlineStr">
        <is>
          <t>일반법인</t>
        </is>
      </c>
      <c r="U298" t="inlineStr">
        <is>
          <t>중소기업</t>
        </is>
      </c>
      <c r="V298" t="inlineStr">
        <is>
          <t>외부감사대상</t>
        </is>
      </c>
      <c r="W298" s="6" t="inlineStr">
        <is>
          <t>2002-10-30</t>
        </is>
      </c>
      <c r="X298" t="inlineStr">
        <is>
          <t>KRI:10C3111400</t>
        </is>
      </c>
      <c r="Y298" t="inlineStr">
        <is>
          <t>선박 구성 부분품 제조업</t>
        </is>
      </c>
      <c r="Z298" t="inlineStr">
        <is>
          <t>선박수리,유압기기,선박부품 제조/기계설비공사/부동산 임대</t>
        </is>
      </c>
      <c r="AA298" t="inlineStr">
        <is>
          <t>부산 사하구 구평동 495-6번지</t>
        </is>
      </c>
      <c r="AB298" t="inlineStr">
        <is>
          <t>부산 사하구 감천항로405번길 21</t>
        </is>
      </c>
    </row>
    <row r="299" ht="19.2" customHeight="1" s="1">
      <c r="A299" t="inlineStr">
        <is>
          <t>NICE:476941</t>
        </is>
      </c>
      <c r="B299" t="inlineStr">
        <is>
          <t>발카코리아</t>
        </is>
      </c>
      <c r="C299" s="5" t="n">
        <v>55527055000</v>
      </c>
      <c r="D299" s="5" t="n">
        <v>5722705000</v>
      </c>
      <c r="E299" s="5" t="n">
        <v>49804350000</v>
      </c>
      <c r="F299" s="5" t="n">
        <v>57746259000</v>
      </c>
      <c r="G299" s="5" t="n">
        <v>24350750000</v>
      </c>
      <c r="H299" s="5" t="n">
        <v>41478360000</v>
      </c>
      <c r="I299" s="5" t="n">
        <v>14772957000</v>
      </c>
      <c r="J299" s="4" t="n">
        <v>6.409099578857422</v>
      </c>
      <c r="K299" s="4" t="n">
        <v>0.1148999929428101</v>
      </c>
      <c r="L299" s="4" t="n">
        <v>0.4216999709606171</v>
      </c>
      <c r="M299" t="inlineStr">
        <is>
          <t>채진석/후지이아츠시</t>
        </is>
      </c>
      <c r="N299" t="inlineStr">
        <is>
          <t>02-786-6718</t>
        </is>
      </c>
      <c r="O299" t="inlineStr">
        <is>
          <t>02-786-6719</t>
        </is>
      </c>
      <c r="P299" s="3">
        <f>HYPERLINK("http://www.valqua.co.kr", "http://www.valqua.co.kr")</f>
        <v/>
      </c>
      <c r="Q299" t="inlineStr">
        <is>
          <t>1078646956</t>
        </is>
      </c>
      <c r="R299" t="inlineStr">
        <is>
          <t>1101112964090</t>
        </is>
      </c>
      <c r="S299" t="inlineStr">
        <is>
          <t>대상아님</t>
        </is>
      </c>
      <c r="T299" t="inlineStr">
        <is>
          <t>일반법인</t>
        </is>
      </c>
      <c r="U299" t="inlineStr">
        <is>
          <t>중소기업</t>
        </is>
      </c>
      <c r="V299" t="inlineStr">
        <is>
          <t>외부감사대상</t>
        </is>
      </c>
      <c r="W299" s="6" t="inlineStr">
        <is>
          <t>2004-03-02</t>
        </is>
      </c>
      <c r="X299" t="inlineStr">
        <is>
          <t>KRI:10C2219200</t>
        </is>
      </c>
      <c r="Y299" t="inlineStr">
        <is>
          <t>산업용 그 외 비경화 고무제품 제조업</t>
        </is>
      </c>
      <c r="Z299" t="inlineStr">
        <is>
          <t>고무,합성수지,금속,진공용구동기계장치 제조,도소매,설계</t>
        </is>
      </c>
      <c r="AA299" t="inlineStr">
        <is>
          <t>서울 영등포구 여의도동 23-6번지 오투타워 10층</t>
        </is>
      </c>
      <c r="AB299" t="inlineStr">
        <is>
          <t>서울 영등포구 의사당대로 83, 10층 (여의도동,오투타워)</t>
        </is>
      </c>
    </row>
    <row r="300" ht="19.2" customHeight="1" s="1">
      <c r="A300" t="inlineStr">
        <is>
          <t>NICE:HG6255</t>
        </is>
      </c>
      <c r="B300" t="inlineStr">
        <is>
          <t>세경씨앤디</t>
        </is>
      </c>
      <c r="C300" s="5" t="n">
        <v>55152084000</v>
      </c>
      <c r="D300" s="5" t="n">
        <v>12216273000</v>
      </c>
      <c r="E300" s="5" t="n">
        <v>42935811000</v>
      </c>
      <c r="F300" s="5" t="n">
        <v>102280822000</v>
      </c>
      <c r="G300" s="5" t="n">
        <v>36216600000</v>
      </c>
      <c r="H300" s="5" t="n">
        <v>130770507000</v>
      </c>
      <c r="I300" s="5" t="n">
        <v>29595766000</v>
      </c>
      <c r="J300" s="4" t="n">
        <v>4.184299945831299</v>
      </c>
      <c r="K300" s="4" t="n">
        <v>0.2845000028610229</v>
      </c>
      <c r="L300" s="4" t="n">
        <v>0.3540999889373779</v>
      </c>
      <c r="M300" t="inlineStr">
        <is>
          <t>심원용</t>
        </is>
      </c>
      <c r="N300" t="inlineStr">
        <is>
          <t>055-286-6144</t>
        </is>
      </c>
      <c r="O300" t="inlineStr">
        <is>
          <t>055-286-8977</t>
        </is>
      </c>
      <c r="P300" s="3" t="n"/>
      <c r="Q300" t="inlineStr">
        <is>
          <t>3948700115</t>
        </is>
      </c>
      <c r="R300" t="inlineStr">
        <is>
          <t>1701110570152</t>
        </is>
      </c>
      <c r="S300" t="inlineStr">
        <is>
          <t>대상아님</t>
        </is>
      </c>
      <c r="T300" t="inlineStr">
        <is>
          <t>일반법인</t>
        </is>
      </c>
      <c r="U300" t="inlineStr">
        <is>
          <t>중소기업</t>
        </is>
      </c>
      <c r="V300" t="inlineStr">
        <is>
          <t>외부감사대상</t>
        </is>
      </c>
      <c r="W300" s="6" t="inlineStr">
        <is>
          <t>2015-06-25</t>
        </is>
      </c>
      <c r="X300" t="inlineStr">
        <is>
          <t>KRI:10F4111000</t>
        </is>
      </c>
      <c r="Y300" t="inlineStr">
        <is>
          <t>주거용 건물 건설업</t>
        </is>
      </c>
      <c r="Z300" t="inlineStr">
        <is>
          <t>주택신축판매(건설),비주거용건물공사</t>
        </is>
      </c>
      <c r="AA300" t="inlineStr">
        <is>
          <t>경남 창원시 성산구 용호동 7-2번지 오피스프라자 803호</t>
        </is>
      </c>
      <c r="AB300" t="inlineStr">
        <is>
          <t>경남 창원시 성산구 중앙대로 263, 803호 (용호동,오피스프라자)</t>
        </is>
      </c>
    </row>
    <row r="301" ht="19.2" customHeight="1" s="1">
      <c r="A301" t="inlineStr">
        <is>
          <t>NICE:790311</t>
        </is>
      </c>
      <c r="B301" t="inlineStr">
        <is>
          <t>오일관광</t>
        </is>
      </c>
      <c r="C301" s="5" t="n">
        <v>38823576000</v>
      </c>
      <c r="D301" s="5" t="n">
        <v>16313380000</v>
      </c>
      <c r="E301" s="5" t="n">
        <v>22510196000</v>
      </c>
      <c r="F301" s="5" t="n">
        <v>27682812000</v>
      </c>
      <c r="G301" s="5" t="n">
        <v>7841099000</v>
      </c>
      <c r="H301" s="5" t="n">
        <v>24233802000</v>
      </c>
      <c r="I301" s="5" t="n">
        <v>6861289000</v>
      </c>
      <c r="J301" s="4" t="n">
        <v>2.322400093078613</v>
      </c>
      <c r="K301" s="4" t="n">
        <v>0.7246999740600586</v>
      </c>
      <c r="L301" s="4" t="n">
        <v>0.2831999957561493</v>
      </c>
      <c r="M301" t="inlineStr">
        <is>
          <t>이준창</t>
        </is>
      </c>
      <c r="N301" t="inlineStr">
        <is>
          <t>02-2280-7000</t>
        </is>
      </c>
      <c r="O301" t="inlineStr">
        <is>
          <t>02-2274-5734</t>
        </is>
      </c>
      <c r="P301" s="3">
        <f>HYPERLINK("http://www.hotelpj.co.kr", "http://www.hotelpj.co.kr")</f>
        <v/>
      </c>
      <c r="Q301" t="inlineStr">
        <is>
          <t>2018148299</t>
        </is>
      </c>
      <c r="R301" t="inlineStr">
        <is>
          <t>1101110023137</t>
        </is>
      </c>
      <c r="S301" t="inlineStr">
        <is>
          <t>대상아님</t>
        </is>
      </c>
      <c r="T301" t="inlineStr">
        <is>
          <t>일반법인</t>
        </is>
      </c>
      <c r="U301" t="inlineStr">
        <is>
          <t>중소기업</t>
        </is>
      </c>
      <c r="V301" t="inlineStr">
        <is>
          <t>외부감사대상</t>
        </is>
      </c>
      <c r="W301" s="6" t="inlineStr">
        <is>
          <t>1970-04-29</t>
        </is>
      </c>
      <c r="X301" t="inlineStr">
        <is>
          <t>KRI:10I5510100</t>
        </is>
      </c>
      <c r="Y301" t="inlineStr">
        <is>
          <t>호텔업</t>
        </is>
      </c>
      <c r="Z301" t="inlineStr">
        <is>
          <t>호텔/한식일반음식점/환전</t>
        </is>
      </c>
      <c r="AA301" t="inlineStr">
        <is>
          <t>서울 중구 인현동1가 2-35번지</t>
        </is>
      </c>
      <c r="AB301" t="inlineStr">
        <is>
          <t>서울 중구 마른내로 71</t>
        </is>
      </c>
    </row>
    <row r="302" ht="19.2" customHeight="1" s="1">
      <c r="A302" t="inlineStr">
        <is>
          <t>NICE:IS8972</t>
        </is>
      </c>
      <c r="B302" t="inlineStr">
        <is>
          <t>제이엔텍</t>
        </is>
      </c>
      <c r="C302" s="5" t="n">
        <v>215640089000</v>
      </c>
      <c r="D302" s="5" t="n">
        <v>184432543000</v>
      </c>
      <c r="E302" s="5" t="n">
        <v>31207546000</v>
      </c>
      <c r="F302" s="5" t="n">
        <v>26613707000</v>
      </c>
      <c r="G302" s="5" t="n">
        <v>13011828000</v>
      </c>
      <c r="H302" s="5" t="n">
        <v>54356835000</v>
      </c>
      <c r="I302" s="5" t="n">
        <v>32725706000</v>
      </c>
      <c r="J302" s="4" t="n">
        <v>1.124699950218201</v>
      </c>
      <c r="K302" s="4" t="n">
        <v>5.909899711608887</v>
      </c>
      <c r="L302" s="4" t="n">
        <v>0.4888999760150909</v>
      </c>
      <c r="M302" t="inlineStr">
        <is>
          <t>최동찬</t>
        </is>
      </c>
      <c r="N302" t="inlineStr">
        <is>
          <t>041-357-0802</t>
        </is>
      </c>
      <c r="O302" t="inlineStr">
        <is>
          <t>041-357-0804</t>
        </is>
      </c>
      <c r="P302" s="3" t="n"/>
      <c r="Q302" t="inlineStr">
        <is>
          <t>3988800735</t>
        </is>
      </c>
      <c r="R302" t="inlineStr">
        <is>
          <t>1650110059527</t>
        </is>
      </c>
      <c r="S302" t="inlineStr">
        <is>
          <t>대상아님</t>
        </is>
      </c>
      <c r="T302" t="inlineStr">
        <is>
          <t>일반법인</t>
        </is>
      </c>
      <c r="U302" t="inlineStr">
        <is>
          <t>중소기업</t>
        </is>
      </c>
      <c r="V302" t="inlineStr">
        <is>
          <t>외부감사대상</t>
        </is>
      </c>
      <c r="W302" s="6" t="inlineStr">
        <is>
          <t>2017-08-01</t>
        </is>
      </c>
      <c r="X302" t="inlineStr">
        <is>
          <t>KRI:10E3821000</t>
        </is>
      </c>
      <c r="Y302" t="inlineStr">
        <is>
          <t>지정 외 폐기물 처리업</t>
        </is>
      </c>
      <c r="Z302" t="inlineStr">
        <is>
          <t>지정폐기물,건설폐기물,사업장폐기물 수집,운반,처리,토양오염 정화,하수,폐수,폐기물중간 처리</t>
        </is>
      </c>
      <c r="AA302" t="inlineStr">
        <is>
          <t>충남 당진시 송산면 동곡리 492번지</t>
        </is>
      </c>
      <c r="AB302" t="inlineStr">
        <is>
          <t>충남 당진시 송산면 가곡로 250</t>
        </is>
      </c>
    </row>
    <row r="303" ht="19.2" customHeight="1" s="1">
      <c r="A303" t="inlineStr">
        <is>
          <t>NICE:JG2386</t>
        </is>
      </c>
      <c r="B303" t="inlineStr">
        <is>
          <t>펜타원씨앤디</t>
        </is>
      </c>
      <c r="C303" s="5" t="n">
        <v>129433994000</v>
      </c>
      <c r="D303" s="5" t="n">
        <v>70503969000</v>
      </c>
      <c r="E303" s="5" t="n">
        <v>58930025000</v>
      </c>
      <c r="F303" s="5" t="n">
        <v>80420662000</v>
      </c>
      <c r="G303" s="5" t="n">
        <v>9508839000</v>
      </c>
      <c r="H303" s="5" t="n">
        <v>23385994000</v>
      </c>
      <c r="I303" s="5" t="n">
        <v>6737931000</v>
      </c>
      <c r="J303" s="4" t="n">
        <v>2.04419994354248</v>
      </c>
      <c r="K303" s="4" t="n">
        <v>1.196399927139282</v>
      </c>
      <c r="L303" s="4" t="n">
        <v>0.118199996650219</v>
      </c>
      <c r="M303" t="inlineStr">
        <is>
          <t>엄주범</t>
        </is>
      </c>
      <c r="N303" t="inlineStr">
        <is>
          <t>070-8862-9435</t>
        </is>
      </c>
      <c r="O303" t="inlineStr">
        <is>
          <t>02-3487-3035</t>
        </is>
      </c>
      <c r="P303" s="3" t="n"/>
      <c r="Q303" t="inlineStr">
        <is>
          <t>3998701180</t>
        </is>
      </c>
      <c r="R303" t="inlineStr">
        <is>
          <t>1101116853869</t>
        </is>
      </c>
      <c r="S303" t="inlineStr">
        <is>
          <t>대상아님</t>
        </is>
      </c>
      <c r="T303" t="inlineStr">
        <is>
          <t>일반법인</t>
        </is>
      </c>
      <c r="U303" t="inlineStr">
        <is>
          <t>중소기업</t>
        </is>
      </c>
      <c r="V303" t="inlineStr">
        <is>
          <t>외부감사대상</t>
        </is>
      </c>
      <c r="W303" s="6" t="inlineStr">
        <is>
          <t>2018-08-27</t>
        </is>
      </c>
      <c r="X303" t="inlineStr">
        <is>
          <t>KRI:10L6812200</t>
        </is>
      </c>
      <c r="Y303" t="inlineStr">
        <is>
          <t>비주거용 건물 개발 및 공급업</t>
        </is>
      </c>
      <c r="Z303" t="inlineStr">
        <is>
          <t>부동산 개발,공급</t>
        </is>
      </c>
      <c r="AA303" t="inlineStr">
        <is>
          <t>경기 과천시 갈현동 0번지 과천펜타원 A동 3층</t>
        </is>
      </c>
      <c r="AB303" t="inlineStr">
        <is>
          <t>경기 과천시 과천대로12길 117, A동 3층 (갈현동,과천펜타원)</t>
        </is>
      </c>
    </row>
    <row r="304" s="1">
      <c r="A304" t="inlineStr">
        <is>
          <t>NICE:668231</t>
        </is>
      </c>
      <c r="B304" t="inlineStr">
        <is>
          <t>에스이앤컴퍼니</t>
        </is>
      </c>
      <c r="C304" s="5" t="n">
        <v>114301889000</v>
      </c>
      <c r="D304" s="5" t="n">
        <v>25330709000</v>
      </c>
      <c r="E304" s="5" t="n">
        <v>88971180000</v>
      </c>
      <c r="F304" s="5" t="n">
        <v>103296716000</v>
      </c>
      <c r="G304" s="5" t="n">
        <v>12664395000</v>
      </c>
      <c r="H304" s="5" t="n">
        <v>106831014000</v>
      </c>
      <c r="I304" s="5" t="n">
        <v>14215737000</v>
      </c>
      <c r="J304" s="4" t="n">
        <v>2.583299875259399</v>
      </c>
      <c r="K304" s="4" t="n">
        <v>0.2846999764442444</v>
      </c>
      <c r="L304" s="4" t="n">
        <v>0.1225999966263771</v>
      </c>
      <c r="M304" t="inlineStr">
        <is>
          <t>이해양/송광수</t>
        </is>
      </c>
      <c r="N304" t="inlineStr">
        <is>
          <t>032-863-9901</t>
        </is>
      </c>
      <c r="O304" t="inlineStr">
        <is>
          <t>032-863-9904</t>
        </is>
      </c>
      <c r="P304">
        <f>HYPERLINK("http://www.se-company.co.kr", "http://www.se-company.co.kr")</f>
        <v/>
      </c>
      <c r="Q304" t="inlineStr">
        <is>
          <t>1318101258</t>
        </is>
      </c>
      <c r="R304" t="inlineStr">
        <is>
          <t>1201110004870</t>
        </is>
      </c>
      <c r="S304" t="inlineStr">
        <is>
          <t>대상아님</t>
        </is>
      </c>
      <c r="T304" t="inlineStr">
        <is>
          <t>일반법인</t>
        </is>
      </c>
      <c r="U304" t="inlineStr">
        <is>
          <t>중소기업</t>
        </is>
      </c>
      <c r="V304" t="inlineStr">
        <is>
          <t>외부감사대상</t>
        </is>
      </c>
      <c r="W304" s="6" t="inlineStr">
        <is>
          <t>1968-11-01</t>
        </is>
      </c>
      <c r="X304" t="inlineStr">
        <is>
          <t>KRI:10C2432200</t>
        </is>
      </c>
      <c r="Y304" t="inlineStr">
        <is>
          <t>동주물 주조업</t>
        </is>
      </c>
      <c r="Z304" t="inlineStr">
        <is>
          <t>순동제품,기계류,금속 가공,제작</t>
        </is>
      </c>
      <c r="AA304" t="inlineStr">
        <is>
          <t>인천 미추홀구 주안동 1381-1번지</t>
        </is>
      </c>
      <c r="AB304" t="inlineStr">
        <is>
          <t>인천 미추홀구 방축로 332</t>
        </is>
      </c>
    </row>
    <row r="305" ht="19.2" customHeight="1" s="1">
      <c r="A305" t="inlineStr">
        <is>
          <t>NICE:004405</t>
        </is>
      </c>
      <c r="B305" t="inlineStr">
        <is>
          <t>한국인닥타썸</t>
        </is>
      </c>
      <c r="C305" s="5" t="n">
        <v>27740217000</v>
      </c>
      <c r="D305" s="5" t="n">
        <v>6437369000</v>
      </c>
      <c r="E305" s="5" t="n">
        <v>21302848000</v>
      </c>
      <c r="F305" s="5" t="n">
        <v>34237035000</v>
      </c>
      <c r="G305" s="5" t="n">
        <v>5152221000</v>
      </c>
      <c r="H305" s="5" t="n">
        <v>47309316000</v>
      </c>
      <c r="I305" s="5" t="n">
        <v>6086340000</v>
      </c>
      <c r="J305" s="4" t="n">
        <v>3.183500051498413</v>
      </c>
      <c r="K305" s="4" t="n">
        <v>0.3021999895572662</v>
      </c>
      <c r="L305" s="4" t="n">
        <v>0.1504999995231628</v>
      </c>
      <c r="M305" t="inlineStr">
        <is>
          <t>유재섭</t>
        </is>
      </c>
      <c r="N305" t="inlineStr">
        <is>
          <t>054-954-5682</t>
        </is>
      </c>
      <c r="O305" t="inlineStr">
        <is>
          <t>054-954-5685</t>
        </is>
      </c>
      <c r="P305" s="3">
        <f>HYPERLINK("http://www.inductotherm.co.kr", "http://www.inductotherm.co.kr")</f>
        <v/>
      </c>
      <c r="Q305" t="inlineStr">
        <is>
          <t>1348108279</t>
        </is>
      </c>
      <c r="R305" t="inlineStr">
        <is>
          <t>1243110012304</t>
        </is>
      </c>
      <c r="S305" t="inlineStr">
        <is>
          <t>대상아님</t>
        </is>
      </c>
      <c r="T305" t="inlineStr">
        <is>
          <t>일반법인</t>
        </is>
      </c>
      <c r="U305" t="inlineStr">
        <is>
          <t>중소기업</t>
        </is>
      </c>
      <c r="V305" t="inlineStr">
        <is>
          <t>외부감사대상</t>
        </is>
      </c>
      <c r="W305" s="6" t="inlineStr">
        <is>
          <t>1985-05-04</t>
        </is>
      </c>
      <c r="X305" t="inlineStr">
        <is>
          <t>KRI:10C2915000</t>
        </is>
      </c>
      <c r="Y305" t="inlineStr">
        <is>
          <t>산업용 오븐, 노 및 노용 버너 제조업</t>
        </is>
      </c>
      <c r="Z305" t="inlineStr">
        <is>
          <t>고주파전기유도용해로,전기가열로,전자변성기,열처리장비 제조/산업용기계장비 도매/부동산 임대</t>
        </is>
      </c>
      <c r="AA305" t="inlineStr">
        <is>
          <t>경북 고령군 다산면 송곡리 1757번지</t>
        </is>
      </c>
      <c r="AB305" t="inlineStr">
        <is>
          <t>경북 고령군 다산면 다산산단로 188</t>
        </is>
      </c>
    </row>
    <row r="306" s="1">
      <c r="A306" t="inlineStr">
        <is>
          <t>NICE:L71056</t>
        </is>
      </c>
      <c r="B306" t="inlineStr">
        <is>
          <t>카루스</t>
        </is>
      </c>
      <c r="C306" s="5" t="n">
        <v>18154962000</v>
      </c>
      <c r="D306" s="5" t="n">
        <v>4318338000</v>
      </c>
      <c r="E306" s="5" t="n">
        <v>13836624000</v>
      </c>
      <c r="F306" s="5" t="n">
        <v>34282904000</v>
      </c>
      <c r="G306" s="5" t="n">
        <v>3845975000</v>
      </c>
      <c r="H306" s="5" t="n">
        <v>20576224000</v>
      </c>
      <c r="I306" s="5" t="n">
        <v>3298043000</v>
      </c>
      <c r="J306" s="4" t="n">
        <v>4.838500022888184</v>
      </c>
      <c r="K306" s="4" t="n">
        <v>0.3120999932289124</v>
      </c>
      <c r="L306" s="4" t="n">
        <v>0.1121999993920326</v>
      </c>
      <c r="M306" t="inlineStr">
        <is>
          <t>서준영</t>
        </is>
      </c>
      <c r="Q306" t="inlineStr">
        <is>
          <t>2618110873</t>
        </is>
      </c>
      <c r="R306" t="inlineStr">
        <is>
          <t>1101115393501</t>
        </is>
      </c>
      <c r="S306" t="inlineStr">
        <is>
          <t>대상아님</t>
        </is>
      </c>
      <c r="T306" t="inlineStr">
        <is>
          <t>일반법인</t>
        </is>
      </c>
      <c r="U306" t="inlineStr">
        <is>
          <t>중소기업</t>
        </is>
      </c>
      <c r="V306" t="inlineStr">
        <is>
          <t>외부감사대상</t>
        </is>
      </c>
      <c r="W306" s="6" t="inlineStr">
        <is>
          <t>2014-04-16</t>
        </is>
      </c>
      <c r="X306" t="inlineStr">
        <is>
          <t>KRI:10G4512000</t>
        </is>
      </c>
      <c r="Y306" t="inlineStr">
        <is>
          <t>중고 자동차 판매업</t>
        </is>
      </c>
      <c r="Z306" t="inlineStr">
        <is>
          <t>중고 자동차</t>
        </is>
      </c>
      <c r="AA306" t="inlineStr">
        <is>
          <t>서울 강서구 등촌동 838번지 강서오토플랙스자동차매매단지 2층 218호</t>
        </is>
      </c>
      <c r="AB306" t="inlineStr">
        <is>
          <t>서울 강서구 양천로 390, 2층 218호 (등촌동,강서오토플랙스자동차매매단지)</t>
        </is>
      </c>
    </row>
    <row r="307" ht="19.2" customHeight="1" s="1">
      <c r="A307" t="inlineStr">
        <is>
          <t>NICE:M29924</t>
        </is>
      </c>
      <c r="B307" t="inlineStr">
        <is>
          <t>지에스포천그린에너지</t>
        </is>
      </c>
      <c r="C307" s="5" t="n">
        <v>505368847000</v>
      </c>
      <c r="D307" s="5" t="n">
        <v>284731785000</v>
      </c>
      <c r="E307" s="5" t="n">
        <v>220637062000</v>
      </c>
      <c r="F307" s="5" t="n">
        <v>158034152000</v>
      </c>
      <c r="G307" s="5" t="n">
        <v>17413170000</v>
      </c>
      <c r="H307" s="5" t="n">
        <v>175049362000</v>
      </c>
      <c r="I307" s="5" t="n">
        <v>25433321000</v>
      </c>
      <c r="J307" s="4" t="n">
        <v>2.197799921035767</v>
      </c>
      <c r="K307" s="4" t="n">
        <v>1.290500044822693</v>
      </c>
      <c r="L307" s="4" t="n">
        <v>0.1102000027894974</v>
      </c>
      <c r="M307" t="inlineStr">
        <is>
          <t>김근일</t>
        </is>
      </c>
      <c r="N307" t="inlineStr">
        <is>
          <t>031-8089-5600</t>
        </is>
      </c>
      <c r="O307" t="inlineStr">
        <is>
          <t>031-8089-5890</t>
        </is>
      </c>
      <c r="P307" s="3">
        <f>HYPERLINK("http://www.gspoge.com", "http://www.gspoge.com")</f>
        <v/>
      </c>
      <c r="Q307" t="inlineStr">
        <is>
          <t>2318107775</t>
        </is>
      </c>
      <c r="R307" t="inlineStr">
        <is>
          <t>2844110079755</t>
        </is>
      </c>
      <c r="S307" t="inlineStr">
        <is>
          <t>대상아님</t>
        </is>
      </c>
      <c r="T307" t="inlineStr">
        <is>
          <t>일반법인</t>
        </is>
      </c>
      <c r="U307" t="inlineStr">
        <is>
          <t>대기업</t>
        </is>
      </c>
      <c r="V307" t="inlineStr">
        <is>
          <t>외부감사대상</t>
        </is>
      </c>
      <c r="W307" s="6" t="inlineStr">
        <is>
          <t>2014-10-31</t>
        </is>
      </c>
      <c r="X307" t="inlineStr">
        <is>
          <t>KRI:10D3530000</t>
        </is>
      </c>
      <c r="Y307" t="inlineStr">
        <is>
          <t>증기, 냉ㆍ온수 및 공기조절 공급업</t>
        </is>
      </c>
      <c r="Z307" t="inlineStr">
        <is>
          <t>증기,냉온수,공기조절 공급</t>
        </is>
      </c>
      <c r="AA307" t="inlineStr">
        <is>
          <t>경기 포천시 신북면 신평리 661번지</t>
        </is>
      </c>
      <c r="AB307" t="inlineStr">
        <is>
          <t>경기 포천시 신북면 장자경제로 78</t>
        </is>
      </c>
    </row>
    <row r="308" s="1">
      <c r="A308" t="inlineStr">
        <is>
          <t>NICE:005596</t>
        </is>
      </c>
      <c r="B308" t="inlineStr">
        <is>
          <t>금아하이드파워</t>
        </is>
      </c>
      <c r="C308" s="5" t="n">
        <v>171133010000</v>
      </c>
      <c r="D308" s="5" t="n">
        <v>68893956000</v>
      </c>
      <c r="E308" s="5" t="n">
        <v>102239054000</v>
      </c>
      <c r="F308" s="5" t="n">
        <v>142217910000</v>
      </c>
      <c r="G308" s="5" t="n">
        <v>15795665000</v>
      </c>
      <c r="H308" s="5" t="n">
        <v>96453474000</v>
      </c>
      <c r="I308" s="5" t="n">
        <v>6691801000</v>
      </c>
      <c r="J308" s="4" t="n">
        <v>0.9549999833106995</v>
      </c>
      <c r="K308" s="4" t="n">
        <v>0.6739000082015991</v>
      </c>
      <c r="L308" s="4" t="n">
        <v>0.1110999956727028</v>
      </c>
      <c r="M308" t="inlineStr">
        <is>
          <t>김장주/이동호</t>
        </is>
      </c>
      <c r="N308" t="inlineStr">
        <is>
          <t>055-286-9316</t>
        </is>
      </c>
      <c r="O308" t="inlineStr">
        <is>
          <t>055-286-9322</t>
        </is>
      </c>
      <c r="P308">
        <f>HYPERLINK("http://www.kumahydpower.com", "http://www.kumahydpower.com")</f>
        <v/>
      </c>
      <c r="Q308" t="inlineStr">
        <is>
          <t>6088115285</t>
        </is>
      </c>
      <c r="R308" t="inlineStr">
        <is>
          <t>1901110019700</t>
        </is>
      </c>
      <c r="S308" t="inlineStr">
        <is>
          <t>대상아님</t>
        </is>
      </c>
      <c r="T308" t="inlineStr">
        <is>
          <t>일반법인</t>
        </is>
      </c>
      <c r="U308" t="inlineStr">
        <is>
          <t>중소기업</t>
        </is>
      </c>
      <c r="V308" t="inlineStr">
        <is>
          <t>외부감사대상</t>
        </is>
      </c>
      <c r="W308" s="6" t="inlineStr">
        <is>
          <t>1988-04-01</t>
        </is>
      </c>
      <c r="X308" t="inlineStr">
        <is>
          <t>KRI:10C2912000</t>
        </is>
      </c>
      <c r="Y308" t="inlineStr">
        <is>
          <t>유압기기 제조업</t>
        </is>
      </c>
      <c r="Z308" t="inlineStr">
        <is>
          <t>유압기기,유압자동화,기계부품 제조,도매/정밀가공부품 제조/부동산 임대</t>
        </is>
      </c>
      <c r="AA308" t="inlineStr">
        <is>
          <t>경남 창원시 성산구 신촌동 192-5번지</t>
        </is>
      </c>
      <c r="AB308" t="inlineStr">
        <is>
          <t>경남 창원시 성산구 공단로 116</t>
        </is>
      </c>
    </row>
    <row r="309" s="1">
      <c r="A309" t="inlineStr">
        <is>
          <t>NICE:PH3147</t>
        </is>
      </c>
      <c r="B309" t="inlineStr">
        <is>
          <t>코어엔텍</t>
        </is>
      </c>
      <c r="C309" s="5" t="n">
        <v>156676861000</v>
      </c>
      <c r="D309" s="5" t="n">
        <v>64282162000</v>
      </c>
      <c r="E309" s="5" t="n">
        <v>92394698000</v>
      </c>
      <c r="F309" s="5" t="n">
        <v>134784157000</v>
      </c>
      <c r="G309" s="5" t="n">
        <v>22420682000</v>
      </c>
      <c r="H309" s="5" t="n">
        <v>116129671000</v>
      </c>
      <c r="I309" s="5" t="n">
        <v>23226251000</v>
      </c>
      <c r="J309" s="4" t="n">
        <v>0.7835999727249146</v>
      </c>
      <c r="K309" s="4" t="n">
        <v>0.6956999897956848</v>
      </c>
      <c r="L309" s="4" t="n">
        <v>0.1662999838590622</v>
      </c>
      <c r="M309" t="inlineStr">
        <is>
          <t>김상태</t>
        </is>
      </c>
      <c r="N309" t="inlineStr">
        <is>
          <t>031-488-1125</t>
        </is>
      </c>
      <c r="O309" t="inlineStr">
        <is>
          <t>031-499-1472</t>
        </is>
      </c>
      <c r="P309">
        <f>HYPERLINK("http://www.coreentech.co.kr", "http://www.coreentech.co.kr")</f>
        <v/>
      </c>
      <c r="Q309" t="inlineStr">
        <is>
          <t>7398602584</t>
        </is>
      </c>
      <c r="R309" t="inlineStr">
        <is>
          <t>1355110404174</t>
        </is>
      </c>
      <c r="S309" t="inlineStr">
        <is>
          <t>대상아님</t>
        </is>
      </c>
      <c r="T309" t="inlineStr">
        <is>
          <t>일반법인</t>
        </is>
      </c>
      <c r="U309" t="inlineStr">
        <is>
          <t>중견기업</t>
        </is>
      </c>
      <c r="V309" t="inlineStr">
        <is>
          <t>외부감사대상</t>
        </is>
      </c>
      <c r="W309" s="6" t="inlineStr">
        <is>
          <t>2022-05-02</t>
        </is>
      </c>
      <c r="X309" t="inlineStr">
        <is>
          <t>KRI:10E3822000</t>
        </is>
      </c>
      <c r="Y309" t="inlineStr">
        <is>
          <t>지정 폐기물 처리업</t>
        </is>
      </c>
      <c r="Z309" t="inlineStr">
        <is>
          <t>지정외폐기물 처리</t>
        </is>
      </c>
      <c r="AA309" t="inlineStr">
        <is>
          <t>경기 시흥시 정왕동 1235-7번지</t>
        </is>
      </c>
      <c r="AB309" t="inlineStr">
        <is>
          <t>경기 시흥시 소망공원로 5</t>
        </is>
      </c>
    </row>
    <row r="310" ht="19.2" customHeight="1" s="1">
      <c r="A310" t="inlineStr">
        <is>
          <t>NICE:IQ0260</t>
        </is>
      </c>
      <c r="B310" t="inlineStr">
        <is>
          <t>현성엠씨티</t>
        </is>
      </c>
      <c r="C310" s="5" t="n">
        <v>47364544000</v>
      </c>
      <c r="D310" s="5" t="n">
        <v>41817020000</v>
      </c>
      <c r="E310" s="5" t="n">
        <v>5547524000</v>
      </c>
      <c r="F310" s="5" t="n">
        <v>27248635000</v>
      </c>
      <c r="G310" s="5" t="n">
        <v>7816308000</v>
      </c>
      <c r="H310" s="5" t="n">
        <v>24095219000</v>
      </c>
      <c r="I310" s="5" t="n">
        <v>3732628000</v>
      </c>
      <c r="J310" s="4" t="n">
        <v>0.3139999806880951</v>
      </c>
      <c r="K310" s="4" t="n">
        <v>7.537999629974365</v>
      </c>
      <c r="L310" s="4" t="n">
        <v>0.2869000136852264</v>
      </c>
      <c r="M310" t="inlineStr">
        <is>
          <t>구범수/임채윤</t>
        </is>
      </c>
      <c r="N310" t="inlineStr">
        <is>
          <t>055-832-3001</t>
        </is>
      </c>
      <c r="O310" t="inlineStr">
        <is>
          <t>055-832-3007</t>
        </is>
      </c>
      <c r="P310" s="3">
        <f>HYPERLINK("http://www.oceanvista.co.kr", "http://www.oceanvista.co.kr")</f>
        <v/>
      </c>
      <c r="Q310" t="inlineStr">
        <is>
          <t>1908100734</t>
        </is>
      </c>
      <c r="R310" t="inlineStr">
        <is>
          <t>1801111093531</t>
        </is>
      </c>
      <c r="S310" t="inlineStr">
        <is>
          <t>대상아님</t>
        </is>
      </c>
      <c r="T310" t="inlineStr">
        <is>
          <t>일반법인</t>
        </is>
      </c>
      <c r="U310" t="inlineStr">
        <is>
          <t>중소기업</t>
        </is>
      </c>
      <c r="V310" t="inlineStr">
        <is>
          <t>외부감사대상</t>
        </is>
      </c>
      <c r="W310" s="6" t="inlineStr">
        <is>
          <t>2017-05-08</t>
        </is>
      </c>
      <c r="X310" t="inlineStr">
        <is>
          <t>KRI:10H5012200</t>
        </is>
      </c>
      <c r="Y310" t="inlineStr">
        <is>
          <t>내항 화물 운송업</t>
        </is>
      </c>
      <c r="Z310" t="inlineStr">
        <is>
          <t>내항 화물,여객 운송/수출입/커피 전문점</t>
        </is>
      </c>
      <c r="AA310" t="inlineStr">
        <is>
          <t>경남 사천시 향촌동 1287번지 삼천포신항여객터미널</t>
        </is>
      </c>
      <c r="AB310" t="inlineStr">
        <is>
          <t>경남 사천시 신항만1길 76 (향촌동,삼천포신항여객터미널)</t>
        </is>
      </c>
    </row>
    <row r="311" ht="19.2" customHeight="1" s="1">
      <c r="A311" t="inlineStr">
        <is>
          <t>NICE:PJ9832</t>
        </is>
      </c>
      <c r="B311" t="inlineStr">
        <is>
          <t>바론</t>
        </is>
      </c>
      <c r="C311" s="5" t="n">
        <v>10880922000</v>
      </c>
      <c r="D311" s="5" t="n">
        <v>3892394000</v>
      </c>
      <c r="E311" s="5" t="n">
        <v>6988529000</v>
      </c>
      <c r="F311" s="5" t="n">
        <v>22140785000</v>
      </c>
      <c r="G311" s="5" t="n">
        <v>5083106000</v>
      </c>
      <c r="H311" s="5" t="n">
        <v>14024455000</v>
      </c>
      <c r="I311" s="5" t="n">
        <v>1092476000</v>
      </c>
      <c r="J311" s="4" t="n">
        <v>2.348000049591064</v>
      </c>
      <c r="K311" s="4" t="n">
        <v>0.5569999814033508</v>
      </c>
      <c r="L311" s="4" t="n">
        <v>0.2295999825000763</v>
      </c>
      <c r="M311" t="inlineStr">
        <is>
          <t>김기남</t>
        </is>
      </c>
      <c r="N311" t="inlineStr">
        <is>
          <t>041-541-1783</t>
        </is>
      </c>
      <c r="O311" t="inlineStr">
        <is>
          <t>041-541-1784</t>
        </is>
      </c>
      <c r="P311" s="3" t="n"/>
      <c r="Q311" t="inlineStr">
        <is>
          <t>1638602642</t>
        </is>
      </c>
      <c r="R311" t="inlineStr">
        <is>
          <t>1648110160329</t>
        </is>
      </c>
      <c r="S311" t="inlineStr">
        <is>
          <t>대상아님</t>
        </is>
      </c>
      <c r="T311" t="inlineStr">
        <is>
          <t>일반법인</t>
        </is>
      </c>
      <c r="U311" t="inlineStr">
        <is>
          <t>중소기업</t>
        </is>
      </c>
      <c r="V311" t="inlineStr">
        <is>
          <t>외부감사비대상</t>
        </is>
      </c>
      <c r="W311" s="6" t="inlineStr">
        <is>
          <t>2022-07-04</t>
        </is>
      </c>
      <c r="X311" t="inlineStr">
        <is>
          <t>KRI:10G4680000</t>
        </is>
      </c>
      <c r="Y311" t="inlineStr">
        <is>
          <t>상품 종합 도매업</t>
        </is>
      </c>
      <c r="Z311" t="inlineStr">
        <is>
          <t>무역/반도체장비부품,디스플레이장비,부품 연구개발,제조판매</t>
        </is>
      </c>
      <c r="AA311" t="inlineStr">
        <is>
          <t>충남 아산시 음봉면 산동리 243-39번지</t>
        </is>
      </c>
      <c r="AB311" t="inlineStr">
        <is>
          <t>충남 아산시 음봉면 산동로 246-89</t>
        </is>
      </c>
    </row>
    <row r="312" ht="19.2" customHeight="1" s="1">
      <c r="A312" t="inlineStr">
        <is>
          <t>NICE:117145</t>
        </is>
      </c>
      <c r="B312" t="inlineStr">
        <is>
          <t>크로버</t>
        </is>
      </c>
      <c r="C312" s="5" t="n">
        <v>88764314000</v>
      </c>
      <c r="D312" s="5" t="n">
        <v>52713896000</v>
      </c>
      <c r="E312" s="5" t="n">
        <v>36050418000</v>
      </c>
      <c r="F312" s="5" t="n">
        <v>45773897000</v>
      </c>
      <c r="G312" s="5" t="n">
        <v>6329376000</v>
      </c>
      <c r="H312" s="5" t="n">
        <v>42601490000</v>
      </c>
      <c r="I312" s="5" t="n">
        <v>5752030000</v>
      </c>
      <c r="J312" s="4" t="n">
        <v>0.3354999721050262</v>
      </c>
      <c r="K312" s="4" t="n">
        <v>1.462199926376343</v>
      </c>
      <c r="L312" s="4" t="n">
        <v>0.1383000016212463</v>
      </c>
      <c r="M312" t="inlineStr">
        <is>
          <t>문일묵</t>
        </is>
      </c>
      <c r="N312" t="inlineStr">
        <is>
          <t>031-456-6266</t>
        </is>
      </c>
      <c r="O312" t="inlineStr">
        <is>
          <t>031-458-5077</t>
        </is>
      </c>
      <c r="P312" s="3">
        <f>HYPERLINK("http://www.clovercooler.com", "http://www.clovercooler.com")</f>
        <v/>
      </c>
      <c r="Q312" t="inlineStr">
        <is>
          <t>1238130733</t>
        </is>
      </c>
      <c r="R312" t="inlineStr">
        <is>
          <t>1351110038301</t>
        </is>
      </c>
      <c r="S312" t="inlineStr">
        <is>
          <t>대상아님</t>
        </is>
      </c>
      <c r="T312" t="inlineStr">
        <is>
          <t>일반법인</t>
        </is>
      </c>
      <c r="U312" t="inlineStr">
        <is>
          <t>중소기업</t>
        </is>
      </c>
      <c r="V312" t="inlineStr">
        <is>
          <t>외부감사대상</t>
        </is>
      </c>
      <c r="W312" s="6" t="inlineStr">
        <is>
          <t>1992-12-23</t>
        </is>
      </c>
      <c r="X312" t="inlineStr">
        <is>
          <t>KRI:10C2917500</t>
        </is>
      </c>
      <c r="Y312" t="inlineStr">
        <is>
          <t>액체 여과기 제조업</t>
        </is>
      </c>
      <c r="Z312" t="inlineStr">
        <is>
          <t>생활,환경가전(냉온수기,정수기,커피머신) 제조,무역(수출)</t>
        </is>
      </c>
      <c r="AA312" t="inlineStr">
        <is>
          <t>경기 안양시 동안구 호계동 911-2번지</t>
        </is>
      </c>
      <c r="AB312" t="inlineStr">
        <is>
          <t>경기 안양시 동안구 시민대로98번길 61</t>
        </is>
      </c>
    </row>
    <row r="313" ht="19.2" customHeight="1" s="1">
      <c r="A313" t="inlineStr">
        <is>
          <t>NICE:382781</t>
        </is>
      </c>
      <c r="B313" t="inlineStr">
        <is>
          <t>한국항공대학교산학협력단</t>
        </is>
      </c>
      <c r="C313" s="5" t="n">
        <v>33777306000</v>
      </c>
      <c r="D313" s="5" t="n">
        <v>12667005000</v>
      </c>
      <c r="E313" s="5" t="n">
        <v>21110301000</v>
      </c>
      <c r="F313" s="5" t="n">
        <v>43792528000</v>
      </c>
      <c r="G313" s="5" t="n">
        <v>4396113000</v>
      </c>
      <c r="H313" s="5" t="n">
        <v>38826990000</v>
      </c>
      <c r="I313" s="5" t="n">
        <v>4612130000</v>
      </c>
      <c r="J313" s="4" t="n">
        <v>1.711499929428101</v>
      </c>
      <c r="K313" s="4" t="n">
        <v>0.5999999642372131</v>
      </c>
      <c r="L313" s="4" t="n">
        <v>0.1004000008106232</v>
      </c>
      <c r="M313" t="inlineStr">
        <is>
          <t>오현웅</t>
        </is>
      </c>
      <c r="N313" t="inlineStr">
        <is>
          <t>02-300-0491</t>
        </is>
      </c>
      <c r="O313" t="inlineStr">
        <is>
          <t>02-300-0495</t>
        </is>
      </c>
      <c r="P313" s="3">
        <f>HYPERLINK("http://www.hau.ac.kr", "http://www.hau.ac.kr")</f>
        <v/>
      </c>
      <c r="Q313" t="inlineStr">
        <is>
          <t>1288208698</t>
        </is>
      </c>
      <c r="R313" t="inlineStr">
        <is>
          <t>2848710002174</t>
        </is>
      </c>
      <c r="S313" t="inlineStr">
        <is>
          <t>대상아님</t>
        </is>
      </c>
      <c r="T313" t="inlineStr">
        <is>
          <t>비영리법인</t>
        </is>
      </c>
      <c r="U313" t="inlineStr">
        <is>
          <t>대상아님</t>
        </is>
      </c>
      <c r="V313" t="inlineStr">
        <is>
          <t>외부감사비대상</t>
        </is>
      </c>
      <c r="W313" s="6" t="inlineStr">
        <is>
          <t>2004-02-17</t>
        </is>
      </c>
      <c r="X313" t="inlineStr">
        <is>
          <t>KRI:10M7012900</t>
        </is>
      </c>
      <c r="Y313" t="inlineStr">
        <is>
          <t>기타 공학 연구개발업</t>
        </is>
      </c>
      <c r="Z313" t="inlineStr">
        <is>
          <t>산학협력단(연구및개발용역),전대</t>
        </is>
      </c>
      <c r="AA313" t="inlineStr">
        <is>
          <t>경기 고양시 덕양구 화전동 646-6번지 한국항공대학교</t>
        </is>
      </c>
      <c r="AB313" t="inlineStr">
        <is>
          <t>경기 고양시 덕양구 항공대학로 76 (화전동,한국항공대학교)</t>
        </is>
      </c>
    </row>
    <row r="314" ht="19.2" customHeight="1" s="1">
      <c r="A314" t="inlineStr">
        <is>
          <t>NICE:G45200</t>
        </is>
      </c>
      <c r="B314" t="inlineStr">
        <is>
          <t>에스이엠케이</t>
        </is>
      </c>
      <c r="C314" s="5" t="n">
        <v>32182442000</v>
      </c>
      <c r="D314" s="5" t="n">
        <v>11010599000</v>
      </c>
      <c r="E314" s="5" t="n">
        <v>21171843000</v>
      </c>
      <c r="F314" s="5" t="n">
        <v>55585846000</v>
      </c>
      <c r="G314" s="5" t="n">
        <v>6857826000</v>
      </c>
      <c r="H314" s="5" t="n">
        <v>67050665000</v>
      </c>
      <c r="I314" s="5" t="n">
        <v>9946345000</v>
      </c>
      <c r="J314" s="4" t="n">
        <v>2.804100036621094</v>
      </c>
      <c r="K314" s="4" t="n">
        <v>0.5200999975204468</v>
      </c>
      <c r="L314" s="4" t="n">
        <v>0.1233999952673912</v>
      </c>
      <c r="M314" t="inlineStr">
        <is>
          <t>이정학</t>
        </is>
      </c>
      <c r="N314" t="inlineStr">
        <is>
          <t>02-2040-7885</t>
        </is>
      </c>
      <c r="O314" t="inlineStr">
        <is>
          <t>02-2040-7887</t>
        </is>
      </c>
      <c r="P314" s="3" t="n"/>
      <c r="Q314" t="inlineStr">
        <is>
          <t>1208750178</t>
        </is>
      </c>
      <c r="R314" t="inlineStr">
        <is>
          <t>1101114266874</t>
        </is>
      </c>
      <c r="S314" t="inlineStr">
        <is>
          <t>대상아님</t>
        </is>
      </c>
      <c r="T314" t="inlineStr">
        <is>
          <t>일반법인</t>
        </is>
      </c>
      <c r="U314" t="inlineStr">
        <is>
          <t>중소기업</t>
        </is>
      </c>
      <c r="V314" t="inlineStr">
        <is>
          <t>외부감사대상</t>
        </is>
      </c>
      <c r="W314" s="6" t="inlineStr">
        <is>
          <t>2010-01-21</t>
        </is>
      </c>
      <c r="X314" t="inlineStr">
        <is>
          <t>KRI:10G4673900</t>
        </is>
      </c>
      <c r="Y314" t="inlineStr">
        <is>
          <t>기타 화학물질 및 화학제품 도매업</t>
        </is>
      </c>
      <c r="Z314" t="inlineStr">
        <is>
          <t>화공약품 도매</t>
        </is>
      </c>
      <c r="AA314" t="inlineStr">
        <is>
          <t>서울 강남구 수서동 713번지 수서현대벤쳐빌 1422호</t>
        </is>
      </c>
      <c r="AB314" t="inlineStr">
        <is>
          <t>서울 강남구 밤고개로1길 10, 1422호 (수서동,수서현대벤쳐빌)</t>
        </is>
      </c>
    </row>
    <row r="315" ht="19.2" customHeight="1" s="1">
      <c r="A315" t="inlineStr">
        <is>
          <t>NICE:C93536</t>
        </is>
      </c>
      <c r="B315" t="inlineStr">
        <is>
          <t>에이에이호텔매니지먼트</t>
        </is>
      </c>
      <c r="C315" s="5" t="n">
        <v>23995022000</v>
      </c>
      <c r="D315" s="5" t="n">
        <v>13456072000</v>
      </c>
      <c r="E315" s="5" t="n">
        <v>10538949000</v>
      </c>
      <c r="F315" s="5" t="n">
        <v>53547602000</v>
      </c>
      <c r="G315" s="5" t="n">
        <v>10880837000</v>
      </c>
      <c r="H315" s="5" t="n">
        <v>45472832000</v>
      </c>
      <c r="I315" s="5" t="n">
        <v>9592590000</v>
      </c>
      <c r="J315" s="4" t="n">
        <v>1.60729992389679</v>
      </c>
      <c r="K315" s="4" t="n">
        <v>1.276799917221069</v>
      </c>
      <c r="L315" s="4" t="n">
        <v>0.2031999975442886</v>
      </c>
      <c r="M315" t="inlineStr">
        <is>
          <t>가스이안시몬스</t>
        </is>
      </c>
      <c r="N315" t="inlineStr">
        <is>
          <t>02-2270-3998</t>
        </is>
      </c>
      <c r="O315" t="inlineStr">
        <is>
          <t>02-2270-3241</t>
        </is>
      </c>
      <c r="P315" s="3">
        <f>HYPERLINK("http://www.ambatel.com", "http://www.ambatel.com")</f>
        <v/>
      </c>
      <c r="Q315" t="inlineStr">
        <is>
          <t>2018198616</t>
        </is>
      </c>
      <c r="R315" t="inlineStr">
        <is>
          <t>1101113526485</t>
        </is>
      </c>
      <c r="S315" t="inlineStr">
        <is>
          <t>대상아님</t>
        </is>
      </c>
      <c r="T315" t="inlineStr">
        <is>
          <t>일반법인</t>
        </is>
      </c>
      <c r="U315" t="inlineStr">
        <is>
          <t>중소기업</t>
        </is>
      </c>
      <c r="V315" t="inlineStr">
        <is>
          <t>외부감사대상</t>
        </is>
      </c>
      <c r="W315" s="6" t="inlineStr">
        <is>
          <t>2006-09-12</t>
        </is>
      </c>
      <c r="X315" t="inlineStr">
        <is>
          <t>KRI:10I5510100</t>
        </is>
      </c>
      <c r="Y315" t="inlineStr">
        <is>
          <t>호텔업</t>
        </is>
      </c>
      <c r="Z315" t="inlineStr">
        <is>
          <t>호텔 운영</t>
        </is>
      </c>
      <c r="AA315" t="inlineStr">
        <is>
          <t>서울 중구 장충동2가 180-10번지</t>
        </is>
      </c>
      <c r="AB315" t="inlineStr">
        <is>
          <t>서울 중구 동호로 297</t>
        </is>
      </c>
    </row>
    <row r="316" ht="19.2" customHeight="1" s="1">
      <c r="A316" t="inlineStr">
        <is>
          <t>NICE:F32341</t>
        </is>
      </c>
      <c r="B316" t="inlineStr">
        <is>
          <t>아이엠</t>
        </is>
      </c>
      <c r="C316" s="5" t="n">
        <v>36866197000</v>
      </c>
      <c r="D316" s="5" t="n">
        <v>28756272000</v>
      </c>
      <c r="E316" s="5" t="n">
        <v>8109925000</v>
      </c>
      <c r="F316" s="5" t="n">
        <v>28137314000</v>
      </c>
      <c r="G316" s="5" t="n">
        <v>3701500000</v>
      </c>
      <c r="H316" s="5" t="n">
        <v>26932867000</v>
      </c>
      <c r="I316" s="5" t="n">
        <v>2855608000</v>
      </c>
      <c r="J316" s="4" t="n">
        <v>0.6873000264167786</v>
      </c>
      <c r="K316" s="4" t="n">
        <v>3.545799732208252</v>
      </c>
      <c r="L316" s="4" t="n">
        <v>0.1315999925136566</v>
      </c>
      <c r="M316" t="inlineStr">
        <is>
          <t>송원근</t>
        </is>
      </c>
      <c r="N316" t="inlineStr">
        <is>
          <t>054-741-5100</t>
        </is>
      </c>
      <c r="O316" t="inlineStr">
        <is>
          <t>054-741-5130</t>
        </is>
      </c>
      <c r="P316" s="3" t="n"/>
      <c r="Q316" t="inlineStr">
        <is>
          <t>5058144045</t>
        </is>
      </c>
      <c r="R316" t="inlineStr">
        <is>
          <t>1712110042588</t>
        </is>
      </c>
      <c r="S316" t="inlineStr">
        <is>
          <t>대상아님</t>
        </is>
      </c>
      <c r="T316" t="inlineStr">
        <is>
          <t>일반법인</t>
        </is>
      </c>
      <c r="U316" t="inlineStr">
        <is>
          <t>중소기업</t>
        </is>
      </c>
      <c r="V316" t="inlineStr">
        <is>
          <t>외부감사대상</t>
        </is>
      </c>
      <c r="W316" s="6" t="inlineStr">
        <is>
          <t>2006-03-20</t>
        </is>
      </c>
      <c r="X316" t="inlineStr">
        <is>
          <t>KRI:10C3039900</t>
        </is>
      </c>
      <c r="Y316" t="inlineStr">
        <is>
          <t>그 외 자동차용 신품 부품 제조업</t>
        </is>
      </c>
      <c r="Z316" t="inlineStr">
        <is>
          <t>자동차부품,금속열처리 제조/코일 판매,무역</t>
        </is>
      </c>
      <c r="AA316" t="inlineStr">
        <is>
          <t>경북 경주시 천북면 오야리 1381-3번지</t>
        </is>
      </c>
      <c r="AB316" t="inlineStr">
        <is>
          <t>경북 경주시 천북면 천북산단로1길 24</t>
        </is>
      </c>
    </row>
    <row r="317" ht="19.2" customHeight="1" s="1">
      <c r="A317" t="inlineStr">
        <is>
          <t>NICE:545520</t>
        </is>
      </c>
      <c r="B317" t="inlineStr">
        <is>
          <t>우진선박</t>
        </is>
      </c>
      <c r="C317" s="5" t="n">
        <v>241647648000</v>
      </c>
      <c r="D317" s="5" t="n">
        <v>141139974000</v>
      </c>
      <c r="E317" s="5" t="n">
        <v>100507674000</v>
      </c>
      <c r="F317" s="5" t="n">
        <v>78899382000</v>
      </c>
      <c r="G317" s="5" t="n">
        <v>18003274000</v>
      </c>
      <c r="H317" s="5" t="n">
        <v>70388543000</v>
      </c>
      <c r="I317" s="5" t="n">
        <v>18565965000</v>
      </c>
      <c r="J317" s="4" t="n">
        <v>1.601899981498718</v>
      </c>
      <c r="K317" s="4" t="n">
        <v>1.404299855232239</v>
      </c>
      <c r="L317" s="4" t="n">
        <v>0.2281999886035919</v>
      </c>
      <c r="M317" t="inlineStr">
        <is>
          <t>정성헌/정지원</t>
        </is>
      </c>
      <c r="N317" t="inlineStr">
        <is>
          <t>051-464-2778</t>
        </is>
      </c>
      <c r="O317" t="inlineStr">
        <is>
          <t>051-465-3778</t>
        </is>
      </c>
      <c r="P317" s="3" t="n"/>
      <c r="Q317" t="inlineStr">
        <is>
          <t>6018118530</t>
        </is>
      </c>
      <c r="R317" t="inlineStr">
        <is>
          <t>1801110093615</t>
        </is>
      </c>
      <c r="S317" t="inlineStr">
        <is>
          <t>대상아님</t>
        </is>
      </c>
      <c r="T317" t="inlineStr">
        <is>
          <t>일반법인</t>
        </is>
      </c>
      <c r="U317" t="inlineStr">
        <is>
          <t>중소기업</t>
        </is>
      </c>
      <c r="V317" t="inlineStr">
        <is>
          <t>외부감사대상</t>
        </is>
      </c>
      <c r="W317" s="6" t="inlineStr">
        <is>
          <t>1989-11-17</t>
        </is>
      </c>
      <c r="X317" t="inlineStr">
        <is>
          <t>KRI:10H5011200</t>
        </is>
      </c>
      <c r="Y317" t="inlineStr">
        <is>
          <t>외항 화물 운송업</t>
        </is>
      </c>
      <c r="Z317" t="inlineStr">
        <is>
          <t>외항화물 운송</t>
        </is>
      </c>
      <c r="AA317" t="inlineStr">
        <is>
          <t>부산 중구 중앙동4가 78-24번지 대림빌딩 301호</t>
        </is>
      </c>
      <c r="AB317" t="inlineStr">
        <is>
          <t>부산 중구 중앙대로132번길 7, 301호 (중앙동4가,대림빌딩)</t>
        </is>
      </c>
    </row>
    <row r="318" ht="19.2" customHeight="1" s="1">
      <c r="A318" t="inlineStr">
        <is>
          <t>NICE:F38574</t>
        </is>
      </c>
      <c r="B318" t="inlineStr">
        <is>
          <t>대승엔지니어링</t>
        </is>
      </c>
      <c r="C318" s="5" t="n">
        <v>82695337000</v>
      </c>
      <c r="D318" s="5" t="n">
        <v>62929624000</v>
      </c>
      <c r="E318" s="5" t="n">
        <v>19765714000</v>
      </c>
      <c r="F318" s="5" t="n">
        <v>61659862000</v>
      </c>
      <c r="G318" s="5" t="n">
        <v>6365340000</v>
      </c>
      <c r="H318" s="5" t="n">
        <v>84005687000</v>
      </c>
      <c r="I318" s="5" t="n">
        <v>10058637000</v>
      </c>
      <c r="J318" s="4" t="n">
        <v>1.58299994468689</v>
      </c>
      <c r="K318" s="4" t="n">
        <v>3.183799982070923</v>
      </c>
      <c r="L318" s="4" t="n">
        <v>0.1031999960541725</v>
      </c>
      <c r="M318" t="inlineStr">
        <is>
          <t>채윤석</t>
        </is>
      </c>
      <c r="N318" t="inlineStr">
        <is>
          <t>063-236-4774</t>
        </is>
      </c>
      <c r="O318" t="inlineStr">
        <is>
          <t>063-236-4776</t>
        </is>
      </c>
      <c r="P318" s="3" t="n"/>
      <c r="Q318" t="inlineStr">
        <is>
          <t>4078118923</t>
        </is>
      </c>
      <c r="R318" t="inlineStr">
        <is>
          <t>2101110136468</t>
        </is>
      </c>
      <c r="S318" t="inlineStr">
        <is>
          <t>대상아님</t>
        </is>
      </c>
      <c r="T318" t="inlineStr">
        <is>
          <t>일반법인</t>
        </is>
      </c>
      <c r="U318" t="inlineStr">
        <is>
          <t>중소기업</t>
        </is>
      </c>
      <c r="V318" t="inlineStr">
        <is>
          <t>외부감사대상</t>
        </is>
      </c>
      <c r="W318" s="6" t="inlineStr">
        <is>
          <t>2009-04-09</t>
        </is>
      </c>
      <c r="X318" t="inlineStr">
        <is>
          <t>KRI:10C2511200</t>
        </is>
      </c>
      <c r="Y318" t="inlineStr">
        <is>
          <t>구조용 금속 판제품 및 공작물 제조업</t>
        </is>
      </c>
      <c r="Z318" t="inlineStr">
        <is>
          <t>상업용,산업용조립식구조물 제조/건설기계 대여/토목공사,건축공사/모듈러스쿨공사,조경공사,소방시설공사</t>
        </is>
      </c>
      <c r="AA318" t="inlineStr">
        <is>
          <t>경북 김천시 율곡동 1111번지 율곡테크노밸리 210호</t>
        </is>
      </c>
      <c r="AB318" t="inlineStr">
        <is>
          <t>경북 김천시 혁신8로 5, 210호 (율곡동,율곡테크노밸리)</t>
        </is>
      </c>
    </row>
    <row r="319" ht="19.2" customHeight="1" s="1">
      <c r="A319" t="inlineStr">
        <is>
          <t>NICE:J93642</t>
        </is>
      </c>
      <c r="B319" t="inlineStr">
        <is>
          <t>씨피에프엘씨리테일</t>
        </is>
      </c>
      <c r="C319" s="5" t="n">
        <v>51407718000</v>
      </c>
      <c r="D319" s="5" t="n">
        <v>14089062000</v>
      </c>
      <c r="E319" s="5" t="n">
        <v>37318656000</v>
      </c>
      <c r="F319" s="5" t="n">
        <v>28802952000</v>
      </c>
      <c r="G319" s="5" t="n">
        <v>4028392000</v>
      </c>
      <c r="H319" s="5" t="n">
        <v>28972000000</v>
      </c>
      <c r="I319" s="5" t="n">
        <v>2641118000</v>
      </c>
      <c r="J319" s="4" t="n">
        <v>2.671099901199341</v>
      </c>
      <c r="K319" s="4" t="n">
        <v>0.3774999976158142</v>
      </c>
      <c r="L319" s="4" t="n">
        <v>0.1398999989032745</v>
      </c>
      <c r="M319" t="inlineStr">
        <is>
          <t>김남일</t>
        </is>
      </c>
      <c r="N319" t="inlineStr">
        <is>
          <t>070-4248-4194</t>
        </is>
      </c>
      <c r="O319" t="inlineStr">
        <is>
          <t>02-2233-4194</t>
        </is>
      </c>
      <c r="P319" s="3">
        <f>HYPERLINK("http://www.pigment.co.kr", "http://www.pigment.co.kr")</f>
        <v/>
      </c>
      <c r="Q319" t="inlineStr">
        <is>
          <t>2098159688</t>
        </is>
      </c>
      <c r="R319" t="inlineStr">
        <is>
          <t>1101115222809</t>
        </is>
      </c>
      <c r="S319" t="inlineStr">
        <is>
          <t>대상아님</t>
        </is>
      </c>
      <c r="T319" t="inlineStr">
        <is>
          <t>일반법인</t>
        </is>
      </c>
      <c r="U319" t="inlineStr">
        <is>
          <t>중소기업</t>
        </is>
      </c>
      <c r="V319" t="inlineStr">
        <is>
          <t>외부감사대상</t>
        </is>
      </c>
      <c r="W319" s="6" t="inlineStr">
        <is>
          <t>2013-09-06</t>
        </is>
      </c>
      <c r="X319" t="inlineStr">
        <is>
          <t>KRI:10C1419100</t>
        </is>
      </c>
      <c r="Y319" t="inlineStr">
        <is>
          <t>셔츠 및 블라우스 제조업</t>
        </is>
      </c>
      <c r="Z319" t="inlineStr">
        <is>
          <t>의류,잡화 제조,도소매/실내인테리어공사/화장품 도소매,무역,전자상거래,통신 판매,프랜차이즈</t>
        </is>
      </c>
      <c r="AA319" t="inlineStr">
        <is>
          <t>경기 용인시 처인구 삼가동 208-13번지 3층</t>
        </is>
      </c>
      <c r="AB319" t="inlineStr">
        <is>
          <t>경기 용인시 처인구 중부대로 1087, 3층</t>
        </is>
      </c>
    </row>
    <row r="320" ht="19.2" customHeight="1" s="1">
      <c r="A320" t="inlineStr">
        <is>
          <t>NICE:675457</t>
        </is>
      </c>
      <c r="B320" t="inlineStr">
        <is>
          <t>대명이십일</t>
        </is>
      </c>
      <c r="C320" s="5" t="n">
        <v>79504852000</v>
      </c>
      <c r="D320" s="5" t="n">
        <v>35323345000</v>
      </c>
      <c r="E320" s="5" t="n">
        <v>44181507000</v>
      </c>
      <c r="F320" s="5" t="n">
        <v>76778660000</v>
      </c>
      <c r="G320" s="5" t="n">
        <v>8278597000</v>
      </c>
      <c r="H320" s="5" t="n">
        <v>92279207000</v>
      </c>
      <c r="I320" s="5" t="n">
        <v>2226694000</v>
      </c>
      <c r="J320" s="4" t="n">
        <v>2.088200092315674</v>
      </c>
      <c r="K320" s="4" t="n">
        <v>0.7994999289512634</v>
      </c>
      <c r="L320" s="4" t="n">
        <v>0.1077999919652939</v>
      </c>
      <c r="M320" t="inlineStr">
        <is>
          <t>김명회</t>
        </is>
      </c>
      <c r="N320" t="inlineStr">
        <is>
          <t>02-2608-7330</t>
        </is>
      </c>
      <c r="O320" t="inlineStr">
        <is>
          <t>02-2608-0339</t>
        </is>
      </c>
      <c r="P320" s="3">
        <f>HYPERLINK("http://www.daemyung21.com", "http://www.daemyung21.com")</f>
        <v/>
      </c>
      <c r="Q320" t="inlineStr">
        <is>
          <t>1178149576</t>
        </is>
      </c>
      <c r="R320" t="inlineStr">
        <is>
          <t>1101112970972</t>
        </is>
      </c>
      <c r="S320" t="inlineStr">
        <is>
          <t>대상아님</t>
        </is>
      </c>
      <c r="T320" t="inlineStr">
        <is>
          <t>일반법인</t>
        </is>
      </c>
      <c r="U320" t="inlineStr">
        <is>
          <t>중소기업</t>
        </is>
      </c>
      <c r="V320" t="inlineStr">
        <is>
          <t>외부감사대상</t>
        </is>
      </c>
      <c r="W320" s="6" t="inlineStr">
        <is>
          <t>2004-03-10</t>
        </is>
      </c>
      <c r="X320" t="inlineStr">
        <is>
          <t>KRI:10F4110000</t>
        </is>
      </c>
      <c r="Y320" t="inlineStr">
        <is>
          <t>건물 건설업</t>
        </is>
      </c>
      <c r="Z320" t="inlineStr">
        <is>
          <t>건축공사,주택신축판매,토목공사,산업환경설비공사,소방시설공사,전기공사/부동산 임대</t>
        </is>
      </c>
      <c r="AA320" t="inlineStr">
        <is>
          <t>서울 강서구 염창동 262번지 염창투웨니퍼스트 14층</t>
        </is>
      </c>
      <c r="AB320" t="inlineStr">
        <is>
          <t>서울 강서구 공항대로81길 35, 14층 (염창동,염창투웨니퍼스트)</t>
        </is>
      </c>
    </row>
    <row r="321" ht="19.2" customHeight="1" s="1">
      <c r="A321" t="inlineStr">
        <is>
          <t>NICE:J89011</t>
        </is>
      </c>
      <c r="B321" t="inlineStr">
        <is>
          <t>설빙</t>
        </is>
      </c>
      <c r="C321" s="5" t="n">
        <v>29120208000</v>
      </c>
      <c r="D321" s="5" t="n">
        <v>12669765000</v>
      </c>
      <c r="E321" s="5" t="n">
        <v>16450443000</v>
      </c>
      <c r="F321" s="5" t="n">
        <v>83366861000</v>
      </c>
      <c r="G321" s="5" t="n">
        <v>12187066000</v>
      </c>
      <c r="H321" s="5" t="n">
        <v>28099682000</v>
      </c>
      <c r="I321" s="5" t="n">
        <v>11134225000</v>
      </c>
      <c r="J321" s="4" t="n">
        <v>2.04259991645813</v>
      </c>
      <c r="K321" s="4" t="n">
        <v>0.7701999545097351</v>
      </c>
      <c r="L321" s="4" t="n">
        <v>0.1462000012397766</v>
      </c>
      <c r="M321" t="inlineStr">
        <is>
          <t>김의열</t>
        </is>
      </c>
      <c r="N321" t="inlineStr">
        <is>
          <t>02-3401-7900</t>
        </is>
      </c>
      <c r="O321" t="inlineStr">
        <is>
          <t>02-447-8755</t>
        </is>
      </c>
      <c r="P321" s="3">
        <f>HYPERLINK("http://www.sulbing.com", "http://www.sulbing.com")</f>
        <v/>
      </c>
      <c r="Q321" t="inlineStr">
        <is>
          <t>6028162460</t>
        </is>
      </c>
      <c r="R321" t="inlineStr">
        <is>
          <t>1801110874875</t>
        </is>
      </c>
      <c r="S321" t="inlineStr">
        <is>
          <t>대상아님</t>
        </is>
      </c>
      <c r="T321" t="inlineStr">
        <is>
          <t>일반법인</t>
        </is>
      </c>
      <c r="U321" t="inlineStr">
        <is>
          <t>중소기업</t>
        </is>
      </c>
      <c r="V321" t="inlineStr">
        <is>
          <t>외부감사대상</t>
        </is>
      </c>
      <c r="W321" s="6" t="inlineStr">
        <is>
          <t>2013-08-21</t>
        </is>
      </c>
      <c r="X321" t="inlineStr">
        <is>
          <t>KRI:10M7153100</t>
        </is>
      </c>
      <c r="Y321" t="inlineStr">
        <is>
          <t>경영 컨설팅업</t>
        </is>
      </c>
      <c r="Z321" t="inlineStr">
        <is>
          <t>프랜차이즈,경영컨설팅/인테리어/식자재,가공식품,식품기계장비,통신 도소매</t>
        </is>
      </c>
      <c r="AA321" t="inlineStr">
        <is>
          <t>서울 중구 남대문로5가 120번지 단암빌딩 5층</t>
        </is>
      </c>
      <c r="AB321" t="inlineStr">
        <is>
          <t>서울 중구 소월로 10, 5층 (남대문로5가,단암빌딩)</t>
        </is>
      </c>
    </row>
    <row r="322" ht="19.2" customHeight="1" s="1">
      <c r="A322" t="inlineStr">
        <is>
          <t>NICE:E10138</t>
        </is>
      </c>
      <c r="B322" t="inlineStr">
        <is>
          <t>대연</t>
        </is>
      </c>
      <c r="C322" s="5" t="n">
        <v>25134961000</v>
      </c>
      <c r="D322" s="5" t="n">
        <v>17789106000</v>
      </c>
      <c r="E322" s="5" t="n">
        <v>7345855000</v>
      </c>
      <c r="F322" s="5" t="n">
        <v>26849178000</v>
      </c>
      <c r="G322" s="5" t="n">
        <v>3499487000</v>
      </c>
      <c r="H322" s="5" t="n">
        <v>23935931000</v>
      </c>
      <c r="I322" s="5" t="n">
        <v>1581132000</v>
      </c>
      <c r="J322" s="4" t="n">
        <v>0.3349000215530396</v>
      </c>
      <c r="K322" s="4" t="n">
        <v>2.421700000762939</v>
      </c>
      <c r="L322" s="4" t="n">
        <v>0.1303000003099442</v>
      </c>
      <c r="M322" t="inlineStr">
        <is>
          <t>김대성</t>
        </is>
      </c>
      <c r="N322" t="inlineStr">
        <is>
          <t>031-495-3301</t>
        </is>
      </c>
      <c r="O322" t="inlineStr">
        <is>
          <t>031-495-3305</t>
        </is>
      </c>
      <c r="P322" s="3" t="n"/>
      <c r="Q322" t="inlineStr">
        <is>
          <t>1408126175</t>
        </is>
      </c>
      <c r="R322" t="inlineStr">
        <is>
          <t>1355110186178</t>
        </is>
      </c>
      <c r="S322" t="inlineStr">
        <is>
          <t>대상아님</t>
        </is>
      </c>
      <c r="T322" t="inlineStr">
        <is>
          <t>일반법인</t>
        </is>
      </c>
      <c r="U322" t="inlineStr">
        <is>
          <t>중소기업</t>
        </is>
      </c>
      <c r="V322" t="inlineStr">
        <is>
          <t>외부감사대상</t>
        </is>
      </c>
      <c r="W322" s="6" t="inlineStr">
        <is>
          <t>2007-11-29</t>
        </is>
      </c>
      <c r="X322" t="inlineStr">
        <is>
          <t>KRI:10C1340200</t>
        </is>
      </c>
      <c r="Y322" t="inlineStr">
        <is>
          <t>직물, 편조원단 및 의복류 염색 가공업</t>
        </is>
      </c>
      <c r="Z322" t="inlineStr">
        <is>
          <t>섬유 염색,제조,판매,가공</t>
        </is>
      </c>
      <c r="AA322" t="inlineStr">
        <is>
          <t>경기 안산시 단원구 초지동 624-4번지</t>
        </is>
      </c>
      <c r="AB322" t="inlineStr">
        <is>
          <t>경기 안산시 단원구 별망로 703</t>
        </is>
      </c>
    </row>
    <row r="323" ht="19.2" customHeight="1" s="1">
      <c r="A323" t="inlineStr">
        <is>
          <t>NICE:HD6999</t>
        </is>
      </c>
      <c r="B323" t="inlineStr">
        <is>
          <t>우주텍</t>
        </is>
      </c>
      <c r="C323" s="5" t="n">
        <v>65807473000</v>
      </c>
      <c r="D323" s="5" t="n">
        <v>28760414000</v>
      </c>
      <c r="E323" s="5" t="n">
        <v>37047058000</v>
      </c>
      <c r="F323" s="5" t="n">
        <v>147428481000</v>
      </c>
      <c r="G323" s="5" t="n">
        <v>31090936000</v>
      </c>
      <c r="H323" s="5" t="n">
        <v>73528986000</v>
      </c>
      <c r="I323" s="5" t="n">
        <v>12648145000</v>
      </c>
      <c r="J323" s="4" t="n">
        <v>2.345700025558472</v>
      </c>
      <c r="K323" s="4" t="n">
        <v>0.7762999534606934</v>
      </c>
      <c r="L323" s="4" t="n">
        <v>0.2108999937772751</v>
      </c>
      <c r="M323" t="inlineStr">
        <is>
          <t>허민수</t>
        </is>
      </c>
      <c r="N323" t="inlineStr">
        <is>
          <t>070-4355-1238</t>
        </is>
      </c>
      <c r="O323" t="inlineStr">
        <is>
          <t>031-654-3090</t>
        </is>
      </c>
      <c r="P323" s="3">
        <f>HYPERLINK("http://www.oozootech.com", "http://www.oozootech.com")</f>
        <v/>
      </c>
      <c r="Q323" t="inlineStr">
        <is>
          <t>7918800098</t>
        </is>
      </c>
      <c r="R323" t="inlineStr">
        <is>
          <t>1314110343146</t>
        </is>
      </c>
      <c r="S323" t="inlineStr">
        <is>
          <t>대상아님</t>
        </is>
      </c>
      <c r="T323" t="inlineStr">
        <is>
          <t>일반법인</t>
        </is>
      </c>
      <c r="U323" t="inlineStr">
        <is>
          <t>중소기업</t>
        </is>
      </c>
      <c r="V323" t="inlineStr">
        <is>
          <t>외부감사대상</t>
        </is>
      </c>
      <c r="W323" s="6" t="inlineStr">
        <is>
          <t>2015-05-21</t>
        </is>
      </c>
      <c r="X323" t="inlineStr">
        <is>
          <t>KRI:10C1521900</t>
        </is>
      </c>
      <c r="Y323" t="inlineStr">
        <is>
          <t>기타 신발 제조업</t>
        </is>
      </c>
      <c r="Z323" t="inlineStr">
        <is>
          <t>신발,편조원단 제조/연사,가공사편조원단,기계,장비,화장품,화장용품,비누,세정제,신발 도소매</t>
        </is>
      </c>
      <c r="AA323" t="inlineStr">
        <is>
          <t>경기 안산시 단원구 신길동 1229번지 10층 에프-1019호,에프-1020호,에프-1021호,에프-1022호,에프-1023호,에프-1024호,에프-1025호,에프-1</t>
        </is>
      </c>
      <c r="AB323" t="inlineStr">
        <is>
          <t>경기 안산시 단원구 산단로 325, 10층 에프-1019호,에프-1020호,에프-1021호,에프-1022호,에프-1023호,에프-1024호,에프-1025호,에프-1026</t>
        </is>
      </c>
    </row>
    <row r="324" ht="19.2" customHeight="1" s="1">
      <c r="A324" t="inlineStr">
        <is>
          <t>NICE:146156</t>
        </is>
      </c>
      <c r="B324" t="inlineStr">
        <is>
          <t>엘엠디지털</t>
        </is>
      </c>
      <c r="C324" s="5" t="n">
        <v>141331833000</v>
      </c>
      <c r="D324" s="5" t="n">
        <v>36952380000</v>
      </c>
      <c r="E324" s="5" t="n">
        <v>104379453000</v>
      </c>
      <c r="F324" s="5" t="n">
        <v>65742337000</v>
      </c>
      <c r="G324" s="5" t="n">
        <v>15417998000</v>
      </c>
      <c r="H324" s="5" t="n">
        <v>55697903000</v>
      </c>
      <c r="I324" s="5" t="n">
        <v>7381077000</v>
      </c>
      <c r="J324" s="4" t="n">
        <v>0.5809999704360962</v>
      </c>
      <c r="K324" s="4" t="n">
        <v>0.3540000021457672</v>
      </c>
      <c r="L324" s="4" t="n">
        <v>0.2345000058412552</v>
      </c>
      <c r="M324" t="inlineStr">
        <is>
          <t>유제욱/유철현</t>
        </is>
      </c>
      <c r="N324" t="inlineStr">
        <is>
          <t>031-456-6171</t>
        </is>
      </c>
      <c r="O324" t="inlineStr">
        <is>
          <t>031-456-6613</t>
        </is>
      </c>
      <c r="P324" s="3">
        <f>HYPERLINK("http://www.lmdigital.com", "http://www.lmdigital.com")</f>
        <v/>
      </c>
      <c r="Q324" t="inlineStr">
        <is>
          <t>1238125958</t>
        </is>
      </c>
      <c r="R324" t="inlineStr">
        <is>
          <t>1341110033857</t>
        </is>
      </c>
      <c r="S324" t="inlineStr">
        <is>
          <t>대상아님</t>
        </is>
      </c>
      <c r="T324" t="inlineStr">
        <is>
          <t>일반법인</t>
        </is>
      </c>
      <c r="U324" t="inlineStr">
        <is>
          <t>중소기업</t>
        </is>
      </c>
      <c r="V324" t="inlineStr">
        <is>
          <t>외부감사대상</t>
        </is>
      </c>
      <c r="W324" s="6" t="inlineStr">
        <is>
          <t>1991-07-01</t>
        </is>
      </c>
      <c r="X324" t="inlineStr">
        <is>
          <t>KRI:10M7291900</t>
        </is>
      </c>
      <c r="Y324" t="inlineStr">
        <is>
          <t>기타 기술 시험, 검사 및 분석업</t>
        </is>
      </c>
      <c r="Z324" t="inlineStr">
        <is>
          <t>기술 검사/전기,전자부품 제조/수출입</t>
        </is>
      </c>
      <c r="AA324" t="inlineStr">
        <is>
          <t>경기 안양시 동안구 호계동 908-1번지</t>
        </is>
      </c>
      <c r="AB324" t="inlineStr">
        <is>
          <t>경기 안양시 동안구 귀인로 39</t>
        </is>
      </c>
    </row>
    <row r="325" ht="19.2" customHeight="1" s="1">
      <c r="A325" t="inlineStr">
        <is>
          <t>NICE:028770</t>
        </is>
      </c>
      <c r="B325" t="inlineStr">
        <is>
          <t>한국다이요잉크</t>
        </is>
      </c>
      <c r="C325" s="5" t="n">
        <v>65983042000</v>
      </c>
      <c r="D325" s="5" t="n">
        <v>9864797000</v>
      </c>
      <c r="E325" s="5" t="n">
        <v>56118245000</v>
      </c>
      <c r="F325" s="5" t="n">
        <v>88548192000</v>
      </c>
      <c r="G325" s="5" t="n">
        <v>25350467000</v>
      </c>
      <c r="H325" s="5" t="n">
        <v>71102379000</v>
      </c>
      <c r="I325" s="5" t="n">
        <v>15971470000</v>
      </c>
      <c r="J325" s="4" t="n">
        <v>4.521899700164795</v>
      </c>
      <c r="K325" s="4" t="n">
        <v>0.1757999956607819</v>
      </c>
      <c r="L325" s="4" t="n">
        <v>0.2862999737262726</v>
      </c>
      <c r="M325" t="inlineStr">
        <is>
          <t>배형기/미네기시쇼지</t>
        </is>
      </c>
      <c r="N325" t="inlineStr">
        <is>
          <t>031-491-9250</t>
        </is>
      </c>
      <c r="O325" t="inlineStr">
        <is>
          <t>031-491-7671</t>
        </is>
      </c>
      <c r="P325" s="3">
        <f>HYPERLINK("http://www.taiyoink.co.kr", "http://www.taiyoink.co.kr")</f>
        <v/>
      </c>
      <c r="Q325" t="inlineStr">
        <is>
          <t>1348101558</t>
        </is>
      </c>
      <c r="R325" t="inlineStr">
        <is>
          <t>1350110029849</t>
        </is>
      </c>
      <c r="S325" t="inlineStr">
        <is>
          <t>대상아님</t>
        </is>
      </c>
      <c r="T325" t="inlineStr">
        <is>
          <t>일반법인</t>
        </is>
      </c>
      <c r="U325" t="inlineStr">
        <is>
          <t>중견기업</t>
        </is>
      </c>
      <c r="V325" t="inlineStr">
        <is>
          <t>외부감사대상</t>
        </is>
      </c>
      <c r="W325" s="6" t="inlineStr">
        <is>
          <t>1988-09-01</t>
        </is>
      </c>
      <c r="X325" t="inlineStr">
        <is>
          <t>KRI:10C2041300</t>
        </is>
      </c>
      <c r="Y325" t="inlineStr">
        <is>
          <t>인쇄잉크 및 회화용 물감 제조업</t>
        </is>
      </c>
      <c r="Z325" t="inlineStr">
        <is>
          <t>잉크(레지스트,액정패널용),관련제품,응용제품,플라즈마디스플레이페널 제조/태양광 발전/수출/일반,냉동,냉장 창고</t>
        </is>
      </c>
      <c r="AA325" t="inlineStr">
        <is>
          <t>경기 안산시 단원구 신길동 1058-8번지</t>
        </is>
      </c>
      <c r="AB325" t="inlineStr">
        <is>
          <t>경기 안산시 단원구 만해로 166</t>
        </is>
      </c>
    </row>
    <row r="326" ht="19.2" customHeight="1" s="1">
      <c r="A326" t="inlineStr">
        <is>
          <t>NICE:IO5208</t>
        </is>
      </c>
      <c r="B326" t="inlineStr">
        <is>
          <t>유에이치씨</t>
        </is>
      </c>
      <c r="C326" s="5" t="n">
        <v>62171775000</v>
      </c>
      <c r="D326" s="5" t="n">
        <v>55576795000</v>
      </c>
      <c r="E326" s="5" t="n">
        <v>6594980000</v>
      </c>
      <c r="F326" s="5" t="n">
        <v>76383591000</v>
      </c>
      <c r="G326" s="5" t="n">
        <v>7805164000</v>
      </c>
      <c r="H326" s="5" t="n">
        <v>36087532000</v>
      </c>
      <c r="I326" s="5" t="n">
        <v>2422864000</v>
      </c>
      <c r="J326" s="4" t="n">
        <v>0.3743999898433685</v>
      </c>
      <c r="K326" s="4" t="n">
        <v>8.42710018157959</v>
      </c>
      <c r="L326" s="4" t="n">
        <v>0.1022000014781952</v>
      </c>
      <c r="M326" t="inlineStr">
        <is>
          <t>박성재</t>
        </is>
      </c>
      <c r="N326" t="inlineStr">
        <is>
          <t>070-4943-0548</t>
        </is>
      </c>
      <c r="O326" t="inlineStr">
        <is>
          <t>02-566-0595</t>
        </is>
      </c>
      <c r="P326" s="3" t="n"/>
      <c r="Q326" t="inlineStr">
        <is>
          <t>1368600642</t>
        </is>
      </c>
      <c r="R326" t="inlineStr">
        <is>
          <t>1101116343547</t>
        </is>
      </c>
      <c r="S326" t="inlineStr">
        <is>
          <t>대상아님</t>
        </is>
      </c>
      <c r="T326" t="inlineStr">
        <is>
          <t>일반법인</t>
        </is>
      </c>
      <c r="U326" t="inlineStr">
        <is>
          <t>중소기업</t>
        </is>
      </c>
      <c r="V326" t="inlineStr">
        <is>
          <t>외부감사대상</t>
        </is>
      </c>
      <c r="W326" s="6" t="inlineStr">
        <is>
          <t>2017-03-13</t>
        </is>
      </c>
      <c r="X326" t="inlineStr">
        <is>
          <t>KRI:10M7153100</t>
        </is>
      </c>
      <c r="Y326" t="inlineStr">
        <is>
          <t>경영 컨설팅업</t>
        </is>
      </c>
      <c r="Z326" t="inlineStr">
        <is>
          <t>프랜차이즈/인테리어공사,컨설팅공사/화장품,방향제 도소매/부동산 임대,전대,관리,위탁운영,매매</t>
        </is>
      </c>
      <c r="AA326" t="inlineStr">
        <is>
          <t>서울 중구 충무로2가 62-6번지 국도빌딩</t>
        </is>
      </c>
      <c r="AB326" t="inlineStr">
        <is>
          <t>서울 중구 명동8가길 42-1 (충무로2가,국도빌딩)</t>
        </is>
      </c>
    </row>
    <row r="327" ht="19.2" customHeight="1" s="1">
      <c r="A327" t="inlineStr">
        <is>
          <t>NICE:213840</t>
        </is>
      </c>
      <c r="B327" t="inlineStr">
        <is>
          <t>수정산투자</t>
        </is>
      </c>
      <c r="C327" s="5" t="n">
        <v>28460417000</v>
      </c>
      <c r="D327" s="5" t="n">
        <v>2818262000</v>
      </c>
      <c r="E327" s="5" t="n">
        <v>25642155000</v>
      </c>
      <c r="F327" s="5" t="n">
        <v>28069019000</v>
      </c>
      <c r="G327" s="5" t="n">
        <v>16971467000</v>
      </c>
      <c r="H327" s="5" t="n">
        <v>27151599000</v>
      </c>
      <c r="I327" s="5" t="n">
        <v>16726693000</v>
      </c>
      <c r="J327" s="4" t="n">
        <v>7.308599472045898</v>
      </c>
      <c r="K327" s="4" t="n">
        <v>0.1098999977111816</v>
      </c>
      <c r="L327" s="4" t="n">
        <v>0.6045999526977539</v>
      </c>
      <c r="M327" t="inlineStr">
        <is>
          <t>김호윤</t>
        </is>
      </c>
      <c r="P327" s="3">
        <f>HYPERLINK("http://www.sicl-bs.com", "http://www.sicl-bs.com")</f>
        <v/>
      </c>
      <c r="Q327" t="inlineStr">
        <is>
          <t>6058145311</t>
        </is>
      </c>
      <c r="R327" t="inlineStr">
        <is>
          <t>1801110364371</t>
        </is>
      </c>
      <c r="S327" t="inlineStr">
        <is>
          <t>대상아님</t>
        </is>
      </c>
      <c r="T327" t="inlineStr">
        <is>
          <t>일반법인</t>
        </is>
      </c>
      <c r="U327" t="inlineStr">
        <is>
          <t>중견기업</t>
        </is>
      </c>
      <c r="V327" t="inlineStr">
        <is>
          <t>외부감사대상</t>
        </is>
      </c>
      <c r="W327" s="6" t="inlineStr">
        <is>
          <t>2001-06-04</t>
        </is>
      </c>
      <c r="X327" t="inlineStr">
        <is>
          <t>KRI:10N7410000</t>
        </is>
      </c>
      <c r="Y327" t="inlineStr">
        <is>
          <t>사업시설 유지ㆍ관리 서비스업</t>
        </is>
      </c>
      <c r="Z327" t="inlineStr">
        <is>
          <t>터널 운영관리</t>
        </is>
      </c>
    </row>
    <row r="328" ht="19.2" customHeight="1" s="1">
      <c r="A328" t="inlineStr">
        <is>
          <t>NICE:744964</t>
        </is>
      </c>
      <c r="B328" t="inlineStr">
        <is>
          <t>참손푸드</t>
        </is>
      </c>
      <c r="C328" s="5" t="n">
        <v>95023878000</v>
      </c>
      <c r="D328" s="5" t="n">
        <v>53705932000</v>
      </c>
      <c r="E328" s="5" t="n">
        <v>41317946000</v>
      </c>
      <c r="F328" s="5" t="n">
        <v>74813219000</v>
      </c>
      <c r="G328" s="5" t="n">
        <v>13083751000</v>
      </c>
      <c r="H328" s="5" t="n">
        <v>53154699000</v>
      </c>
      <c r="I328" s="5" t="n">
        <v>8132007000</v>
      </c>
      <c r="J328" s="4" t="n">
        <v>1.593200087547302</v>
      </c>
      <c r="K328" s="4" t="n">
        <v>1.299799919128418</v>
      </c>
      <c r="L328" s="4" t="n">
        <v>0.1748999953269958</v>
      </c>
      <c r="M328" t="inlineStr">
        <is>
          <t>윤재현</t>
        </is>
      </c>
      <c r="N328" t="inlineStr">
        <is>
          <t>051-250-7000</t>
        </is>
      </c>
      <c r="O328" t="inlineStr">
        <is>
          <t>051-250-7023</t>
        </is>
      </c>
      <c r="P328" s="3">
        <f>HYPERLINK("http://www.charmson.co.kr", "http://www.charmson.co.kr")</f>
        <v/>
      </c>
      <c r="Q328" t="inlineStr">
        <is>
          <t>6038111606</t>
        </is>
      </c>
      <c r="R328" t="inlineStr">
        <is>
          <t>1101110428634</t>
        </is>
      </c>
      <c r="S328" t="inlineStr">
        <is>
          <t>대상아님</t>
        </is>
      </c>
      <c r="T328" t="inlineStr">
        <is>
          <t>일반법인</t>
        </is>
      </c>
      <c r="U328" t="inlineStr">
        <is>
          <t>중소기업</t>
        </is>
      </c>
      <c r="V328" t="inlineStr">
        <is>
          <t>외부감사대상</t>
        </is>
      </c>
      <c r="W328" s="6" t="inlineStr">
        <is>
          <t>1986-06-03</t>
        </is>
      </c>
      <c r="X328" t="inlineStr">
        <is>
          <t>KRI:10C1021900</t>
        </is>
      </c>
      <c r="Y328" t="inlineStr">
        <is>
          <t>기타 수산동물 가공 및 저장 처리업</t>
        </is>
      </c>
      <c r="Z328" t="inlineStr">
        <is>
          <t>수산물 가공,제조,수출입/선박어업</t>
        </is>
      </c>
      <c r="AA328" t="inlineStr">
        <is>
          <t>부산 서구 암남동 739번지</t>
        </is>
      </c>
      <c r="AB328" t="inlineStr">
        <is>
          <t>부산 서구 원양로 171</t>
        </is>
      </c>
    </row>
    <row r="329" ht="19.2" customHeight="1" s="1">
      <c r="A329" t="inlineStr">
        <is>
          <t>NICE:BL5753</t>
        </is>
      </c>
      <c r="B329" t="inlineStr">
        <is>
          <t>동원정밀</t>
        </is>
      </c>
      <c r="C329" s="5" t="n">
        <v>42728471000</v>
      </c>
      <c r="D329" s="5" t="n">
        <v>30875163000</v>
      </c>
      <c r="E329" s="5" t="n">
        <v>11853308000</v>
      </c>
      <c r="F329" s="5" t="n">
        <v>24319224000</v>
      </c>
      <c r="G329" s="5" t="n">
        <v>3017643000</v>
      </c>
      <c r="H329" s="5" t="n">
        <v>20171673000</v>
      </c>
      <c r="I329" s="5" t="n">
        <v>1366258000</v>
      </c>
      <c r="J329" s="4" t="n">
        <v>1.349900007247925</v>
      </c>
      <c r="K329" s="4" t="n">
        <v>2.60479998588562</v>
      </c>
      <c r="L329" s="4" t="n">
        <v>0.1240999922156334</v>
      </c>
      <c r="M329" t="inlineStr">
        <is>
          <t>정태성</t>
        </is>
      </c>
      <c r="N329" t="inlineStr">
        <is>
          <t>055-265-4240</t>
        </is>
      </c>
      <c r="O329" t="inlineStr">
        <is>
          <t>055-265-4243</t>
        </is>
      </c>
      <c r="P329" s="3">
        <f>HYPERLINK("http://www.dongwon-dst.com", "http://www.dongwon-dst.com")</f>
        <v/>
      </c>
      <c r="Q329" t="inlineStr">
        <is>
          <t>6098623707</t>
        </is>
      </c>
      <c r="R329" t="inlineStr">
        <is>
          <t>1942110241597</t>
        </is>
      </c>
      <c r="S329" t="inlineStr">
        <is>
          <t>대상아님</t>
        </is>
      </c>
      <c r="T329" t="inlineStr">
        <is>
          <t>일반법인</t>
        </is>
      </c>
      <c r="U329" t="inlineStr">
        <is>
          <t>중소기업</t>
        </is>
      </c>
      <c r="V329" t="inlineStr">
        <is>
          <t>외부감사대상</t>
        </is>
      </c>
      <c r="W329" s="6" t="inlineStr">
        <is>
          <t>2009-10-30</t>
        </is>
      </c>
      <c r="X329" t="inlineStr">
        <is>
          <t>KRI:10C2929900</t>
        </is>
      </c>
      <c r="Y329" t="inlineStr">
        <is>
          <t>그 외 기타 특수목적용 기계 제조업</t>
        </is>
      </c>
      <c r="Z329" t="inlineStr">
        <is>
          <t>기계,금속가공제품,전자부품 제조,장비 조립/무역/부동산 임대(공장)</t>
        </is>
      </c>
      <c r="AA329" t="inlineStr">
        <is>
          <t>경남 창원시 의창구 팔용동 24-21번지</t>
        </is>
      </c>
      <c r="AB329" t="inlineStr">
        <is>
          <t>경남 창원시 의창구 반계로 29</t>
        </is>
      </c>
    </row>
    <row r="330" ht="19.2" customHeight="1" s="1">
      <c r="A330" t="inlineStr">
        <is>
          <t>NICE:389226</t>
        </is>
      </c>
      <c r="B330" t="inlineStr">
        <is>
          <t>세방산업</t>
        </is>
      </c>
      <c r="C330" s="5" t="n">
        <v>84095439000</v>
      </c>
      <c r="D330" s="5" t="n">
        <v>4724379000</v>
      </c>
      <c r="E330" s="5" t="n">
        <v>79371060000</v>
      </c>
      <c r="F330" s="5" t="n">
        <v>39984946000</v>
      </c>
      <c r="G330" s="5" t="n">
        <v>4748195000</v>
      </c>
      <c r="H330" s="5" t="n">
        <v>38854321000</v>
      </c>
      <c r="I330" s="5" t="n">
        <v>4808620000</v>
      </c>
      <c r="J330" s="4" t="n">
        <v>7.889899730682373</v>
      </c>
      <c r="K330" s="4" t="n">
        <v>0.05949999764561653</v>
      </c>
      <c r="L330" s="4" t="n">
        <v>0.1186999976634979</v>
      </c>
      <c r="M330" t="inlineStr">
        <is>
          <t>제갈광복</t>
        </is>
      </c>
      <c r="N330" t="inlineStr">
        <is>
          <t>062-951-4271</t>
        </is>
      </c>
      <c r="O330" t="inlineStr">
        <is>
          <t>062-956-1136</t>
        </is>
      </c>
      <c r="P330" s="3">
        <f>HYPERLINK("http://www.sebangind.com", "http://www.sebangind.com")</f>
        <v/>
      </c>
      <c r="Q330" t="inlineStr">
        <is>
          <t>1388103349</t>
        </is>
      </c>
      <c r="R330" t="inlineStr">
        <is>
          <t>1341110002612</t>
        </is>
      </c>
      <c r="S330" t="inlineStr">
        <is>
          <t>대상아님</t>
        </is>
      </c>
      <c r="T330" t="inlineStr">
        <is>
          <t>일반법인</t>
        </is>
      </c>
      <c r="U330" t="inlineStr">
        <is>
          <t>중견기업</t>
        </is>
      </c>
      <c r="V330" t="inlineStr">
        <is>
          <t>외부감사대상</t>
        </is>
      </c>
      <c r="W330" s="6" t="inlineStr">
        <is>
          <t>1972-11-24</t>
        </is>
      </c>
      <c r="X330" t="inlineStr">
        <is>
          <t>KRI:10C2820200</t>
        </is>
      </c>
      <c r="Y330" t="inlineStr">
        <is>
          <t>축전지 제조업</t>
        </is>
      </c>
      <c r="Z330" t="inlineStr">
        <is>
          <t>축전지부품(격리판),반환기기,금형,사출품 제조/부동산 임대</t>
        </is>
      </c>
      <c r="AA330" t="inlineStr">
        <is>
          <t>광주 광산구 하남동 505-1번지</t>
        </is>
      </c>
      <c r="AB330" t="inlineStr">
        <is>
          <t>광주 광산구 손재로 236</t>
        </is>
      </c>
    </row>
    <row r="331" s="1">
      <c r="A331" t="inlineStr">
        <is>
          <t>NICE:540439</t>
        </is>
      </c>
      <c r="B331" t="inlineStr">
        <is>
          <t>케이티지</t>
        </is>
      </c>
      <c r="C331" s="5" t="n">
        <v>135750909000</v>
      </c>
      <c r="D331" s="5" t="n">
        <v>61743535000</v>
      </c>
      <c r="E331" s="5" t="n">
        <v>74007374000</v>
      </c>
      <c r="F331" s="5" t="n">
        <v>77797152000</v>
      </c>
      <c r="G331" s="5" t="n">
        <v>17193953000</v>
      </c>
      <c r="H331" s="5" t="n">
        <v>65572728000</v>
      </c>
      <c r="I331" s="5" t="n">
        <v>13114951000</v>
      </c>
      <c r="J331" s="4" t="n">
        <v>1.10319995880127</v>
      </c>
      <c r="K331" s="4" t="n">
        <v>0.8342999815940857</v>
      </c>
      <c r="L331" s="4" t="n">
        <v>0.221000000834465</v>
      </c>
      <c r="M331" t="inlineStr">
        <is>
          <t>장진호</t>
        </is>
      </c>
      <c r="N331" t="inlineStr">
        <is>
          <t>051-634-0111</t>
        </is>
      </c>
      <c r="O331" t="inlineStr">
        <is>
          <t>051-634-0211</t>
        </is>
      </c>
      <c r="P331">
        <f>HYPERLINK("http://www.ktgglass.co.kr", "http://www.ktgglass.co.kr")</f>
        <v/>
      </c>
      <c r="Q331" t="inlineStr">
        <is>
          <t>5108106024</t>
        </is>
      </c>
      <c r="R331" t="inlineStr">
        <is>
          <t>1751110002506</t>
        </is>
      </c>
      <c r="S331" t="inlineStr">
        <is>
          <t>대상아님</t>
        </is>
      </c>
      <c r="T331" t="inlineStr">
        <is>
          <t>일반법인</t>
        </is>
      </c>
      <c r="U331" t="inlineStr">
        <is>
          <t>중소기업</t>
        </is>
      </c>
      <c r="V331" t="inlineStr">
        <is>
          <t>외부감사대상</t>
        </is>
      </c>
      <c r="W331" s="6" t="inlineStr">
        <is>
          <t>1996-08-13</t>
        </is>
      </c>
      <c r="X331" t="inlineStr">
        <is>
          <t>KRI:10C2621100</t>
        </is>
      </c>
      <c r="Y331" t="inlineStr">
        <is>
          <t>액정 표시장치 제조업</t>
        </is>
      </c>
      <c r="Z331" t="inlineStr">
        <is>
          <t>전자부품(디스플레이장치용),영상,음향,통신장비 제조/무역/부동산 임대</t>
        </is>
      </c>
      <c r="AA331" t="inlineStr">
        <is>
          <t>부산 부산진구 범천동 860-1번지</t>
        </is>
      </c>
      <c r="AB331" t="inlineStr">
        <is>
          <t>부산 부산진구 황령대로17번길 30</t>
        </is>
      </c>
    </row>
    <row r="332" ht="19.2" customHeight="1" s="1">
      <c r="A332" t="inlineStr">
        <is>
          <t>NICE:221519</t>
        </is>
      </c>
      <c r="B332" t="inlineStr">
        <is>
          <t>에이치더블유아이</t>
        </is>
      </c>
      <c r="C332" s="5" t="n">
        <v>38951064000</v>
      </c>
      <c r="D332" s="5" t="n">
        <v>7599285000</v>
      </c>
      <c r="E332" s="5" t="n">
        <v>31351779000</v>
      </c>
      <c r="F332" s="5" t="n">
        <v>35590286000</v>
      </c>
      <c r="G332" s="5" t="n">
        <v>4820742000</v>
      </c>
      <c r="H332" s="5" t="n">
        <v>30066483000</v>
      </c>
      <c r="I332" s="5" t="n">
        <v>3436719000</v>
      </c>
      <c r="J332" s="4" t="n">
        <v>3.190999984741211</v>
      </c>
      <c r="K332" s="4" t="n">
        <v>0.2423999905586243</v>
      </c>
      <c r="L332" s="4" t="n">
        <v>0.1354999989271164</v>
      </c>
      <c r="M332" t="inlineStr">
        <is>
          <t>미합중국인 안광호</t>
        </is>
      </c>
      <c r="N332" t="inlineStr">
        <is>
          <t>043-851-0184</t>
        </is>
      </c>
      <c r="O332" t="inlineStr">
        <is>
          <t>043-851-5288</t>
        </is>
      </c>
      <c r="P332" s="3">
        <f>HYPERLINK("http://www.hwic.co.kr", "http://www.hwic.co.kr")</f>
        <v/>
      </c>
      <c r="Q332" t="inlineStr">
        <is>
          <t>1048178774</t>
        </is>
      </c>
      <c r="R332" t="inlineStr">
        <is>
          <t>1101112687436</t>
        </is>
      </c>
      <c r="S332" t="inlineStr">
        <is>
          <t>대상아님</t>
        </is>
      </c>
      <c r="T332" t="inlineStr">
        <is>
          <t>일반법인</t>
        </is>
      </c>
      <c r="U332" t="inlineStr">
        <is>
          <t>중소기업</t>
        </is>
      </c>
      <c r="V332" t="inlineStr">
        <is>
          <t>외부감사대상</t>
        </is>
      </c>
      <c r="W332" s="6" t="inlineStr">
        <is>
          <t>2003-01-07</t>
        </is>
      </c>
      <c r="X332" t="inlineStr">
        <is>
          <t>KRI:10C2223100</t>
        </is>
      </c>
      <c r="Y332" t="inlineStr">
        <is>
          <t>플라스틱 포대, 봉투 및 유사제품 제조업</t>
        </is>
      </c>
      <c r="Z332" t="inlineStr">
        <is>
          <t>합성수지포대,RC조립 제조/합성수지,생활용품,의류,악세사리 도매/무역</t>
        </is>
      </c>
      <c r="AA332" t="inlineStr">
        <is>
          <t>충북 충주시 동량면 조동리 1690-1번지</t>
        </is>
      </c>
      <c r="AB332" t="inlineStr">
        <is>
          <t>충북 충주시 동량면 지등로 291</t>
        </is>
      </c>
    </row>
    <row r="333" s="1">
      <c r="A333" t="inlineStr">
        <is>
          <t>NICE:425438</t>
        </is>
      </c>
      <c r="B333" t="inlineStr">
        <is>
          <t>도요보코리아</t>
        </is>
      </c>
      <c r="C333" s="5" t="n">
        <v>30182577000</v>
      </c>
      <c r="D333" s="5" t="n">
        <v>16676635000</v>
      </c>
      <c r="E333" s="5" t="n">
        <v>13505942000</v>
      </c>
      <c r="F333" s="5" t="n">
        <v>61105337000</v>
      </c>
      <c r="G333" s="5" t="n">
        <v>6153132000</v>
      </c>
      <c r="H333" s="5" t="n">
        <v>41965539000</v>
      </c>
      <c r="I333" s="5" t="n">
        <v>5355244000</v>
      </c>
      <c r="J333" s="4" t="n">
        <v>1.801599979400635</v>
      </c>
      <c r="K333" s="4" t="n">
        <v>1.234799981117249</v>
      </c>
      <c r="L333" s="4" t="n">
        <v>0.1006999909877777</v>
      </c>
      <c r="M333" t="inlineStr">
        <is>
          <t>무코야마유키노부</t>
        </is>
      </c>
      <c r="N333" t="inlineStr">
        <is>
          <t>02-555-6353</t>
        </is>
      </c>
      <c r="O333" t="inlineStr">
        <is>
          <t>02-555-6370</t>
        </is>
      </c>
      <c r="P333">
        <f>HYPERLINK("http://www.toyobo.co.kr", "http://www.toyobo.co.kr")</f>
        <v/>
      </c>
      <c r="Q333" t="inlineStr">
        <is>
          <t>1208630632</t>
        </is>
      </c>
      <c r="R333" t="inlineStr">
        <is>
          <t>1101112399049</t>
        </is>
      </c>
      <c r="S333" t="inlineStr">
        <is>
          <t>대상아님</t>
        </is>
      </c>
      <c r="T333" t="inlineStr">
        <is>
          <t>일반법인</t>
        </is>
      </c>
      <c r="U333" t="inlineStr">
        <is>
          <t>중소기업</t>
        </is>
      </c>
      <c r="V333" t="inlineStr">
        <is>
          <t>외부감사대상</t>
        </is>
      </c>
      <c r="W333" s="6" t="inlineStr">
        <is>
          <t>2001-12-17</t>
        </is>
      </c>
      <c r="X333" t="inlineStr">
        <is>
          <t>KRI:10G4673300</t>
        </is>
      </c>
      <c r="Y333" t="inlineStr">
        <is>
          <t>플라스틱물질 및 합성고무 도매업</t>
        </is>
      </c>
      <c r="Z333" t="inlineStr">
        <is>
          <t>합성수지,화학공업품,섬유원재료,가공품 도매,무역/합성수지,화학공업품 제조</t>
        </is>
      </c>
      <c r="AA333" t="inlineStr">
        <is>
          <t>서울 강남구 삼성동 159-1번지 트레이드타워 10층 1002호</t>
        </is>
      </c>
      <c r="AB333" t="inlineStr">
        <is>
          <t>서울 강남구 영동대로 511, 10층 1002호 (삼성동,트레이드타워)</t>
        </is>
      </c>
    </row>
    <row r="334" s="1">
      <c r="A334" t="inlineStr">
        <is>
          <t>NICE:389119</t>
        </is>
      </c>
      <c r="B334" t="inlineStr">
        <is>
          <t>케이엘리더스</t>
        </is>
      </c>
      <c r="C334" s="5" t="n">
        <v>287732580000</v>
      </c>
      <c r="D334" s="5" t="n">
        <v>169633779000</v>
      </c>
      <c r="E334" s="5" t="n">
        <v>118098801000</v>
      </c>
      <c r="F334" s="5" t="n">
        <v>22783577000</v>
      </c>
      <c r="G334" s="5" t="n">
        <v>8501296000</v>
      </c>
      <c r="H334" s="5" t="n">
        <v>23578825000</v>
      </c>
      <c r="I334" s="5" t="n">
        <v>9900544000</v>
      </c>
      <c r="J334" s="4" t="n">
        <v>0.01319999992847443</v>
      </c>
      <c r="K334" s="4" t="n">
        <v>1.436399936676025</v>
      </c>
      <c r="L334" s="4" t="n">
        <v>0.3731000125408173</v>
      </c>
      <c r="M334" t="inlineStr">
        <is>
          <t>김현상/석은경</t>
        </is>
      </c>
      <c r="N334" t="inlineStr">
        <is>
          <t>055-350-3000</t>
        </is>
      </c>
      <c r="O334" t="inlineStr">
        <is>
          <t>055-355-7916</t>
        </is>
      </c>
      <c r="P334">
        <f>HYPERLINK("http://www.leaderscc.co.kr", "http://www.leaderscc.co.kr")</f>
        <v/>
      </c>
      <c r="Q334" t="inlineStr">
        <is>
          <t>6158138059</t>
        </is>
      </c>
      <c r="R334" t="inlineStr">
        <is>
          <t>1913110010290</t>
        </is>
      </c>
      <c r="S334" t="inlineStr">
        <is>
          <t>대상아님</t>
        </is>
      </c>
      <c r="T334" t="inlineStr">
        <is>
          <t>일반법인</t>
        </is>
      </c>
      <c r="U334" t="inlineStr">
        <is>
          <t>중소기업</t>
        </is>
      </c>
      <c r="V334" t="inlineStr">
        <is>
          <t>외부감사대상</t>
        </is>
      </c>
      <c r="W334" s="6" t="inlineStr">
        <is>
          <t>2004-05-25</t>
        </is>
      </c>
      <c r="X334" t="inlineStr">
        <is>
          <t>KRI:10R9112100</t>
        </is>
      </c>
      <c r="Y334" t="inlineStr">
        <is>
          <t>골프장 운영업</t>
        </is>
      </c>
      <c r="Z334" t="inlineStr">
        <is>
          <t>골프장 운영</t>
        </is>
      </c>
      <c r="AA334" t="inlineStr">
        <is>
          <t>경남 밀양시 활성동 22번지</t>
        </is>
      </c>
      <c r="AB334" t="inlineStr">
        <is>
          <t>경남 밀양시 활성로 455</t>
        </is>
      </c>
    </row>
    <row r="335" ht="19.2" customHeight="1" s="1">
      <c r="A335" t="inlineStr">
        <is>
          <t>NICE:145076</t>
        </is>
      </c>
      <c r="B335" t="inlineStr">
        <is>
          <t>서울향료</t>
        </is>
      </c>
      <c r="C335" s="5" t="n">
        <v>105872374000</v>
      </c>
      <c r="D335" s="5" t="n">
        <v>34126472000</v>
      </c>
      <c r="E335" s="5" t="n">
        <v>71745902000</v>
      </c>
      <c r="F335" s="5" t="n">
        <v>93959750000</v>
      </c>
      <c r="G335" s="5" t="n">
        <v>20109156000</v>
      </c>
      <c r="H335" s="5" t="n">
        <v>87843947000</v>
      </c>
      <c r="I335" s="5" t="n">
        <v>20034542000</v>
      </c>
      <c r="J335" s="4" t="n">
        <v>1.476699948310852</v>
      </c>
      <c r="K335" s="4" t="n">
        <v>0.4756999909877777</v>
      </c>
      <c r="L335" s="4" t="n">
        <v>0.2139999866485596</v>
      </c>
      <c r="M335" t="inlineStr">
        <is>
          <t>조병해/조성용</t>
        </is>
      </c>
      <c r="N335" t="inlineStr">
        <is>
          <t>02-517-4050</t>
        </is>
      </c>
      <c r="O335" t="inlineStr">
        <is>
          <t>02-515-6550</t>
        </is>
      </c>
      <c r="P335" s="3">
        <f>HYPERLINK("http://www.seoulfnf.com", "http://www.seoulfnf.com")</f>
        <v/>
      </c>
      <c r="Q335" t="inlineStr">
        <is>
          <t>1148149223</t>
        </is>
      </c>
      <c r="R335" t="inlineStr">
        <is>
          <t>1101110158851</t>
        </is>
      </c>
      <c r="S335" t="inlineStr">
        <is>
          <t>대상아님</t>
        </is>
      </c>
      <c r="T335" t="inlineStr">
        <is>
          <t>일반법인</t>
        </is>
      </c>
      <c r="U335" t="inlineStr">
        <is>
          <t>중견기업</t>
        </is>
      </c>
      <c r="V335" t="inlineStr">
        <is>
          <t>외부감사대상</t>
        </is>
      </c>
      <c r="W335" s="6" t="inlineStr">
        <is>
          <t>1974-01-21</t>
        </is>
      </c>
      <c r="X335" t="inlineStr">
        <is>
          <t>KRI:10C1074900</t>
        </is>
      </c>
      <c r="Y335" t="inlineStr">
        <is>
          <t>기타 식품 첨가물 제조업</t>
        </is>
      </c>
      <c r="Z335" t="inlineStr">
        <is>
          <t>향료(스위트플레이버,세이버리플레이버) 제조,도매/부동산 임대</t>
        </is>
      </c>
      <c r="AA335" t="inlineStr">
        <is>
          <t>서울 서초구 반포동 701-7번지</t>
        </is>
      </c>
      <c r="AB335" t="inlineStr">
        <is>
          <t>서울 서초구 신반포로 306</t>
        </is>
      </c>
    </row>
    <row r="336" s="1">
      <c r="A336" t="inlineStr">
        <is>
          <t>NICE:679854</t>
        </is>
      </c>
      <c r="B336" t="inlineStr">
        <is>
          <t>한국오모리기계</t>
        </is>
      </c>
      <c r="C336" s="5" t="n">
        <v>11108077000</v>
      </c>
      <c r="D336" s="5" t="n">
        <v>6897375000</v>
      </c>
      <c r="E336" s="5" t="n">
        <v>4210703000</v>
      </c>
      <c r="F336" s="5" t="n">
        <v>20794170000</v>
      </c>
      <c r="G336" s="5" t="n">
        <v>3948495000</v>
      </c>
      <c r="H336" s="5" t="n">
        <v>25862798000</v>
      </c>
      <c r="I336" s="5" t="n">
        <v>2963443000</v>
      </c>
      <c r="J336" s="4" t="n">
        <v>1.646499872207642</v>
      </c>
      <c r="K336" s="4" t="n">
        <v>1.638099908828735</v>
      </c>
      <c r="L336" s="4" t="n">
        <v>0.1898999959230423</v>
      </c>
      <c r="M336" t="inlineStr">
        <is>
          <t>이병희</t>
        </is>
      </c>
      <c r="N336" t="inlineStr">
        <is>
          <t>02-6942-9710-2</t>
        </is>
      </c>
      <c r="O336" t="inlineStr">
        <is>
          <t>02-6942-9713</t>
        </is>
      </c>
      <c r="P336">
        <f>HYPERLINK("http://www.omorikorea.co.kr", "http://www.omorikorea.co.kr")</f>
        <v/>
      </c>
      <c r="Q336" t="inlineStr">
        <is>
          <t>1198198127</t>
        </is>
      </c>
      <c r="R336" t="inlineStr">
        <is>
          <t>1101113664318</t>
        </is>
      </c>
      <c r="S336" t="inlineStr">
        <is>
          <t>대상아님</t>
        </is>
      </c>
      <c r="T336" t="inlineStr">
        <is>
          <t>일반법인</t>
        </is>
      </c>
      <c r="U336" t="inlineStr">
        <is>
          <t>중소기업</t>
        </is>
      </c>
      <c r="V336" t="inlineStr">
        <is>
          <t>외부감사비대상</t>
        </is>
      </c>
      <c r="W336" s="6" t="inlineStr">
        <is>
          <t>2007-04-20</t>
        </is>
      </c>
      <c r="X336" t="inlineStr">
        <is>
          <t>KRI:10C2917100</t>
        </is>
      </c>
      <c r="Y336" t="inlineStr">
        <is>
          <t>산업용 냉장 및 냉동 장비 제조업</t>
        </is>
      </c>
      <c r="Z336" t="inlineStr">
        <is>
          <t>식품포장기계및산업기계제작,금속검출기및콘베어제작,식품관련제조기제작,사업관련기계판매,사업관련제품수출입</t>
        </is>
      </c>
      <c r="AA336" t="inlineStr">
        <is>
          <t>서울 구로구 구로동 170-10번지 대륭포스트타워7차 401호 ,402호</t>
        </is>
      </c>
      <c r="AB336" t="inlineStr">
        <is>
          <t>서울 구로구 디지털로33길 48, 401호,402호 (구로동,대륭포스트타워7차)</t>
        </is>
      </c>
    </row>
    <row r="337" ht="19.2" customHeight="1" s="1">
      <c r="A337" t="inlineStr">
        <is>
          <t>NICE:PA0164</t>
        </is>
      </c>
      <c r="B337" t="inlineStr">
        <is>
          <t>웜클라우드</t>
        </is>
      </c>
      <c r="C337" s="5" t="n">
        <v>9319932000</v>
      </c>
      <c r="D337" s="5" t="n">
        <v>1879689000</v>
      </c>
      <c r="E337" s="5" t="n">
        <v>7440243000</v>
      </c>
      <c r="F337" s="5" t="n">
        <v>22342390000</v>
      </c>
      <c r="G337" s="5" t="n">
        <v>2829093000</v>
      </c>
      <c r="H337" s="5" t="n">
        <v>17698960000</v>
      </c>
      <c r="I337" s="5" t="n">
        <v>3075283000</v>
      </c>
      <c r="J337" s="4" t="n">
        <v>3.252599954605103</v>
      </c>
      <c r="K337" s="4" t="n">
        <v>0.2525999844074249</v>
      </c>
      <c r="L337" s="4" t="n">
        <v>0.1265999972820282</v>
      </c>
      <c r="M337" t="inlineStr">
        <is>
          <t>김대훈</t>
        </is>
      </c>
      <c r="P337" s="3" t="n"/>
      <c r="Q337" t="inlineStr">
        <is>
          <t>5758802325</t>
        </is>
      </c>
      <c r="R337" t="inlineStr">
        <is>
          <t>1342110264624</t>
        </is>
      </c>
      <c r="S337" t="inlineStr">
        <is>
          <t>대상아님</t>
        </is>
      </c>
      <c r="T337" t="inlineStr">
        <is>
          <t>일반법인</t>
        </is>
      </c>
      <c r="U337" t="inlineStr">
        <is>
          <t>중소기업</t>
        </is>
      </c>
      <c r="V337" t="inlineStr">
        <is>
          <t>외부감사비대상</t>
        </is>
      </c>
      <c r="W337" s="6" t="inlineStr">
        <is>
          <t>2022-04-12</t>
        </is>
      </c>
      <c r="X337" t="inlineStr">
        <is>
          <t>KRI:10C1079100</t>
        </is>
      </c>
      <c r="Y337" t="inlineStr">
        <is>
          <t>커피 가공업</t>
        </is>
      </c>
      <c r="Z337" t="inlineStr">
        <is>
          <t>커피 가공업,커피 및 차류 도매업,기타 식료품 소매업</t>
        </is>
      </c>
      <c r="AA337" t="inlineStr">
        <is>
          <t>경기 광주시 초월읍 무갑리 617-3번지 16</t>
        </is>
      </c>
      <c r="AB337" t="inlineStr">
        <is>
          <t>경기 광주시 초월읍 무갑길 12, 16</t>
        </is>
      </c>
    </row>
    <row r="338" ht="19.2" customHeight="1" s="1">
      <c r="A338" t="inlineStr">
        <is>
          <t>NICE:IZ5015</t>
        </is>
      </c>
      <c r="B338" t="inlineStr">
        <is>
          <t>영산인터네셔널</t>
        </is>
      </c>
      <c r="C338" s="5" t="n">
        <v>11199777000</v>
      </c>
      <c r="D338" s="5" t="n">
        <v>3207831000</v>
      </c>
      <c r="E338" s="5" t="n">
        <v>7991946000</v>
      </c>
      <c r="F338" s="5" t="n">
        <v>26768933000</v>
      </c>
      <c r="G338" s="5" t="n">
        <v>3425703000</v>
      </c>
      <c r="H338" s="5" t="n">
        <v>17813761000</v>
      </c>
      <c r="I338" s="5" t="n">
        <v>1004189000</v>
      </c>
      <c r="J338" s="4" t="n">
        <v>12.13079929351807</v>
      </c>
      <c r="K338" s="4" t="n">
        <v>0.4013999700546265</v>
      </c>
      <c r="L338" s="4" t="n">
        <v>0.1280000060796738</v>
      </c>
      <c r="M338" t="inlineStr">
        <is>
          <t>이승영</t>
        </is>
      </c>
      <c r="P338" s="3" t="n"/>
      <c r="Q338" t="inlineStr">
        <is>
          <t>5348800893</t>
        </is>
      </c>
      <c r="R338" t="inlineStr">
        <is>
          <t>1101116661444</t>
        </is>
      </c>
      <c r="S338" t="inlineStr">
        <is>
          <t>대상아님</t>
        </is>
      </c>
      <c r="T338" t="inlineStr">
        <is>
          <t>일반법인</t>
        </is>
      </c>
      <c r="U338" t="inlineStr">
        <is>
          <t>중소기업</t>
        </is>
      </c>
      <c r="V338" t="inlineStr">
        <is>
          <t>외부감사비대상</t>
        </is>
      </c>
      <c r="W338" s="6" t="inlineStr">
        <is>
          <t>2018-02-14</t>
        </is>
      </c>
      <c r="X338" t="inlineStr">
        <is>
          <t>KRI:10G4646400</t>
        </is>
      </c>
      <c r="Y338" t="inlineStr">
        <is>
          <t>운동 및 경기용품 도매업</t>
        </is>
      </c>
      <c r="Z338" t="inlineStr">
        <is>
          <t>스포츠용품,스포츠의류,스포츠용품,전자상거래업,체력 단련시설 운영업</t>
        </is>
      </c>
      <c r="AA338" t="inlineStr">
        <is>
          <t>서울 강서구 가양동 449-21번지 한화비즈메트로2차 203호 , 204호</t>
        </is>
      </c>
      <c r="AB338" t="inlineStr">
        <is>
          <t>서울 강서구 양천로 551-24, 203호, 204호 (가양동,한화비즈메트로2차)</t>
        </is>
      </c>
    </row>
    <row r="339" ht="19.2" customHeight="1" s="1">
      <c r="A339" t="inlineStr">
        <is>
          <t>NICE:ME2425</t>
        </is>
      </c>
      <c r="B339" t="inlineStr">
        <is>
          <t>라온어스</t>
        </is>
      </c>
      <c r="C339" s="5" t="n">
        <v>7823878000</v>
      </c>
      <c r="D339" s="5" t="n">
        <v>2198965000</v>
      </c>
      <c r="E339" s="5" t="n">
        <v>5624913000</v>
      </c>
      <c r="F339" s="5" t="n">
        <v>20935922000</v>
      </c>
      <c r="G339" s="5" t="n">
        <v>2774609000</v>
      </c>
      <c r="H339" s="5" t="n">
        <v>16811783000</v>
      </c>
      <c r="I339" s="5" t="n">
        <v>2124959000</v>
      </c>
      <c r="J339" s="4" t="n">
        <v>3.403500080108643</v>
      </c>
      <c r="K339" s="4" t="n">
        <v>0.3908999860286713</v>
      </c>
      <c r="L339" s="4" t="n">
        <v>0.1324999928474426</v>
      </c>
      <c r="M339" t="inlineStr">
        <is>
          <t>김주용</t>
        </is>
      </c>
      <c r="N339" t="inlineStr">
        <is>
          <t>02-6010-1999</t>
        </is>
      </c>
      <c r="P339" s="3" t="n"/>
      <c r="Q339" t="inlineStr">
        <is>
          <t>2378102201</t>
        </is>
      </c>
      <c r="R339" t="inlineStr">
        <is>
          <t>1101117787463</t>
        </is>
      </c>
      <c r="S339" t="inlineStr">
        <is>
          <t>대상아님</t>
        </is>
      </c>
      <c r="T339" t="inlineStr">
        <is>
          <t>일반법인</t>
        </is>
      </c>
      <c r="U339" t="inlineStr">
        <is>
          <t>중소기업</t>
        </is>
      </c>
      <c r="V339" t="inlineStr">
        <is>
          <t>외부감사비대상</t>
        </is>
      </c>
      <c r="W339" s="6" t="inlineStr">
        <is>
          <t>2021-02-17</t>
        </is>
      </c>
      <c r="X339" t="inlineStr">
        <is>
          <t>KRI:10G4651000</t>
        </is>
      </c>
      <c r="Y339" t="inlineStr">
        <is>
          <t>컴퓨터 및 주변장치, 소프트웨어 도매업</t>
        </is>
      </c>
      <c r="Z339" t="inlineStr">
        <is>
          <t>컴퓨터,주변기기 도소매/부동산임대/컴퓨터시스템 통합자문,구축,소프트웨어 유지보수,개발,공급</t>
        </is>
      </c>
      <c r="AA339" t="inlineStr">
        <is>
          <t>서울 마포구 대흥동 169-1번지 201호 301호</t>
        </is>
      </c>
      <c r="AB339" t="inlineStr">
        <is>
          <t>서울 마포구 백범로15길 11-6, 201호 301호</t>
        </is>
      </c>
    </row>
    <row r="340" ht="19.2" customHeight="1" s="1">
      <c r="A340" t="inlineStr">
        <is>
          <t>NICE:I81743</t>
        </is>
      </c>
      <c r="B340" t="inlineStr">
        <is>
          <t>아이언그레이</t>
        </is>
      </c>
      <c r="C340" s="5" t="n">
        <v>645366254000</v>
      </c>
      <c r="D340" s="5" t="n">
        <v>47842420000</v>
      </c>
      <c r="E340" s="5" t="n">
        <v>597523835000</v>
      </c>
      <c r="F340" s="5" t="n">
        <v>52509974000</v>
      </c>
      <c r="G340" s="5" t="n">
        <v>23335651000</v>
      </c>
      <c r="H340" s="5" t="n">
        <v>75686916000</v>
      </c>
      <c r="I340" s="5" t="n">
        <v>31896983000</v>
      </c>
      <c r="J340" s="4" t="n">
        <v>3.841799736022949</v>
      </c>
      <c r="K340" s="4" t="n">
        <v>0.08009999990463257</v>
      </c>
      <c r="L340" s="4" t="n">
        <v>0.4443999826908112</v>
      </c>
      <c r="M340" t="inlineStr">
        <is>
          <t>도기현</t>
        </is>
      </c>
      <c r="N340" t="inlineStr">
        <is>
          <t>02-6970-0063</t>
        </is>
      </c>
      <c r="O340" t="inlineStr">
        <is>
          <t>02-6970-0127</t>
        </is>
      </c>
      <c r="P340" s="3" t="n"/>
      <c r="Q340" t="inlineStr">
        <is>
          <t>1048644788</t>
        </is>
      </c>
      <c r="R340" t="inlineStr">
        <is>
          <t>1101114992768</t>
        </is>
      </c>
      <c r="S340" t="inlineStr">
        <is>
          <t>대상아님</t>
        </is>
      </c>
      <c r="T340" t="inlineStr">
        <is>
          <t>일반법인</t>
        </is>
      </c>
      <c r="U340" t="inlineStr">
        <is>
          <t>대기업</t>
        </is>
      </c>
      <c r="V340" t="inlineStr">
        <is>
          <t>외부감사대상</t>
        </is>
      </c>
      <c r="W340" s="6" t="inlineStr">
        <is>
          <t>2012-11-01</t>
        </is>
      </c>
      <c r="X340" t="inlineStr">
        <is>
          <t>KRI:10L6811200</t>
        </is>
      </c>
      <c r="Y340" t="inlineStr">
        <is>
          <t>비주거용 건물 임대업</t>
        </is>
      </c>
      <c r="Z340" t="inlineStr">
        <is>
          <t>부동산 임대,투자</t>
        </is>
      </c>
      <c r="AA340" t="inlineStr">
        <is>
          <t>서울 마포구 서교동 490번지</t>
        </is>
      </c>
      <c r="AB340" t="inlineStr">
        <is>
          <t>서울 마포구 양화로 45</t>
        </is>
      </c>
    </row>
    <row r="341" ht="19.2" customHeight="1" s="1">
      <c r="A341" t="inlineStr">
        <is>
          <t>NICE:356034</t>
        </is>
      </c>
      <c r="B341" t="inlineStr">
        <is>
          <t>헨켈코리아</t>
        </is>
      </c>
      <c r="C341" s="5" t="n">
        <v>623925996000</v>
      </c>
      <c r="D341" s="5" t="n">
        <v>128450495000</v>
      </c>
      <c r="E341" s="5" t="n">
        <v>495475501000</v>
      </c>
      <c r="F341" s="5" t="n">
        <v>529926625000</v>
      </c>
      <c r="G341" s="5" t="n">
        <v>104844712000</v>
      </c>
      <c r="H341" s="5" t="n">
        <v>481315301000</v>
      </c>
      <c r="I341" s="5" t="n">
        <v>99550473000</v>
      </c>
      <c r="J341" s="4" t="n">
        <v>1.501600027084351</v>
      </c>
      <c r="K341" s="4" t="n">
        <v>0.2592000067234039</v>
      </c>
      <c r="L341" s="4" t="n">
        <v>0.1977999955415726</v>
      </c>
      <c r="M341" t="inlineStr">
        <is>
          <t>김영미/장호준</t>
        </is>
      </c>
      <c r="N341" t="inlineStr">
        <is>
          <t>041-553-0948</t>
        </is>
      </c>
      <c r="O341" t="inlineStr">
        <is>
          <t>041-553-0695</t>
        </is>
      </c>
      <c r="P341" s="3">
        <f>HYPERLINK("http://henkel.co.kr", "http://henkel.co.kr")</f>
        <v/>
      </c>
      <c r="Q341" t="inlineStr">
        <is>
          <t>3128103699</t>
        </is>
      </c>
      <c r="R341" t="inlineStr">
        <is>
          <t>1615140001568</t>
        </is>
      </c>
      <c r="S341" t="inlineStr">
        <is>
          <t>대상아님</t>
        </is>
      </c>
      <c r="T341" t="inlineStr">
        <is>
          <t>일반법인</t>
        </is>
      </c>
      <c r="U341" t="inlineStr">
        <is>
          <t>중견기업</t>
        </is>
      </c>
      <c r="V341" t="inlineStr">
        <is>
          <t>외부감사대상</t>
        </is>
      </c>
      <c r="W341" s="6" t="inlineStr">
        <is>
          <t>1985-05-02</t>
        </is>
      </c>
      <c r="X341" t="inlineStr">
        <is>
          <t>KRI:10C2049300</t>
        </is>
      </c>
      <c r="Y341" t="inlineStr">
        <is>
          <t>접착제 및 젤라틴 제조업</t>
        </is>
      </c>
      <c r="Z341" t="inlineStr">
        <is>
          <t>접착제(반도체용,자동차용,산업용),정밀고분자복합수지,젤라틴 제조,도매</t>
        </is>
      </c>
      <c r="AA341" t="inlineStr">
        <is>
          <t>충남 천안시 동남구 성남면 용원리 258-6번지</t>
        </is>
      </c>
      <c r="AB341" t="inlineStr">
        <is>
          <t>충남 천안시 동남구 성남면 성남로 292</t>
        </is>
      </c>
    </row>
    <row r="342" s="1">
      <c r="A342" t="inlineStr">
        <is>
          <t>NICE:355070</t>
        </is>
      </c>
      <c r="B342" t="inlineStr">
        <is>
          <t>한주</t>
        </is>
      </c>
      <c r="C342" s="5" t="n">
        <v>594192023000</v>
      </c>
      <c r="D342" s="5" t="n">
        <v>173719106000</v>
      </c>
      <c r="E342" s="5" t="n">
        <v>420472916000</v>
      </c>
      <c r="F342" s="5" t="n">
        <v>850777246000</v>
      </c>
      <c r="G342" s="5" t="n">
        <v>104038284000</v>
      </c>
      <c r="H342" s="5" t="n">
        <v>816997946000</v>
      </c>
      <c r="I342" s="5" t="n">
        <v>44767951000</v>
      </c>
      <c r="J342" s="4" t="n">
        <v>0.5864999890327454</v>
      </c>
      <c r="K342" s="4" t="n">
        <v>0.4131999909877777</v>
      </c>
      <c r="L342" s="4" t="n">
        <v>0.1222999915480614</v>
      </c>
      <c r="M342" t="inlineStr">
        <is>
          <t>임중규</t>
        </is>
      </c>
      <c r="N342" t="inlineStr">
        <is>
          <t>052-270-5201</t>
        </is>
      </c>
      <c r="O342" t="inlineStr">
        <is>
          <t>052-270-5205</t>
        </is>
      </c>
      <c r="P342">
        <f>HYPERLINK("http://www.hanjucorp.co.kr", "http://www.hanjucorp.co.kr")</f>
        <v/>
      </c>
      <c r="Q342" t="inlineStr">
        <is>
          <t>6108104501</t>
        </is>
      </c>
      <c r="R342" t="inlineStr">
        <is>
          <t>1812110007663</t>
        </is>
      </c>
      <c r="S342" t="inlineStr">
        <is>
          <t>대상아님</t>
        </is>
      </c>
      <c r="T342" t="inlineStr">
        <is>
          <t>일반법인</t>
        </is>
      </c>
      <c r="U342" t="inlineStr">
        <is>
          <t>중견기업</t>
        </is>
      </c>
      <c r="V342" t="inlineStr">
        <is>
          <t>외부감사대상</t>
        </is>
      </c>
      <c r="W342" s="6" t="inlineStr">
        <is>
          <t>1987-03-17</t>
        </is>
      </c>
      <c r="X342" t="inlineStr">
        <is>
          <t>KRI:10D3530000</t>
        </is>
      </c>
      <c r="Y342" t="inlineStr">
        <is>
          <t>증기, 냉ㆍ온수 및 공기조절 공급업</t>
        </is>
      </c>
      <c r="Z342" t="inlineStr">
        <is>
          <t>증기,전기,공업용수 공급/정제염 제조</t>
        </is>
      </c>
      <c r="AA342" t="inlineStr">
        <is>
          <t>울산 남구 부곡동 625번지</t>
        </is>
      </c>
      <c r="AB342" t="inlineStr">
        <is>
          <t>울산 남구 사평로 60</t>
        </is>
      </c>
    </row>
    <row r="343" ht="19.2" customHeight="1" s="1">
      <c r="A343" t="inlineStr">
        <is>
          <t>NICE:990213</t>
        </is>
      </c>
      <c r="B343" t="inlineStr">
        <is>
          <t>한양컨트리클럽</t>
        </is>
      </c>
      <c r="C343" s="5" t="n">
        <v>229299768000</v>
      </c>
      <c r="D343" s="5" t="n">
        <v>86224833000</v>
      </c>
      <c r="E343" s="5" t="n">
        <v>143074936000</v>
      </c>
      <c r="F343" s="5" t="n">
        <v>24338143000</v>
      </c>
      <c r="G343" s="5" t="n">
        <v>3603108000</v>
      </c>
      <c r="H343" s="5" t="n">
        <v>25479486000</v>
      </c>
      <c r="I343" s="5" t="n">
        <v>4408701000</v>
      </c>
      <c r="J343" s="4" t="n">
        <v>2.073299884796143</v>
      </c>
      <c r="K343" s="4" t="n">
        <v>0.6026999950408936</v>
      </c>
      <c r="L343" s="4" t="n">
        <v>0.1480000019073486</v>
      </c>
      <c r="M343" t="inlineStr">
        <is>
          <t>박용식</t>
        </is>
      </c>
      <c r="N343" t="inlineStr">
        <is>
          <t>031-960-6900</t>
        </is>
      </c>
      <c r="O343" t="inlineStr">
        <is>
          <t>031-964-6900</t>
        </is>
      </c>
      <c r="P343" s="3">
        <f>HYPERLINK("http://www.hanyangcc.com", "http://www.hanyangcc.com")</f>
        <v/>
      </c>
      <c r="Q343" t="inlineStr">
        <is>
          <t>1288100438</t>
        </is>
      </c>
      <c r="R343" t="inlineStr">
        <is>
          <t>1147110000387</t>
        </is>
      </c>
      <c r="S343" t="inlineStr">
        <is>
          <t>대상아님</t>
        </is>
      </c>
      <c r="T343" t="inlineStr">
        <is>
          <t>일반법인</t>
        </is>
      </c>
      <c r="U343" t="inlineStr">
        <is>
          <t>중소기업</t>
        </is>
      </c>
      <c r="V343" t="inlineStr">
        <is>
          <t>외부감사대상</t>
        </is>
      </c>
      <c r="W343" s="6" t="inlineStr">
        <is>
          <t>1963-12-02</t>
        </is>
      </c>
      <c r="X343" t="inlineStr">
        <is>
          <t>KRI:10R9112100</t>
        </is>
      </c>
      <c r="Y343" t="inlineStr">
        <is>
          <t>골프장 운영업</t>
        </is>
      </c>
      <c r="Z343" t="inlineStr">
        <is>
          <t>골프장,유원지 운영/부동산 관리</t>
        </is>
      </c>
      <c r="AA343" t="inlineStr">
        <is>
          <t>경기 고양시 덕양구 원당동 198-114번지</t>
        </is>
      </c>
      <c r="AB343" t="inlineStr">
        <is>
          <t>경기 고양시 덕양구 고양대로1643번길 164</t>
        </is>
      </c>
    </row>
    <row r="344" ht="19.2" customHeight="1" s="1">
      <c r="A344" t="inlineStr">
        <is>
          <t>NICE:620769</t>
        </is>
      </c>
      <c r="B344" t="inlineStr">
        <is>
          <t>앰배서더즈</t>
        </is>
      </c>
      <c r="C344" s="5" t="n">
        <v>77967465000</v>
      </c>
      <c r="D344" s="5" t="n">
        <v>24001025000</v>
      </c>
      <c r="E344" s="5" t="n">
        <v>53966440000</v>
      </c>
      <c r="F344" s="5" t="n">
        <v>40770724000</v>
      </c>
      <c r="G344" s="5" t="n">
        <v>4215542000</v>
      </c>
      <c r="H344" s="5" t="n">
        <v>38478996000</v>
      </c>
      <c r="I344" s="5" t="n">
        <v>2233159000</v>
      </c>
      <c r="J344" s="4" t="n">
        <v>1.073899984359741</v>
      </c>
      <c r="K344" s="4" t="n">
        <v>0.4447000026702881</v>
      </c>
      <c r="L344" s="4" t="n">
        <v>0.1033999994397163</v>
      </c>
      <c r="M344" t="inlineStr">
        <is>
          <t>서유진/서정호</t>
        </is>
      </c>
      <c r="N344" t="inlineStr">
        <is>
          <t>02-531-6410</t>
        </is>
      </c>
      <c r="O344" t="inlineStr">
        <is>
          <t>02-564-4572</t>
        </is>
      </c>
      <c r="P344" s="3">
        <f>HYPERLINK("http://www.ambatel.com", "http://www.ambatel.com")</f>
        <v/>
      </c>
      <c r="Q344" t="inlineStr">
        <is>
          <t>2208101562</t>
        </is>
      </c>
      <c r="R344" t="inlineStr">
        <is>
          <t>1101110595516</t>
        </is>
      </c>
      <c r="S344" t="inlineStr">
        <is>
          <t>대상아님</t>
        </is>
      </c>
      <c r="T344" t="inlineStr">
        <is>
          <t>일반법인</t>
        </is>
      </c>
      <c r="U344" t="inlineStr">
        <is>
          <t>중견기업</t>
        </is>
      </c>
      <c r="V344" t="inlineStr">
        <is>
          <t>외부감사대상</t>
        </is>
      </c>
      <c r="W344" s="6" t="inlineStr">
        <is>
          <t>1988-10-31</t>
        </is>
      </c>
      <c r="X344" t="inlineStr">
        <is>
          <t>KRI:10I5510100</t>
        </is>
      </c>
      <c r="Y344" t="inlineStr">
        <is>
          <t>호텔업</t>
        </is>
      </c>
      <c r="Z344" t="inlineStr">
        <is>
          <t>호텔/주류,관광민예품,선물용품 도소매/서양 음식점/환전</t>
        </is>
      </c>
      <c r="AA344" t="inlineStr">
        <is>
          <t>서울 강남구 역삼동 603번지</t>
        </is>
      </c>
      <c r="AB344" t="inlineStr">
        <is>
          <t>서울 강남구 봉은사로 130</t>
        </is>
      </c>
    </row>
    <row r="345" ht="19.2" customHeight="1" s="1">
      <c r="A345" t="inlineStr">
        <is>
          <t>NICE:O38207</t>
        </is>
      </c>
      <c r="B345" t="inlineStr">
        <is>
          <t>쉐브론사우스코리아아이피홀딩스</t>
        </is>
      </c>
      <c r="C345" s="5" t="n">
        <v>41451370000</v>
      </c>
      <c r="D345" s="5" t="n">
        <v>6897338000</v>
      </c>
      <c r="E345" s="5" t="n">
        <v>34554032000</v>
      </c>
      <c r="F345" s="5" t="n">
        <v>42464932000</v>
      </c>
      <c r="G345" s="5" t="n">
        <v>42109879000</v>
      </c>
      <c r="H345" s="5" t="n">
        <v>45547133000</v>
      </c>
      <c r="I345" s="5" t="n">
        <v>45338122000</v>
      </c>
      <c r="J345" s="4" t="n">
        <v>6.009799480438232</v>
      </c>
      <c r="K345" s="4" t="n">
        <v>0.1995999813079834</v>
      </c>
      <c r="L345" s="4" t="n">
        <v>0.9916000366210938</v>
      </c>
      <c r="M345" t="inlineStr">
        <is>
          <t>페인브라이언크리스토퍼</t>
        </is>
      </c>
      <c r="N345" t="inlineStr">
        <is>
          <t>02-2005-6035</t>
        </is>
      </c>
      <c r="O345" t="inlineStr">
        <is>
          <t>02-565-7588</t>
        </is>
      </c>
      <c r="P345" s="3" t="n"/>
      <c r="Q345" t="inlineStr">
        <is>
          <t>2208753586</t>
        </is>
      </c>
      <c r="R345" t="inlineStr">
        <is>
          <t>1101140069953</t>
        </is>
      </c>
      <c r="S345" t="inlineStr">
        <is>
          <t>대상아님</t>
        </is>
      </c>
      <c r="T345" t="inlineStr">
        <is>
          <t>일반법인</t>
        </is>
      </c>
      <c r="U345" t="inlineStr">
        <is>
          <t>중소기업</t>
        </is>
      </c>
      <c r="V345" t="inlineStr">
        <is>
          <t>외부감사비대상</t>
        </is>
      </c>
      <c r="W345" s="6" t="inlineStr">
        <is>
          <t>2007-08-30</t>
        </is>
      </c>
      <c r="X345" t="inlineStr">
        <is>
          <t>KRI:10K6420900</t>
        </is>
      </c>
      <c r="Y345" t="inlineStr">
        <is>
          <t>기타 금융 투자업</t>
        </is>
      </c>
      <c r="Z345" t="inlineStr">
        <is>
          <t>투자기관</t>
        </is>
      </c>
      <c r="AA345" t="inlineStr">
        <is>
          <t>서울 강남구 역삼동 679번지 지에스타워 33층</t>
        </is>
      </c>
      <c r="AB345" t="inlineStr">
        <is>
          <t>서울 강남구 논현로 508, 33층 (역삼동,지에스타워)</t>
        </is>
      </c>
    </row>
    <row r="346" ht="19.2" customHeight="1" s="1">
      <c r="A346" t="inlineStr">
        <is>
          <t>NICE:478918</t>
        </is>
      </c>
      <c r="B346" t="inlineStr">
        <is>
          <t>한국제이에스티알앤디센터</t>
        </is>
      </c>
      <c r="C346" s="5" t="n">
        <v>90195232000</v>
      </c>
      <c r="D346" s="5" t="n">
        <v>6719678000</v>
      </c>
      <c r="E346" s="5" t="n">
        <v>83475553000</v>
      </c>
      <c r="F346" s="5" t="n">
        <v>61316133000</v>
      </c>
      <c r="G346" s="5" t="n">
        <v>9541299000</v>
      </c>
      <c r="H346" s="5" t="n">
        <v>61629436000</v>
      </c>
      <c r="I346" s="5" t="n">
        <v>11081627000</v>
      </c>
      <c r="J346" s="4" t="n">
        <v>12.09180068969727</v>
      </c>
      <c r="K346" s="4" t="n">
        <v>0.08049999922513962</v>
      </c>
      <c r="L346" s="4" t="n">
        <v>0.1555999964475632</v>
      </c>
      <c r="M346" t="inlineStr">
        <is>
          <t>타카하시아츠히로</t>
        </is>
      </c>
      <c r="N346" t="inlineStr">
        <is>
          <t>031-476-5939</t>
        </is>
      </c>
      <c r="O346" t="inlineStr">
        <is>
          <t>031-476-5940</t>
        </is>
      </c>
      <c r="P346" s="3" t="n"/>
      <c r="Q346" t="inlineStr">
        <is>
          <t>2148765054</t>
        </is>
      </c>
      <c r="R346" t="inlineStr">
        <is>
          <t>1101113155557</t>
        </is>
      </c>
      <c r="S346" t="inlineStr">
        <is>
          <t>대상아님</t>
        </is>
      </c>
      <c r="T346" t="inlineStr">
        <is>
          <t>일반법인</t>
        </is>
      </c>
      <c r="U346" t="inlineStr">
        <is>
          <t>중소기업</t>
        </is>
      </c>
      <c r="V346" t="inlineStr">
        <is>
          <t>외부감사대상</t>
        </is>
      </c>
      <c r="W346" s="6" t="inlineStr">
        <is>
          <t>2005-01-21</t>
        </is>
      </c>
      <c r="X346" t="inlineStr">
        <is>
          <t>KRI:10G4521900</t>
        </is>
      </c>
      <c r="Y346" t="inlineStr">
        <is>
          <t>기타 자동차 신품 부품 및 내장품 판매업</t>
        </is>
      </c>
      <c r="Z346" t="inlineStr">
        <is>
          <t>자동차용 커넥터,하네스,전기전자부품 도매,무역/전기접속부품,금형(커넥터부품) 연구개발</t>
        </is>
      </c>
      <c r="AA346" t="inlineStr">
        <is>
          <t>경기 안양시 동안구 호계동 1043번지 한화생명빌딩 15층</t>
        </is>
      </c>
      <c r="AB346" t="inlineStr">
        <is>
          <t>경기 안양시 동안구 시민대로 210, 15층 (호계동,한화생명빌딩)</t>
        </is>
      </c>
    </row>
    <row r="347" ht="19.2" customHeight="1" s="1">
      <c r="A347" t="inlineStr">
        <is>
          <t>NICE:JN0718</t>
        </is>
      </c>
      <c r="B347" t="inlineStr">
        <is>
          <t>농업회사법인히즈팜</t>
        </is>
      </c>
      <c r="C347" s="5" t="n">
        <v>67356805000</v>
      </c>
      <c r="D347" s="5" t="n">
        <v>43637277000</v>
      </c>
      <c r="E347" s="5" t="n">
        <v>23719528000</v>
      </c>
      <c r="F347" s="5" t="n">
        <v>40923143000</v>
      </c>
      <c r="G347" s="5" t="n">
        <v>10375564000</v>
      </c>
      <c r="H347" s="5" t="n">
        <v>15831265000</v>
      </c>
      <c r="I347" s="5" t="n">
        <v>1735582000</v>
      </c>
      <c r="J347" s="4" t="n">
        <v>0.4349000155925751</v>
      </c>
      <c r="K347" s="4" t="n">
        <v>1.839699983596802</v>
      </c>
      <c r="L347" s="4" t="n">
        <v>0.2534999847412109</v>
      </c>
      <c r="M347" t="inlineStr">
        <is>
          <t>한우진</t>
        </is>
      </c>
      <c r="N347" t="inlineStr">
        <is>
          <t>031-695-0323</t>
        </is>
      </c>
      <c r="O347" t="inlineStr">
        <is>
          <t>031-282-2975</t>
        </is>
      </c>
      <c r="P347" s="3" t="n"/>
      <c r="Q347" t="inlineStr">
        <is>
          <t>6838601171</t>
        </is>
      </c>
      <c r="R347" t="inlineStr">
        <is>
          <t>1313110212286</t>
        </is>
      </c>
      <c r="S347" t="inlineStr">
        <is>
          <t>대상아님</t>
        </is>
      </c>
      <c r="T347" t="inlineStr">
        <is>
          <t>일반법인</t>
        </is>
      </c>
      <c r="U347" t="inlineStr">
        <is>
          <t>중소기업</t>
        </is>
      </c>
      <c r="V347" t="inlineStr">
        <is>
          <t>외부감사대상</t>
        </is>
      </c>
      <c r="W347" s="6" t="inlineStr">
        <is>
          <t>2019-03-18</t>
        </is>
      </c>
      <c r="X347" t="inlineStr">
        <is>
          <t>KRI:10A0123100</t>
        </is>
      </c>
      <c r="Y347" t="inlineStr">
        <is>
          <t>양계업</t>
        </is>
      </c>
      <c r="Z347" t="inlineStr">
        <is>
          <t>양계/계란 도소매</t>
        </is>
      </c>
      <c r="AA347" t="inlineStr">
        <is>
          <t>경기 평택시 청북읍 고잔리 1647번지</t>
        </is>
      </c>
      <c r="AB347" t="inlineStr">
        <is>
          <t>경기 평택시 청북읍 청북중앙로 669-64</t>
        </is>
      </c>
    </row>
    <row r="348" s="1">
      <c r="A348" t="inlineStr">
        <is>
          <t>NICE:681891</t>
        </is>
      </c>
      <c r="B348" t="inlineStr">
        <is>
          <t>씨에스아이엔테크</t>
        </is>
      </c>
      <c r="C348" s="5" t="n">
        <v>62689679000</v>
      </c>
      <c r="D348" s="5" t="n">
        <v>35768980000</v>
      </c>
      <c r="E348" s="5" t="n">
        <v>26920699000</v>
      </c>
      <c r="F348" s="5" t="n">
        <v>33499044000</v>
      </c>
      <c r="G348" s="5" t="n">
        <v>4107461000</v>
      </c>
      <c r="H348" s="5" t="n">
        <v>31281034000</v>
      </c>
      <c r="I348" s="5" t="n">
        <v>3545818000</v>
      </c>
      <c r="J348" s="4" t="n">
        <v>1.631600022315979</v>
      </c>
      <c r="K348" s="4" t="n">
        <v>1.328699946403503</v>
      </c>
      <c r="L348" s="4" t="n">
        <v>0.1225999966263771</v>
      </c>
      <c r="M348" t="inlineStr">
        <is>
          <t>김태식</t>
        </is>
      </c>
      <c r="N348" t="inlineStr">
        <is>
          <t>032-714-2510</t>
        </is>
      </c>
      <c r="O348" t="inlineStr">
        <is>
          <t>032-714-2599</t>
        </is>
      </c>
      <c r="P348">
        <f>HYPERLINK("http://www.csin.kr", "http://www.csin.kr")</f>
        <v/>
      </c>
      <c r="Q348" t="inlineStr">
        <is>
          <t>1308607332</t>
        </is>
      </c>
      <c r="R348" t="inlineStr">
        <is>
          <t>1211110122184</t>
        </is>
      </c>
      <c r="S348" t="inlineStr">
        <is>
          <t>대상아님</t>
        </is>
      </c>
      <c r="T348" t="inlineStr">
        <is>
          <t>일반법인</t>
        </is>
      </c>
      <c r="U348" t="inlineStr">
        <is>
          <t>중소기업</t>
        </is>
      </c>
      <c r="V348" t="inlineStr">
        <is>
          <t>외부감사대상</t>
        </is>
      </c>
      <c r="W348" s="6" t="inlineStr">
        <is>
          <t>2004-07-07</t>
        </is>
      </c>
      <c r="X348" t="inlineStr">
        <is>
          <t>KRI:10C3120200</t>
        </is>
      </c>
      <c r="Y348" t="inlineStr">
        <is>
          <t>철도차량 부품 및 관련 장치물 제조업</t>
        </is>
      </c>
      <c r="Z348" t="inlineStr">
        <is>
          <t>철도차량부품(화재감지장치,신호장치) 제조/정보통신공사</t>
        </is>
      </c>
      <c r="AA348" t="inlineStr">
        <is>
          <t>인천 계양구 서운동 221번지</t>
        </is>
      </c>
      <c r="AB348" t="inlineStr">
        <is>
          <t>인천 계양구 서운산업로 61</t>
        </is>
      </c>
    </row>
    <row r="349" ht="19.2" customHeight="1" s="1">
      <c r="A349" t="inlineStr">
        <is>
          <t>NICE:201739</t>
        </is>
      </c>
      <c r="B349" t="inlineStr">
        <is>
          <t>케미랜드</t>
        </is>
      </c>
      <c r="C349" s="5" t="n">
        <v>61942421000</v>
      </c>
      <c r="D349" s="5" t="n">
        <v>37200784000</v>
      </c>
      <c r="E349" s="5" t="n">
        <v>24741637000</v>
      </c>
      <c r="F349" s="5" t="n">
        <v>31626620000</v>
      </c>
      <c r="G349" s="5" t="n">
        <v>3530135000</v>
      </c>
      <c r="H349" s="5" t="n">
        <v>29527968000</v>
      </c>
      <c r="I349" s="5" t="n">
        <v>3051212000</v>
      </c>
      <c r="J349" s="4" t="n">
        <v>1.309799909591675</v>
      </c>
      <c r="K349" s="4" t="n">
        <v>1.503600001335144</v>
      </c>
      <c r="L349" s="4" t="n">
        <v>0.1115999966859818</v>
      </c>
      <c r="M349" t="inlineStr">
        <is>
          <t>이범주</t>
        </is>
      </c>
      <c r="N349" t="inlineStr">
        <is>
          <t>031-671-8449</t>
        </is>
      </c>
      <c r="O349" t="inlineStr">
        <is>
          <t>031-674-8447</t>
        </is>
      </c>
      <c r="P349" s="3">
        <f>HYPERLINK("http://www.chemland.co.kr", "http://www.chemland.co.kr")</f>
        <v/>
      </c>
      <c r="Q349" t="inlineStr">
        <is>
          <t>2298135491</t>
        </is>
      </c>
      <c r="R349" t="inlineStr">
        <is>
          <t>1101111629405</t>
        </is>
      </c>
      <c r="S349" t="inlineStr">
        <is>
          <t>대상아님</t>
        </is>
      </c>
      <c r="T349" t="inlineStr">
        <is>
          <t>일반법인</t>
        </is>
      </c>
      <c r="U349" t="inlineStr">
        <is>
          <t>중소기업</t>
        </is>
      </c>
      <c r="V349" t="inlineStr">
        <is>
          <t>외부감사대상</t>
        </is>
      </c>
      <c r="W349" s="6" t="inlineStr">
        <is>
          <t>1999-01-06</t>
        </is>
      </c>
      <c r="X349" t="inlineStr">
        <is>
          <t>KRI:10C2049900</t>
        </is>
      </c>
      <c r="Y349" t="inlineStr">
        <is>
          <t>그 외 기타 분류 안된 화학제품 제조업</t>
        </is>
      </c>
      <c r="Z349" t="inlineStr">
        <is>
          <t>화공약품 제조/무역(화공약품)/부동산 임대</t>
        </is>
      </c>
      <c r="AA349" t="inlineStr">
        <is>
          <t>경기 안성시 미양면 개정리 761번지</t>
        </is>
      </c>
      <c r="AB349" t="inlineStr">
        <is>
          <t>경기 안성시 미양면 개정산업단지로 77</t>
        </is>
      </c>
    </row>
    <row r="350" s="1">
      <c r="A350" t="inlineStr">
        <is>
          <t>NICE:166524</t>
        </is>
      </c>
      <c r="B350" t="inlineStr">
        <is>
          <t>루브리졸코리아</t>
        </is>
      </c>
      <c r="C350" s="5" t="n">
        <v>53902164000</v>
      </c>
      <c r="D350" s="5" t="n">
        <v>27291617000</v>
      </c>
      <c r="E350" s="5" t="n">
        <v>26610547000</v>
      </c>
      <c r="F350" s="5" t="n">
        <v>120319231000</v>
      </c>
      <c r="G350" s="5" t="n">
        <v>17203128000</v>
      </c>
      <c r="H350" s="5" t="n">
        <v>115493379000</v>
      </c>
      <c r="I350" s="5" t="n">
        <v>14621123000</v>
      </c>
      <c r="J350" s="4" t="n">
        <v>2.151299953460693</v>
      </c>
      <c r="K350" s="4" t="n">
        <v>1.025599956512451</v>
      </c>
      <c r="L350" s="4" t="n">
        <v>0.142999991774559</v>
      </c>
      <c r="M350" t="inlineStr">
        <is>
          <t>리우마오슈</t>
        </is>
      </c>
      <c r="N350" t="inlineStr">
        <is>
          <t>02-2184-9400</t>
        </is>
      </c>
      <c r="O350" t="inlineStr">
        <is>
          <t>02-2184-9499</t>
        </is>
      </c>
      <c r="P350">
        <f>HYPERLINK("http://www.lubrizol.com", "http://www.lubrizol.com")</f>
        <v/>
      </c>
      <c r="Q350" t="inlineStr">
        <is>
          <t>5068130016</t>
        </is>
      </c>
      <c r="R350" t="inlineStr">
        <is>
          <t>1717110034197</t>
        </is>
      </c>
      <c r="S350" t="inlineStr">
        <is>
          <t>대상아님</t>
        </is>
      </c>
      <c r="T350" t="inlineStr">
        <is>
          <t>일반법인</t>
        </is>
      </c>
      <c r="U350" t="inlineStr">
        <is>
          <t>중소기업</t>
        </is>
      </c>
      <c r="V350" t="inlineStr">
        <is>
          <t>외부감사대상</t>
        </is>
      </c>
      <c r="W350" s="6" t="inlineStr">
        <is>
          <t>1998-12-16</t>
        </is>
      </c>
      <c r="X350" t="inlineStr">
        <is>
          <t>KRI:10G4673300</t>
        </is>
      </c>
      <c r="Y350" t="inlineStr">
        <is>
          <t>플라스틱물질 및 합성고무 도매업</t>
        </is>
      </c>
      <c r="Z350" t="inlineStr">
        <is>
          <t>플라스틱,첨가제,화학약품,화학제품(카보폴) 도소매,제조</t>
        </is>
      </c>
      <c r="AA350" t="inlineStr">
        <is>
          <t>서울 중구 남대문로5가 541번지 서울스퀘어 4층</t>
        </is>
      </c>
      <c r="AB350" t="inlineStr">
        <is>
          <t>서울 중구 한강대로 416, 4층 (남대문로5가,서울스퀘어)</t>
        </is>
      </c>
    </row>
    <row r="351" ht="19.2" customHeight="1" s="1">
      <c r="A351" t="inlineStr">
        <is>
          <t>NICE:056067</t>
        </is>
      </c>
      <c r="B351" t="inlineStr">
        <is>
          <t>엔씨에이취코리아</t>
        </is>
      </c>
      <c r="C351" s="5" t="n">
        <v>19911620000</v>
      </c>
      <c r="D351" s="5" t="n">
        <v>15039600000</v>
      </c>
      <c r="E351" s="5" t="n">
        <v>4872021000</v>
      </c>
      <c r="F351" s="5" t="n">
        <v>33394383000</v>
      </c>
      <c r="G351" s="5" t="n">
        <v>3496786000</v>
      </c>
      <c r="H351" s="5" t="n">
        <v>31639324000</v>
      </c>
      <c r="I351" s="5" t="n">
        <v>3486115000</v>
      </c>
      <c r="J351" s="4" t="n">
        <v>1.732400059700012</v>
      </c>
      <c r="K351" s="4" t="n">
        <v>3.086899995803833</v>
      </c>
      <c r="L351" s="4" t="n">
        <v>0.1046999990940094</v>
      </c>
      <c r="M351" t="inlineStr">
        <is>
          <t>이레나킬디사스/월터레비</t>
        </is>
      </c>
      <c r="N351" t="inlineStr">
        <is>
          <t>02-3482-2581</t>
        </is>
      </c>
      <c r="O351" t="inlineStr">
        <is>
          <t>02-3482-0203</t>
        </is>
      </c>
      <c r="P351" s="3">
        <f>HYPERLINK("http://www.nchasia.com", "http://www.nchasia.com")</f>
        <v/>
      </c>
      <c r="Q351" t="inlineStr">
        <is>
          <t>2148118883</t>
        </is>
      </c>
      <c r="R351" t="inlineStr">
        <is>
          <t>1101110694582</t>
        </is>
      </c>
      <c r="S351" t="inlineStr">
        <is>
          <t>대상아님</t>
        </is>
      </c>
      <c r="T351" t="inlineStr">
        <is>
          <t>일반법인</t>
        </is>
      </c>
      <c r="U351" t="inlineStr">
        <is>
          <t>중소기업</t>
        </is>
      </c>
      <c r="V351" t="inlineStr">
        <is>
          <t>외부감사대상</t>
        </is>
      </c>
      <c r="W351" s="6" t="inlineStr">
        <is>
          <t>1990-04-20</t>
        </is>
      </c>
      <c r="X351" t="inlineStr">
        <is>
          <t>KRI:10C2049900</t>
        </is>
      </c>
      <c r="Y351" t="inlineStr">
        <is>
          <t>그 외 기타 분류 안된 화학제품 제조업</t>
        </is>
      </c>
      <c r="Z351" t="inlineStr">
        <is>
          <t>화학제품(수처리제,윤활유) 제조,도매/건물,산업설비 유지관리,청소</t>
        </is>
      </c>
      <c r="AA351" t="inlineStr">
        <is>
          <t>서울 서초구 잠원동 76-4번지</t>
        </is>
      </c>
      <c r="AB351" t="inlineStr">
        <is>
          <t>서울 서초구 반포대로 306</t>
        </is>
      </c>
    </row>
    <row r="352" s="1">
      <c r="A352" t="inlineStr">
        <is>
          <t>NICE:777871</t>
        </is>
      </c>
      <c r="B352" t="inlineStr">
        <is>
          <t>신우프레스</t>
        </is>
      </c>
      <c r="C352" s="5" t="n">
        <v>15199197000</v>
      </c>
      <c r="D352" s="5" t="n">
        <v>4384825000</v>
      </c>
      <c r="E352" s="5" t="n">
        <v>10814372000</v>
      </c>
      <c r="F352" s="5" t="n">
        <v>27649398000</v>
      </c>
      <c r="G352" s="5" t="n">
        <v>4842062000</v>
      </c>
      <c r="H352" s="5" t="n">
        <v>24166211000</v>
      </c>
      <c r="I352" s="5" t="n">
        <v>2398293000</v>
      </c>
      <c r="J352" s="4" t="n">
        <v>2.560100078582764</v>
      </c>
      <c r="K352" s="4" t="n">
        <v>0.4054999947547913</v>
      </c>
      <c r="L352" s="4" t="n">
        <v>0.1750999987125397</v>
      </c>
      <c r="M352" t="inlineStr">
        <is>
          <t>백성옥/왕진</t>
        </is>
      </c>
      <c r="N352" t="inlineStr">
        <is>
          <t>031-945-3205</t>
        </is>
      </c>
      <c r="O352" t="inlineStr">
        <is>
          <t>031-945-6744</t>
        </is>
      </c>
      <c r="P352">
        <f>HYPERLINK("http://www.swpress.co.kr", "http://www.swpress.co.kr")</f>
        <v/>
      </c>
      <c r="Q352" t="inlineStr">
        <is>
          <t>1288127437</t>
        </is>
      </c>
      <c r="R352" t="inlineStr">
        <is>
          <t>1156110012903</t>
        </is>
      </c>
      <c r="S352" t="inlineStr">
        <is>
          <t>대상아님</t>
        </is>
      </c>
      <c r="T352" t="inlineStr">
        <is>
          <t>일반법인</t>
        </is>
      </c>
      <c r="U352" t="inlineStr">
        <is>
          <t>중소기업</t>
        </is>
      </c>
      <c r="V352" t="inlineStr">
        <is>
          <t>외부감사대상</t>
        </is>
      </c>
      <c r="W352" s="6" t="inlineStr">
        <is>
          <t>1991-01-01</t>
        </is>
      </c>
      <c r="X352" t="inlineStr">
        <is>
          <t>KRI:10C1811900</t>
        </is>
      </c>
      <c r="Y352" t="inlineStr">
        <is>
          <t>기타 인쇄업</t>
        </is>
      </c>
      <c r="Z352" t="inlineStr">
        <is>
          <t>인쇄,각종도서인쇄물의제책업,출판．지류(인쇄)</t>
        </is>
      </c>
      <c r="AA352" t="inlineStr">
        <is>
          <t>경기 파주시 맥금동 714-3번지</t>
        </is>
      </c>
      <c r="AB352" t="inlineStr">
        <is>
          <t>경기 파주시 방촌로396번길 48-7</t>
        </is>
      </c>
    </row>
    <row r="353" ht="19.2" customHeight="1" s="1">
      <c r="A353" t="inlineStr">
        <is>
          <t>NICE:JZ2711</t>
        </is>
      </c>
      <c r="B353" t="inlineStr">
        <is>
          <t>뷰티셀렉션</t>
        </is>
      </c>
      <c r="C353" s="5" t="n">
        <v>86668486000</v>
      </c>
      <c r="D353" s="5" t="n">
        <v>26130418000</v>
      </c>
      <c r="E353" s="5" t="n">
        <v>60538068000</v>
      </c>
      <c r="F353" s="5" t="n">
        <v>248131194000</v>
      </c>
      <c r="G353" s="5" t="n">
        <v>40335022000</v>
      </c>
      <c r="H353" s="5" t="n">
        <v>135716149000</v>
      </c>
      <c r="I353" s="5" t="n">
        <v>26779062000</v>
      </c>
      <c r="J353" s="4" t="n">
        <v>3.136099815368652</v>
      </c>
      <c r="K353" s="4" t="n">
        <v>0.4315999746322632</v>
      </c>
      <c r="L353" s="4" t="n">
        <v>0.1625999957323074</v>
      </c>
      <c r="M353" t="inlineStr">
        <is>
          <t>박재빈</t>
        </is>
      </c>
      <c r="N353" t="inlineStr">
        <is>
          <t>02-1800-5792</t>
        </is>
      </c>
      <c r="O353" t="inlineStr">
        <is>
          <t>070-4009-2701</t>
        </is>
      </c>
      <c r="P353" s="3">
        <f>HYPERLINK("http://www.beautyselection.co.kr", "http://www.beautyselection.co.kr")</f>
        <v/>
      </c>
      <c r="Q353" t="inlineStr">
        <is>
          <t>5518101715</t>
        </is>
      </c>
      <c r="R353" t="inlineStr">
        <is>
          <t>1101117371612</t>
        </is>
      </c>
      <c r="S353" t="inlineStr">
        <is>
          <t>대상아님</t>
        </is>
      </c>
      <c r="T353" t="inlineStr">
        <is>
          <t>일반법인</t>
        </is>
      </c>
      <c r="U353" t="inlineStr">
        <is>
          <t>중소기업</t>
        </is>
      </c>
      <c r="V353" t="inlineStr">
        <is>
          <t>외부감사대상</t>
        </is>
      </c>
      <c r="W353" s="6" t="inlineStr">
        <is>
          <t>2020-01-29</t>
        </is>
      </c>
      <c r="X353" t="inlineStr">
        <is>
          <t>KRI:10G4610700</t>
        </is>
      </c>
      <c r="Y353" t="inlineStr">
        <is>
          <t>그 외 기타 특정 상품 중개업</t>
        </is>
      </c>
      <c r="Z353" t="inlineStr">
        <is>
          <t>화장품 중개,제조/건강기능식품,의약품,의료용품 도소매,전자상거래/커피 전문점</t>
        </is>
      </c>
      <c r="AA353" t="inlineStr">
        <is>
          <t>서울 강남구 청담동 59-10번지</t>
        </is>
      </c>
      <c r="AB353" t="inlineStr">
        <is>
          <t>서울 강남구 도산대로100길 22-5</t>
        </is>
      </c>
    </row>
    <row r="354" ht="19.2" customHeight="1" s="1">
      <c r="A354" t="inlineStr">
        <is>
          <t>NICE:159762</t>
        </is>
      </c>
      <c r="B354" t="inlineStr">
        <is>
          <t>리뉴에너지충북</t>
        </is>
      </c>
      <c r="C354" s="5" t="n">
        <v>62425694000</v>
      </c>
      <c r="D354" s="5" t="n">
        <v>47686106000</v>
      </c>
      <c r="E354" s="5" t="n">
        <v>14739587000</v>
      </c>
      <c r="F354" s="5" t="n">
        <v>44232104000</v>
      </c>
      <c r="G354" s="5" t="n">
        <v>11293663000</v>
      </c>
      <c r="H354" s="5" t="n">
        <v>46345202000</v>
      </c>
      <c r="I354" s="5" t="n">
        <v>10683553000</v>
      </c>
      <c r="J354" s="4" t="n">
        <v>1.848399877548218</v>
      </c>
      <c r="K354" s="4" t="n">
        <v>3.235199928283691</v>
      </c>
      <c r="L354" s="4" t="n">
        <v>0.2553000152111053</v>
      </c>
      <c r="M354" t="inlineStr">
        <is>
          <t>이용석</t>
        </is>
      </c>
      <c r="N354" t="inlineStr">
        <is>
          <t>043-214-7588</t>
        </is>
      </c>
      <c r="O354" t="inlineStr">
        <is>
          <t>043-214-7770</t>
        </is>
      </c>
      <c r="P354" s="3" t="n"/>
      <c r="Q354" t="inlineStr">
        <is>
          <t>3018133965</t>
        </is>
      </c>
      <c r="R354" t="inlineStr">
        <is>
          <t>1501110034251</t>
        </is>
      </c>
      <c r="S354" t="inlineStr">
        <is>
          <t>대상아님</t>
        </is>
      </c>
      <c r="T354" t="inlineStr">
        <is>
          <t>일반법인</t>
        </is>
      </c>
      <c r="U354" t="inlineStr">
        <is>
          <t>중견기업</t>
        </is>
      </c>
      <c r="V354" t="inlineStr">
        <is>
          <t>외부감사대상</t>
        </is>
      </c>
      <c r="W354" s="6" t="inlineStr">
        <is>
          <t>1998-07-29</t>
        </is>
      </c>
      <c r="X354" t="inlineStr">
        <is>
          <t>KRI:10E3821000</t>
        </is>
      </c>
      <c r="Y354" t="inlineStr">
        <is>
          <t>지정 외 폐기물 처리업</t>
        </is>
      </c>
      <c r="Z354" t="inlineStr">
        <is>
          <t>일반폐기물 처리/증기터빈 발전/증기 공급/골재 제조/산업용기계장비 임대/고철,폐품 도소매</t>
        </is>
      </c>
      <c r="AA354" t="inlineStr">
        <is>
          <t>충북 청주시 청원구 북이면 용계리 596-12번지</t>
        </is>
      </c>
      <c r="AB354" t="inlineStr">
        <is>
          <t>충북 청주시 청원구 북이면 신대석성로 245</t>
        </is>
      </c>
    </row>
    <row r="355" ht="19.2" customHeight="1" s="1">
      <c r="A355" t="inlineStr">
        <is>
          <t>NICE:H74676</t>
        </is>
      </c>
      <c r="B355" t="inlineStr">
        <is>
          <t>서울복합물류프로젝트금융투자</t>
        </is>
      </c>
      <c r="C355" s="5" t="n">
        <v>293704946000</v>
      </c>
      <c r="D355" s="5" t="n">
        <v>233366817000</v>
      </c>
      <c r="E355" s="5" t="n">
        <v>60338129000</v>
      </c>
      <c r="F355" s="5" t="n">
        <v>58591273000</v>
      </c>
      <c r="G355" s="5" t="n">
        <v>15064780000</v>
      </c>
      <c r="H355" s="5" t="n">
        <v>57001673000</v>
      </c>
      <c r="I355" s="5" t="n">
        <v>14494158000</v>
      </c>
      <c r="J355" s="4" t="n">
        <v>0.9354000091552734</v>
      </c>
      <c r="K355" s="4" t="n">
        <v>3.867699861526489</v>
      </c>
      <c r="L355" s="4" t="n">
        <v>0.257099986076355</v>
      </c>
      <c r="M355" t="inlineStr">
        <is>
          <t>강영철/전태준</t>
        </is>
      </c>
      <c r="N355" t="inlineStr">
        <is>
          <t>02-2160-4015</t>
        </is>
      </c>
      <c r="O355" t="inlineStr">
        <is>
          <t>02-2160-4050</t>
        </is>
      </c>
      <c r="P355" s="3" t="n"/>
      <c r="Q355" t="inlineStr">
        <is>
          <t>2158756903</t>
        </is>
      </c>
      <c r="R355" t="inlineStr">
        <is>
          <t>1101114660232</t>
        </is>
      </c>
      <c r="S355" t="inlineStr">
        <is>
          <t>대상아님</t>
        </is>
      </c>
      <c r="T355" t="inlineStr">
        <is>
          <t>일반법인</t>
        </is>
      </c>
      <c r="U355" t="inlineStr">
        <is>
          <t>대기업</t>
        </is>
      </c>
      <c r="V355" t="inlineStr">
        <is>
          <t>외부감사대상</t>
        </is>
      </c>
      <c r="W355" s="6" t="inlineStr">
        <is>
          <t>2011-08-01</t>
        </is>
      </c>
      <c r="X355" t="inlineStr">
        <is>
          <t>KRI:10L6811200</t>
        </is>
      </c>
      <c r="Y355" t="inlineStr">
        <is>
          <t>비주거용 건물 임대업</t>
        </is>
      </c>
      <c r="Z355" t="inlineStr">
        <is>
          <t>부동산 임대,개발,공급/프로젝트금융투자회사</t>
        </is>
      </c>
      <c r="AA355" t="inlineStr">
        <is>
          <t>서울 송파구 장지동 875번지 A동 7층 02호</t>
        </is>
      </c>
      <c r="AB355" t="inlineStr">
        <is>
          <t>서울 송파구 송파대로 55, A동 7층 02호</t>
        </is>
      </c>
    </row>
    <row r="356" ht="19.2" customHeight="1" s="1">
      <c r="A356" t="inlineStr">
        <is>
          <t>NICE:827631</t>
        </is>
      </c>
      <c r="B356" t="inlineStr">
        <is>
          <t>강남대성학원</t>
        </is>
      </c>
      <c r="C356" s="5" t="n">
        <v>89325358000</v>
      </c>
      <c r="D356" s="5" t="n">
        <v>34949548000</v>
      </c>
      <c r="E356" s="5" t="n">
        <v>54375811000</v>
      </c>
      <c r="F356" s="5" t="n">
        <v>25332878000</v>
      </c>
      <c r="G356" s="5" t="n">
        <v>4374805000</v>
      </c>
      <c r="H356" s="5" t="n">
        <v>23045807000</v>
      </c>
      <c r="I356" s="5" t="n">
        <v>2964766000</v>
      </c>
      <c r="J356" s="4" t="n">
        <v>0.03269999846816063</v>
      </c>
      <c r="K356" s="4" t="n">
        <v>0.6426999568939209</v>
      </c>
      <c r="L356" s="4" t="n">
        <v>0.1727000027894974</v>
      </c>
      <c r="M356" t="inlineStr">
        <is>
          <t>김대연/김인규</t>
        </is>
      </c>
      <c r="N356" t="inlineStr">
        <is>
          <t>02-581-7888</t>
        </is>
      </c>
      <c r="O356" t="inlineStr">
        <is>
          <t>02-583-6270</t>
        </is>
      </c>
      <c r="P356" s="3">
        <f>HYPERLINK("http://www.kangnamds.co.kr", "http://www.kangnamds.co.kr")</f>
        <v/>
      </c>
      <c r="Q356" t="inlineStr">
        <is>
          <t>2148615862</t>
        </is>
      </c>
      <c r="R356" t="inlineStr">
        <is>
          <t>1101111407968</t>
        </is>
      </c>
      <c r="S356" t="inlineStr">
        <is>
          <t>대상아님</t>
        </is>
      </c>
      <c r="T356" t="inlineStr">
        <is>
          <t>일반법인</t>
        </is>
      </c>
      <c r="U356" t="inlineStr">
        <is>
          <t>중소기업</t>
        </is>
      </c>
      <c r="V356" t="inlineStr">
        <is>
          <t>외부감사대상</t>
        </is>
      </c>
      <c r="W356" s="6" t="inlineStr">
        <is>
          <t>1997-04-25</t>
        </is>
      </c>
      <c r="X356" t="inlineStr">
        <is>
          <t>KRI:10P8550100</t>
        </is>
      </c>
      <c r="Y356" t="inlineStr">
        <is>
          <t>일반 교과 학원</t>
        </is>
      </c>
      <c r="Z356" t="inlineStr">
        <is>
          <t>입시전문학원</t>
        </is>
      </c>
      <c r="AA356" t="inlineStr">
        <is>
          <t>서울 강남구 역삼동 827-15번지 강남대성빌딩</t>
        </is>
      </c>
      <c r="AB356" t="inlineStr">
        <is>
          <t>서울 강남구 테헤란로4길 39 (역삼동,강남대성빌딩)</t>
        </is>
      </c>
    </row>
    <row r="357" ht="19.2" customHeight="1" s="1">
      <c r="A357" t="inlineStr">
        <is>
          <t>NICE:161802</t>
        </is>
      </c>
      <c r="B357" t="inlineStr">
        <is>
          <t>콜텍</t>
        </is>
      </c>
      <c r="C357" s="5" t="n">
        <v>350252238000</v>
      </c>
      <c r="D357" s="5" t="n">
        <v>44222167000</v>
      </c>
      <c r="E357" s="5" t="n">
        <v>306030071000</v>
      </c>
      <c r="F357" s="5" t="n">
        <v>255475716000</v>
      </c>
      <c r="G357" s="5" t="n">
        <v>39423974000</v>
      </c>
      <c r="H357" s="5" t="n">
        <v>222879593000</v>
      </c>
      <c r="I357" s="5" t="n">
        <v>29244100000</v>
      </c>
      <c r="J357" s="4" t="n">
        <v>10.23419952392578</v>
      </c>
      <c r="K357" s="4" t="n">
        <v>0.1445000022649765</v>
      </c>
      <c r="L357" s="4" t="n">
        <v>0.1543000042438507</v>
      </c>
      <c r="M357" t="inlineStr">
        <is>
          <t>박영호/박형준</t>
        </is>
      </c>
      <c r="N357" t="inlineStr">
        <is>
          <t>02-3663-4342</t>
        </is>
      </c>
      <c r="O357" t="inlineStr">
        <is>
          <t>02-3663-4345</t>
        </is>
      </c>
      <c r="P357" s="3">
        <f>HYPERLINK("http://www.cortguitars.com", "http://www.cortguitars.com")</f>
        <v/>
      </c>
      <c r="Q357" t="inlineStr">
        <is>
          <t>1178100743</t>
        </is>
      </c>
      <c r="R357" t="inlineStr">
        <is>
          <t>1101110581151</t>
        </is>
      </c>
      <c r="S357" t="inlineStr">
        <is>
          <t>대상아님</t>
        </is>
      </c>
      <c r="T357" t="inlineStr">
        <is>
          <t>일반법인</t>
        </is>
      </c>
      <c r="U357" t="inlineStr">
        <is>
          <t>중견기업</t>
        </is>
      </c>
      <c r="V357" t="inlineStr">
        <is>
          <t>외부감사대상</t>
        </is>
      </c>
      <c r="W357" s="6" t="inlineStr">
        <is>
          <t>1988-07-01</t>
        </is>
      </c>
      <c r="X357" t="inlineStr">
        <is>
          <t>KRI:10G4646200</t>
        </is>
      </c>
      <c r="Y357" t="inlineStr">
        <is>
          <t>악기 도매업</t>
        </is>
      </c>
      <c r="Z357" t="inlineStr">
        <is>
          <t>악기 도소매/출판물 제조/부동산 임대</t>
        </is>
      </c>
      <c r="AA357" t="inlineStr">
        <is>
          <t>서울 강서구 등촌동 660번지</t>
        </is>
      </c>
      <c r="AB357" t="inlineStr">
        <is>
          <t>서울 강서구 화곡로61길 59</t>
        </is>
      </c>
    </row>
    <row r="358" s="1">
      <c r="A358" t="inlineStr">
        <is>
          <t>NICE:491607</t>
        </is>
      </c>
      <c r="B358" t="inlineStr">
        <is>
          <t>에이하나</t>
        </is>
      </c>
      <c r="C358" s="5" t="n">
        <v>222225731000</v>
      </c>
      <c r="D358" s="5" t="n">
        <v>125585747000</v>
      </c>
      <c r="E358" s="5" t="n">
        <v>96639984000</v>
      </c>
      <c r="F358" s="5" t="n">
        <v>152687473000</v>
      </c>
      <c r="G358" s="5" t="n">
        <v>27506052000</v>
      </c>
      <c r="H358" s="5" t="n">
        <v>200897205000</v>
      </c>
      <c r="I358" s="5" t="n">
        <v>6533453000</v>
      </c>
      <c r="J358" s="4" t="n">
        <v>0.7551999688148499</v>
      </c>
      <c r="K358" s="4" t="n">
        <v>1.299499988555908</v>
      </c>
      <c r="L358" s="4" t="n">
        <v>0.1800999939441681</v>
      </c>
      <c r="M358" t="inlineStr">
        <is>
          <t>유현승</t>
        </is>
      </c>
      <c r="N358" t="inlineStr">
        <is>
          <t>02-550-8300</t>
        </is>
      </c>
      <c r="O358" t="inlineStr">
        <is>
          <t>02-550-8778</t>
        </is>
      </c>
      <c r="P358">
        <f>HYPERLINK("http://www.cgbio.co.kr", "http://www.cgbio.co.kr")</f>
        <v/>
      </c>
      <c r="Q358" t="inlineStr">
        <is>
          <t>1298193513</t>
        </is>
      </c>
      <c r="R358" t="inlineStr">
        <is>
          <t>1311110156488</t>
        </is>
      </c>
      <c r="S358" t="inlineStr">
        <is>
          <t>대상아님</t>
        </is>
      </c>
      <c r="T358" t="inlineStr">
        <is>
          <t>일반법인</t>
        </is>
      </c>
      <c r="U358" t="inlineStr">
        <is>
          <t>중견기업</t>
        </is>
      </c>
      <c r="V358" t="inlineStr">
        <is>
          <t>외부감사대상</t>
        </is>
      </c>
      <c r="W358" s="6" t="inlineStr">
        <is>
          <t>2006-01-18</t>
        </is>
      </c>
      <c r="X358" t="inlineStr">
        <is>
          <t>KRI:10C2130000</t>
        </is>
      </c>
      <c r="Y358" t="inlineStr">
        <is>
          <t>의료용품 및 기타 의약 관련제품 제조업</t>
        </is>
      </c>
      <c r="Z358" t="inlineStr">
        <is>
          <t>조직가공처리,의료용기기 제조,판매</t>
        </is>
      </c>
      <c r="AA358" t="inlineStr">
        <is>
          <t>서울 성동구 성수동1가 13-277번지 시지빌딩 7층</t>
        </is>
      </c>
      <c r="AB358" t="inlineStr">
        <is>
          <t>서울 성동구 상원12길 1, 7층 (성수동1가,시지빌딩)</t>
        </is>
      </c>
    </row>
    <row r="359" ht="19.2" customHeight="1" s="1">
      <c r="A359" t="inlineStr">
        <is>
          <t>NICE:HQ8788</t>
        </is>
      </c>
      <c r="B359" t="inlineStr">
        <is>
          <t>고려대학교세종산학협력단</t>
        </is>
      </c>
      <c r="C359" s="5" t="n">
        <v>32022766000</v>
      </c>
      <c r="D359" s="5" t="n">
        <v>14150387000</v>
      </c>
      <c r="E359" s="5" t="n">
        <v>17872379000</v>
      </c>
      <c r="F359" s="5" t="n">
        <v>61854880000</v>
      </c>
      <c r="G359" s="5" t="n">
        <v>6896895000</v>
      </c>
      <c r="H359" s="5" t="n">
        <v>53686698000</v>
      </c>
      <c r="I359" s="5" t="n">
        <v>1867266000</v>
      </c>
      <c r="J359" s="4" t="n">
        <v>1.398599982261658</v>
      </c>
      <c r="K359" s="4" t="n">
        <v>0.7916999459266663</v>
      </c>
      <c r="L359" s="4" t="n">
        <v>0.1114999949932098</v>
      </c>
      <c r="M359" t="inlineStr">
        <is>
          <t>최두호</t>
        </is>
      </c>
      <c r="N359" t="inlineStr">
        <is>
          <t>044-860-1700</t>
        </is>
      </c>
      <c r="O359" t="inlineStr">
        <is>
          <t>044-860-1717</t>
        </is>
      </c>
      <c r="P359" s="3">
        <f>HYPERLINK("https://innovation.korea.ac.kr/", "https://innovation.korea.ac.kr/")</f>
        <v/>
      </c>
      <c r="Q359" t="inlineStr">
        <is>
          <t>6308200092</t>
        </is>
      </c>
      <c r="R359" t="inlineStr">
        <is>
          <t>1647710006826</t>
        </is>
      </c>
      <c r="S359" t="inlineStr">
        <is>
          <t>대상아님</t>
        </is>
      </c>
      <c r="T359" t="inlineStr">
        <is>
          <t>비영리법인</t>
        </is>
      </c>
      <c r="U359" t="inlineStr">
        <is>
          <t>대상아님</t>
        </is>
      </c>
      <c r="V359" t="inlineStr">
        <is>
          <t>외부감사비대상</t>
        </is>
      </c>
      <c r="W359" s="6" t="inlineStr">
        <is>
          <t>2016-06-01</t>
        </is>
      </c>
      <c r="X359" t="inlineStr">
        <is>
          <t>KRI:10M7160000</t>
        </is>
      </c>
      <c r="Y359" t="inlineStr">
        <is>
          <t>기타 전문 서비스업</t>
        </is>
      </c>
      <c r="Z359" t="inlineStr">
        <is>
          <t>연구용역/부동산 임대/산학협력업무</t>
        </is>
      </c>
      <c r="AA359" t="inlineStr">
        <is>
          <t>세종 조치원읍 서창리 208번지 고려대학교 세종캠퍼스</t>
        </is>
      </c>
      <c r="AB359" t="inlineStr">
        <is>
          <t>세종 조치원읍 세종로 2511 (서창리,고려대학교 세종캠퍼스)</t>
        </is>
      </c>
    </row>
    <row r="360" ht="19.2" customHeight="1" s="1">
      <c r="A360" t="inlineStr">
        <is>
          <t>NICE:362379</t>
        </is>
      </c>
      <c r="B360" t="inlineStr">
        <is>
          <t>팔마</t>
        </is>
      </c>
      <c r="C360" s="5" t="n">
        <v>19184297000</v>
      </c>
      <c r="D360" s="5" t="n">
        <v>6831595000</v>
      </c>
      <c r="E360" s="5" t="n">
        <v>12352701000</v>
      </c>
      <c r="F360" s="5" t="n">
        <v>26051027000</v>
      </c>
      <c r="G360" s="5" t="n">
        <v>2911739000</v>
      </c>
      <c r="H360" s="5" t="n">
        <v>20019562000</v>
      </c>
      <c r="I360" s="5" t="n">
        <v>1346458000</v>
      </c>
      <c r="J360" s="4" t="n">
        <v>2.134399890899658</v>
      </c>
      <c r="K360" s="4" t="n">
        <v>0.5529999732971191</v>
      </c>
      <c r="L360" s="4" t="n">
        <v>0.1118000000715256</v>
      </c>
      <c r="M360" t="inlineStr">
        <is>
          <t>김병균/육진호/육경우</t>
        </is>
      </c>
      <c r="N360" t="inlineStr">
        <is>
          <t>063-262-6801-3</t>
        </is>
      </c>
      <c r="O360" t="inlineStr">
        <is>
          <t>063-262-6804</t>
        </is>
      </c>
      <c r="P360" s="3">
        <f>HYPERLINK("http://www.palmas.co.kr", "http://www.palmas.co.kr")</f>
        <v/>
      </c>
      <c r="Q360" t="inlineStr">
        <is>
          <t>4028106174</t>
        </is>
      </c>
      <c r="R360" t="inlineStr">
        <is>
          <t>2101110005598</t>
        </is>
      </c>
      <c r="S360" t="inlineStr">
        <is>
          <t>대상아님</t>
        </is>
      </c>
      <c r="T360" t="inlineStr">
        <is>
          <t>일반법인</t>
        </is>
      </c>
      <c r="U360" t="inlineStr">
        <is>
          <t>중소기업</t>
        </is>
      </c>
      <c r="V360" t="inlineStr">
        <is>
          <t>외부감사대상</t>
        </is>
      </c>
      <c r="W360" s="6" t="inlineStr">
        <is>
          <t>1986-08-12</t>
        </is>
      </c>
      <c r="X360" t="inlineStr">
        <is>
          <t>KRI:10C2332500</t>
        </is>
      </c>
      <c r="Y360" t="inlineStr">
        <is>
          <t>콘크리트 관 및 기타 구조용 콘크리트 제품 제조업</t>
        </is>
      </c>
      <c r="Z360" t="inlineStr">
        <is>
          <t>콘크리트 관,제품,레미콘 제조</t>
        </is>
      </c>
      <c r="AA360" t="inlineStr">
        <is>
          <t>전북 완주군 봉동읍 장구리 43-1번지</t>
        </is>
      </c>
      <c r="AB360" t="inlineStr">
        <is>
          <t>전북 완주군 봉동읍 봉동로 678-74</t>
        </is>
      </c>
    </row>
    <row r="361" ht="19.2" customHeight="1" s="1">
      <c r="A361" t="inlineStr">
        <is>
          <t>NICE:790150</t>
        </is>
      </c>
      <c r="B361" t="inlineStr">
        <is>
          <t>켐허브탱크터미널</t>
        </is>
      </c>
      <c r="C361" s="5" t="n">
        <v>84428347000</v>
      </c>
      <c r="D361" s="5" t="n">
        <v>3242237000</v>
      </c>
      <c r="E361" s="5" t="n">
        <v>81186110000</v>
      </c>
      <c r="F361" s="5" t="n">
        <v>25311828000</v>
      </c>
      <c r="G361" s="5" t="n">
        <v>7805103000</v>
      </c>
      <c r="H361" s="5" t="n">
        <v>25386655000</v>
      </c>
      <c r="I361" s="5" t="n">
        <v>6976759000</v>
      </c>
      <c r="J361" s="4" t="n">
        <v>20.65449905395508</v>
      </c>
      <c r="K361" s="4" t="n">
        <v>0.03989999741315842</v>
      </c>
      <c r="L361" s="4" t="n">
        <v>0.3084000051021576</v>
      </c>
      <c r="M361" t="inlineStr">
        <is>
          <t>이진행</t>
        </is>
      </c>
      <c r="N361" t="inlineStr">
        <is>
          <t>02-3275-9946</t>
        </is>
      </c>
      <c r="O361" t="inlineStr">
        <is>
          <t>02-3275-9999</t>
        </is>
      </c>
      <c r="P361" s="3">
        <f>HYPERLINK("http://www.vopak.co.kr", "http://www.vopak.co.kr")</f>
        <v/>
      </c>
      <c r="Q361" t="inlineStr">
        <is>
          <t>1068151067</t>
        </is>
      </c>
      <c r="R361" t="inlineStr">
        <is>
          <t>1101110053374</t>
        </is>
      </c>
      <c r="S361" t="inlineStr">
        <is>
          <t>대상아님</t>
        </is>
      </c>
      <c r="T361" t="inlineStr">
        <is>
          <t>일반법인</t>
        </is>
      </c>
      <c r="U361" t="inlineStr">
        <is>
          <t>중소기업</t>
        </is>
      </c>
      <c r="V361" t="inlineStr">
        <is>
          <t>외부감사대상</t>
        </is>
      </c>
      <c r="W361" s="6" t="inlineStr">
        <is>
          <t>1970-12-11</t>
        </is>
      </c>
      <c r="X361" t="inlineStr">
        <is>
          <t>KRI:10H4950000</t>
        </is>
      </c>
      <c r="Y361" t="inlineStr">
        <is>
          <t>파이프라인 운송업</t>
        </is>
      </c>
      <c r="Z361" t="inlineStr">
        <is>
          <t>액체화학물 운송,보관,창고/화학물질 저장용탱크 임대</t>
        </is>
      </c>
      <c r="AA361" t="inlineStr">
        <is>
          <t>서울 종로구 인사동 194-4번지 하나로빌딩 3층</t>
        </is>
      </c>
      <c r="AB361" t="inlineStr">
        <is>
          <t>서울 종로구 인사동5길 25, 3층 (인사동,하나로빌딩)</t>
        </is>
      </c>
    </row>
    <row r="362" ht="19.2" customHeight="1" s="1">
      <c r="A362" t="inlineStr">
        <is>
          <t>NICE:910333</t>
        </is>
      </c>
      <c r="B362" t="inlineStr">
        <is>
          <t>서울레이크사이드</t>
        </is>
      </c>
      <c r="C362" s="5" t="n">
        <v>579143503000</v>
      </c>
      <c r="D362" s="5" t="n">
        <v>194646541000</v>
      </c>
      <c r="E362" s="5" t="n">
        <v>384496962000</v>
      </c>
      <c r="F362" s="5" t="n">
        <v>62140473000</v>
      </c>
      <c r="G362" s="5" t="n">
        <v>22095022000</v>
      </c>
      <c r="H362" s="5" t="n">
        <v>61300250000</v>
      </c>
      <c r="I362" s="5" t="n">
        <v>22062668000</v>
      </c>
      <c r="J362" s="4" t="n">
        <v>0.1674999892711639</v>
      </c>
      <c r="K362" s="4" t="n">
        <v>0.5061999559402466</v>
      </c>
      <c r="L362" s="4" t="n">
        <v>0.3555999994277954</v>
      </c>
      <c r="M362" t="inlineStr">
        <is>
          <t>김성민</t>
        </is>
      </c>
      <c r="N362" t="inlineStr">
        <is>
          <t>031-334-2111</t>
        </is>
      </c>
      <c r="O362" t="inlineStr">
        <is>
          <t>031-332-2106</t>
        </is>
      </c>
      <c r="P362" s="3">
        <f>HYPERLINK("http://www.lakeside.kr", "http://www.lakeside.kr")</f>
        <v/>
      </c>
      <c r="Q362" t="inlineStr">
        <is>
          <t>1358102491</t>
        </is>
      </c>
      <c r="R362" t="inlineStr">
        <is>
          <t>1101110504070</t>
        </is>
      </c>
      <c r="S362" t="inlineStr">
        <is>
          <t>대상아님</t>
        </is>
      </c>
      <c r="T362" t="inlineStr">
        <is>
          <t>일반법인</t>
        </is>
      </c>
      <c r="U362" t="inlineStr">
        <is>
          <t>대기업</t>
        </is>
      </c>
      <c r="V362" t="inlineStr">
        <is>
          <t>외부감사대상</t>
        </is>
      </c>
      <c r="W362" s="6" t="inlineStr">
        <is>
          <t>1986-08-22</t>
        </is>
      </c>
      <c r="X362" t="inlineStr">
        <is>
          <t>KRI:10R9112100</t>
        </is>
      </c>
      <c r="Y362" t="inlineStr">
        <is>
          <t>골프장 운영업</t>
        </is>
      </c>
      <c r="Z362" t="inlineStr">
        <is>
          <t>골프장 운영</t>
        </is>
      </c>
      <c r="AA362" t="inlineStr">
        <is>
          <t>경기 용인시 처인구 모현읍 능원리 산5-12번지</t>
        </is>
      </c>
      <c r="AB362" t="inlineStr">
        <is>
          <t>경기 용인시 처인구 모현읍 능원로 181</t>
        </is>
      </c>
    </row>
    <row r="363" ht="19.2" customHeight="1" s="1">
      <c r="A363" t="inlineStr">
        <is>
          <t>NICE:HD1104</t>
        </is>
      </c>
      <c r="B363" t="inlineStr">
        <is>
          <t>하와이안에어라인스인크</t>
        </is>
      </c>
      <c r="C363" s="5" t="n">
        <v>859158000</v>
      </c>
      <c r="D363" s="5" t="n">
        <v>751764000</v>
      </c>
      <c r="E363" s="5" t="n">
        <v>107394000</v>
      </c>
      <c r="F363" s="5" t="n">
        <v>49050330000</v>
      </c>
      <c r="G363" s="5" t="n">
        <v>25679734000</v>
      </c>
      <c r="H363" s="5" t="n">
        <v>42314280000</v>
      </c>
      <c r="I363" s="5" t="n">
        <v>18795499000</v>
      </c>
      <c r="J363" s="4" t="n">
        <v>1.074299931526184</v>
      </c>
      <c r="K363" s="4" t="n">
        <v>7.000100135803223</v>
      </c>
      <c r="L363" s="4" t="n">
        <v>0.5234999656677246</v>
      </c>
      <c r="M363" t="inlineStr">
        <is>
          <t>미합중국인 피터인그램</t>
        </is>
      </c>
      <c r="N363" t="inlineStr">
        <is>
          <t>02-775-5777</t>
        </is>
      </c>
      <c r="P363" s="3" t="n"/>
      <c r="Q363" t="inlineStr">
        <is>
          <t>1048407815</t>
        </is>
      </c>
      <c r="R363" t="inlineStr">
        <is>
          <t>1101810050117</t>
        </is>
      </c>
      <c r="S363" t="inlineStr">
        <is>
          <t>대상아님</t>
        </is>
      </c>
      <c r="T363" t="inlineStr">
        <is>
          <t>일반법인</t>
        </is>
      </c>
      <c r="U363" t="inlineStr">
        <is>
          <t>중소기업</t>
        </is>
      </c>
      <c r="V363" t="inlineStr">
        <is>
          <t>외부감사비대상</t>
        </is>
      </c>
      <c r="W363" s="6" t="inlineStr">
        <is>
          <t>2005-06-02</t>
        </is>
      </c>
      <c r="X363" t="inlineStr">
        <is>
          <t>KRI:10H5110000</t>
        </is>
      </c>
      <c r="Y363" t="inlineStr">
        <is>
          <t>항공 여객 운송업</t>
        </is>
      </c>
      <c r="Z363" t="inlineStr">
        <is>
          <t>국제항공운송,전자상거래업</t>
        </is>
      </c>
      <c r="AA363" t="inlineStr">
        <is>
          <t>서울 중구 을지로2가 198번지 을지한국빌딩 18층</t>
        </is>
      </c>
      <c r="AB363" t="inlineStr">
        <is>
          <t>서울 중구 을지로 50, 18층 (을지로2가,을지 한국빌딩)</t>
        </is>
      </c>
    </row>
    <row r="364" s="1">
      <c r="A364" t="inlineStr">
        <is>
          <t>NICE:516924</t>
        </is>
      </c>
      <c r="B364" t="inlineStr">
        <is>
          <t>사조시스템즈</t>
        </is>
      </c>
      <c r="C364" s="5" t="n">
        <v>307677461000</v>
      </c>
      <c r="D364" s="5" t="n">
        <v>150171769000</v>
      </c>
      <c r="E364" s="5" t="n">
        <v>157505692000</v>
      </c>
      <c r="F364" s="5" t="n">
        <v>20509078000</v>
      </c>
      <c r="G364" s="5" t="n">
        <v>6682648000</v>
      </c>
      <c r="H364" s="5" t="n">
        <v>26196415000</v>
      </c>
      <c r="I364" s="5" t="n">
        <v>5442671000</v>
      </c>
      <c r="J364" s="4" t="n">
        <v>0.03880000114440918</v>
      </c>
      <c r="K364" s="4" t="n">
        <v>0.9533999562263489</v>
      </c>
      <c r="L364" s="4" t="n">
        <v>0.3258000016212463</v>
      </c>
      <c r="M364" t="inlineStr">
        <is>
          <t>이인우</t>
        </is>
      </c>
      <c r="N364" t="inlineStr">
        <is>
          <t>02-3149-5700</t>
        </is>
      </c>
      <c r="O364" t="inlineStr">
        <is>
          <t>02-365-7226</t>
        </is>
      </c>
      <c r="P364">
        <f>HYPERLINK("http://sajosys.com", "http://sajosys.com")</f>
        <v/>
      </c>
      <c r="Q364" t="inlineStr">
        <is>
          <t>2128121816</t>
        </is>
      </c>
      <c r="R364" t="inlineStr">
        <is>
          <t>1101110335178</t>
        </is>
      </c>
      <c r="S364" t="inlineStr">
        <is>
          <t>대상아님</t>
        </is>
      </c>
      <c r="T364" t="inlineStr">
        <is>
          <t>일반법인</t>
        </is>
      </c>
      <c r="U364" t="inlineStr">
        <is>
          <t>중견기업</t>
        </is>
      </c>
      <c r="V364" t="inlineStr">
        <is>
          <t>외부감사대상</t>
        </is>
      </c>
      <c r="W364" s="6" t="inlineStr">
        <is>
          <t>1982-10-14</t>
        </is>
      </c>
      <c r="X364" t="inlineStr">
        <is>
          <t>KRI:10L6811200</t>
        </is>
      </c>
      <c r="Y364" t="inlineStr">
        <is>
          <t>비주거용 건물 임대업</t>
        </is>
      </c>
      <c r="Z364" t="inlineStr">
        <is>
          <t>부동산 임대/경비,전산통합업무 용역</t>
        </is>
      </c>
      <c r="AA364" t="inlineStr">
        <is>
          <t>서울 서대문구 충정로2가 157번지</t>
        </is>
      </c>
      <c r="AB364" t="inlineStr">
        <is>
          <t>서울 서대문구 통일로 107-39</t>
        </is>
      </c>
    </row>
    <row r="365" s="1">
      <c r="A365" t="inlineStr">
        <is>
          <t>NICE:C40385</t>
        </is>
      </c>
      <c r="B365" t="inlineStr">
        <is>
          <t>고려기프트</t>
        </is>
      </c>
      <c r="C365" s="5" t="n">
        <v>70102927000</v>
      </c>
      <c r="D365" s="5" t="n">
        <v>16696304000</v>
      </c>
      <c r="E365" s="5" t="n">
        <v>53406623000</v>
      </c>
      <c r="F365" s="5" t="n">
        <v>30800651000</v>
      </c>
      <c r="G365" s="5" t="n">
        <v>11809805000</v>
      </c>
      <c r="H365" s="5" t="n">
        <v>28137813000</v>
      </c>
      <c r="I365" s="5" t="n">
        <v>10273845000</v>
      </c>
      <c r="J365" s="4" t="n">
        <v>3.211400032043457</v>
      </c>
      <c r="K365" s="4" t="n">
        <v>0.3125999867916107</v>
      </c>
      <c r="L365" s="4" t="n">
        <v>0.3833999931812286</v>
      </c>
      <c r="M365" t="inlineStr">
        <is>
          <t>김금숙/이흥원</t>
        </is>
      </c>
      <c r="N365" t="inlineStr">
        <is>
          <t>02-956-6700</t>
        </is>
      </c>
      <c r="O365" t="inlineStr">
        <is>
          <t>02-956-0330</t>
        </is>
      </c>
      <c r="P365">
        <f>HYPERLINK("http://www.koreagift.com", "http://www.koreagift.com")</f>
        <v/>
      </c>
      <c r="Q365" t="inlineStr">
        <is>
          <t>2108160114</t>
        </is>
      </c>
      <c r="R365" t="inlineStr">
        <is>
          <t>1101113820001</t>
        </is>
      </c>
      <c r="S365" t="inlineStr">
        <is>
          <t>대상아님</t>
        </is>
      </c>
      <c r="T365" t="inlineStr">
        <is>
          <t>일반법인</t>
        </is>
      </c>
      <c r="U365" t="inlineStr">
        <is>
          <t>중소기업</t>
        </is>
      </c>
      <c r="V365" t="inlineStr">
        <is>
          <t>외부감사대상</t>
        </is>
      </c>
      <c r="W365" s="6" t="inlineStr">
        <is>
          <t>2008-01-09</t>
        </is>
      </c>
      <c r="X365" t="inlineStr">
        <is>
          <t>KRI:10G4679900</t>
        </is>
      </c>
      <c r="Y365" t="inlineStr">
        <is>
          <t>그 외 기타 상품 전문 도매업</t>
        </is>
      </c>
      <c r="Z365" t="inlineStr">
        <is>
          <t>판촉물 도소매,무역,제조</t>
        </is>
      </c>
      <c r="AA365" t="inlineStr">
        <is>
          <t>서울 도봉구 도봉동 352-3번지</t>
        </is>
      </c>
      <c r="AB365" t="inlineStr">
        <is>
          <t>서울 도봉구 도봉로191가길 8</t>
        </is>
      </c>
    </row>
    <row r="366" ht="19.2" customHeight="1" s="1">
      <c r="A366" t="inlineStr">
        <is>
          <t>NICE:536579</t>
        </is>
      </c>
      <c r="B366" t="inlineStr">
        <is>
          <t>쉐프스푸드</t>
        </is>
      </c>
      <c r="C366" s="5" t="n">
        <v>44232606000</v>
      </c>
      <c r="D366" s="5" t="n">
        <v>7599617000</v>
      </c>
      <c r="E366" s="5" t="n">
        <v>36632989000</v>
      </c>
      <c r="F366" s="5" t="n">
        <v>50201406000</v>
      </c>
      <c r="G366" s="5" t="n">
        <v>8020970000</v>
      </c>
      <c r="H366" s="5" t="n">
        <v>41173501000</v>
      </c>
      <c r="I366" s="5" t="n">
        <v>7043743000</v>
      </c>
      <c r="J366" s="4" t="n">
        <v>4.915599822998047</v>
      </c>
      <c r="K366" s="4" t="n">
        <v>0.2074999958276749</v>
      </c>
      <c r="L366" s="4" t="n">
        <v>0.1597999930381775</v>
      </c>
      <c r="M366" t="inlineStr">
        <is>
          <t>김남경</t>
        </is>
      </c>
      <c r="N366" t="inlineStr">
        <is>
          <t>02-529-4134</t>
        </is>
      </c>
      <c r="O366" t="inlineStr">
        <is>
          <t>02-529-4132</t>
        </is>
      </c>
      <c r="P366" s="3">
        <f>HYPERLINK("http://www.chefs.co.kr", "http://www.chefs.co.kr")</f>
        <v/>
      </c>
      <c r="Q366" t="inlineStr">
        <is>
          <t>1298177565</t>
        </is>
      </c>
      <c r="R366" t="inlineStr">
        <is>
          <t>1311110125772</t>
        </is>
      </c>
      <c r="S366" t="inlineStr">
        <is>
          <t>대상아님</t>
        </is>
      </c>
      <c r="T366" t="inlineStr">
        <is>
          <t>일반법인</t>
        </is>
      </c>
      <c r="U366" t="inlineStr">
        <is>
          <t>중소기업</t>
        </is>
      </c>
      <c r="V366" t="inlineStr">
        <is>
          <t>외부감사대상</t>
        </is>
      </c>
      <c r="W366" s="6" t="inlineStr">
        <is>
          <t>2004-10-08</t>
        </is>
      </c>
      <c r="X366" t="inlineStr">
        <is>
          <t>KRI:10G4632900</t>
        </is>
      </c>
      <c r="Y366" t="inlineStr">
        <is>
          <t>기타 가공식품 도매업</t>
        </is>
      </c>
      <c r="Z366" t="inlineStr">
        <is>
          <t>식품 도소매,무역,전자상거래</t>
        </is>
      </c>
      <c r="AA366" t="inlineStr">
        <is>
          <t>서울 성동구 성수동2가 309-148번지 협성빌딩 202호</t>
        </is>
      </c>
      <c r="AB366" t="inlineStr">
        <is>
          <t>서울 성동구 성수이로 65, 202호 (성수동2가,협성빌딩)</t>
        </is>
      </c>
    </row>
    <row r="367" ht="19.2" customHeight="1" s="1">
      <c r="A367" t="inlineStr">
        <is>
          <t>NICE:G78597</t>
        </is>
      </c>
      <c r="B367" t="inlineStr">
        <is>
          <t>태영티에스</t>
        </is>
      </c>
      <c r="C367" s="5" t="n">
        <v>39893214000</v>
      </c>
      <c r="D367" s="5" t="n">
        <v>20922435000</v>
      </c>
      <c r="E367" s="5" t="n">
        <v>18970779000</v>
      </c>
      <c r="F367" s="5" t="n">
        <v>41834116000</v>
      </c>
      <c r="G367" s="5" t="n">
        <v>6827499000</v>
      </c>
      <c r="H367" s="5" t="n">
        <v>36624604000</v>
      </c>
      <c r="I367" s="5" t="n">
        <v>3120979000</v>
      </c>
      <c r="J367" s="4" t="n">
        <v>2.648499965667725</v>
      </c>
      <c r="K367" s="4" t="n">
        <v>1.10290002822876</v>
      </c>
      <c r="L367" s="4" t="n">
        <v>0.1631999909877777</v>
      </c>
      <c r="M367" t="inlineStr">
        <is>
          <t>김춘규</t>
        </is>
      </c>
      <c r="N367" t="inlineStr">
        <is>
          <t>031-274-6450</t>
        </is>
      </c>
      <c r="O367" t="inlineStr">
        <is>
          <t>031-274-6420</t>
        </is>
      </c>
      <c r="P367" s="3">
        <f>HYPERLINK("https://www.tyts.kr/", "https://www.tyts.kr/")</f>
        <v/>
      </c>
      <c r="Q367" t="inlineStr">
        <is>
          <t>1358605004</t>
        </is>
      </c>
      <c r="R367" t="inlineStr">
        <is>
          <t>1358110171793</t>
        </is>
      </c>
      <c r="S367" t="inlineStr">
        <is>
          <t>대상아님</t>
        </is>
      </c>
      <c r="T367" t="inlineStr">
        <is>
          <t>일반법인</t>
        </is>
      </c>
      <c r="U367" t="inlineStr">
        <is>
          <t>중소기업</t>
        </is>
      </c>
      <c r="V367" t="inlineStr">
        <is>
          <t>외부감사대상</t>
        </is>
      </c>
      <c r="W367" s="6" t="inlineStr">
        <is>
          <t>2009-10-08</t>
        </is>
      </c>
      <c r="X367" t="inlineStr">
        <is>
          <t>KRI:10N7410000</t>
        </is>
      </c>
      <c r="Y367" t="inlineStr">
        <is>
          <t>사업시설 유지ㆍ관리 서비스업</t>
        </is>
      </c>
      <c r="Z367" t="inlineStr">
        <is>
          <t>사업시설 유지관리/콜센터,텔레마케팅</t>
        </is>
      </c>
      <c r="AA367" t="inlineStr">
        <is>
          <t>경기 용인시 처인구 양지읍 송문리 372-15번지</t>
        </is>
      </c>
      <c r="AB367" t="inlineStr">
        <is>
          <t>경기 용인시 처인구 양지읍 반정로 46-5</t>
        </is>
      </c>
    </row>
    <row r="368" ht="19.2" customHeight="1" s="1">
      <c r="A368" t="inlineStr">
        <is>
          <t>NICE:141074</t>
        </is>
      </c>
      <c r="B368" t="inlineStr">
        <is>
          <t>농업회사법인영양에프앤에스</t>
        </is>
      </c>
      <c r="C368" s="5" t="n">
        <v>16381631000</v>
      </c>
      <c r="D368" s="5" t="n">
        <v>3294950000</v>
      </c>
      <c r="E368" s="5" t="n">
        <v>13086681000</v>
      </c>
      <c r="F368" s="5" t="n">
        <v>23080856000</v>
      </c>
      <c r="G368" s="5" t="n">
        <v>4114457000</v>
      </c>
      <c r="H368" s="5" t="n">
        <v>19781671000</v>
      </c>
      <c r="I368" s="5" t="n">
        <v>1450869000</v>
      </c>
      <c r="J368" s="4" t="n">
        <v>7.321099758148193</v>
      </c>
      <c r="K368" s="4" t="n">
        <v>0.251800000667572</v>
      </c>
      <c r="L368" s="4" t="n">
        <v>0.1782999932765961</v>
      </c>
      <c r="M368" t="inlineStr">
        <is>
          <t>이동환</t>
        </is>
      </c>
      <c r="N368" t="inlineStr">
        <is>
          <t>031-637-0088</t>
        </is>
      </c>
      <c r="O368" t="inlineStr">
        <is>
          <t>031-637-0087</t>
        </is>
      </c>
      <c r="P368" s="3">
        <f>HYPERLINK("http://www.sunvillage.co.kr", "http://www.sunvillage.co.kr")</f>
        <v/>
      </c>
      <c r="Q368" t="inlineStr">
        <is>
          <t>2298135787</t>
        </is>
      </c>
      <c r="R368" t="inlineStr">
        <is>
          <t>1101111636731</t>
        </is>
      </c>
      <c r="S368" t="inlineStr">
        <is>
          <t>대상아님</t>
        </is>
      </c>
      <c r="T368" t="inlineStr">
        <is>
          <t>일반법인</t>
        </is>
      </c>
      <c r="U368" t="inlineStr">
        <is>
          <t>중소기업</t>
        </is>
      </c>
      <c r="V368" t="inlineStr">
        <is>
          <t>외부감사대상</t>
        </is>
      </c>
      <c r="W368" s="6" t="inlineStr">
        <is>
          <t>1999-01-19</t>
        </is>
      </c>
      <c r="X368" t="inlineStr">
        <is>
          <t>KRI:10G4721800</t>
        </is>
      </c>
      <c r="Y368" t="inlineStr">
        <is>
          <t>조리 반찬류 소매업</t>
        </is>
      </c>
      <c r="Z368" t="inlineStr">
        <is>
          <t>농산물,농산물가공,일반공산품</t>
        </is>
      </c>
      <c r="AA368" t="inlineStr">
        <is>
          <t>경기 이천시 신둔면 마교리 151-5번지</t>
        </is>
      </c>
      <c r="AB368" t="inlineStr">
        <is>
          <t>경기 이천시 신둔면 경충대로3233번길 203-11</t>
        </is>
      </c>
    </row>
    <row r="369" s="1">
      <c r="A369" t="inlineStr">
        <is>
          <t>NICE:HH2341</t>
        </is>
      </c>
      <c r="B369" t="inlineStr">
        <is>
          <t>360퍼스펙티브</t>
        </is>
      </c>
      <c r="C369" s="5" t="n">
        <v>75893226000</v>
      </c>
      <c r="D369" s="5" t="n">
        <v>43233681000</v>
      </c>
      <c r="E369" s="5" t="n">
        <v>32659545000</v>
      </c>
      <c r="F369" s="5" t="n">
        <v>20697315000</v>
      </c>
      <c r="G369" s="5" t="n">
        <v>4735243000</v>
      </c>
      <c r="H369" s="5" t="n">
        <v>21559412000</v>
      </c>
      <c r="I369" s="5" t="n">
        <v>7050163000</v>
      </c>
      <c r="J369" s="4" t="n">
        <v>0.8634999394416809</v>
      </c>
      <c r="K369" s="4" t="n">
        <v>1.323799967765808</v>
      </c>
      <c r="L369" s="4" t="n">
        <v>0.2287999838590622</v>
      </c>
      <c r="M369" t="inlineStr">
        <is>
          <t>오영주</t>
        </is>
      </c>
      <c r="N369" t="inlineStr">
        <is>
          <t>070-4603-2360</t>
        </is>
      </c>
      <c r="O369" t="inlineStr">
        <is>
          <t>02-60081-3601</t>
        </is>
      </c>
      <c r="P369">
        <f>HYPERLINK("http://www.360per.com", "http://www.360per.com")</f>
        <v/>
      </c>
      <c r="Q369" t="inlineStr">
        <is>
          <t>1858700127</t>
        </is>
      </c>
      <c r="R369" t="inlineStr">
        <is>
          <t>1101115783877</t>
        </is>
      </c>
      <c r="S369" t="inlineStr">
        <is>
          <t>대상아님</t>
        </is>
      </c>
      <c r="T369" t="inlineStr">
        <is>
          <t>일반법인</t>
        </is>
      </c>
      <c r="U369" t="inlineStr">
        <is>
          <t>중소기업</t>
        </is>
      </c>
      <c r="V369" t="inlineStr">
        <is>
          <t>외부감사대상</t>
        </is>
      </c>
      <c r="W369" s="6" t="inlineStr">
        <is>
          <t>2015-07-16</t>
        </is>
      </c>
      <c r="X369" t="inlineStr">
        <is>
          <t>KRI:10C2042300</t>
        </is>
      </c>
      <c r="Y369" t="inlineStr">
        <is>
          <t>화장품 제조업</t>
        </is>
      </c>
      <c r="Z369" t="inlineStr">
        <is>
          <t>화장품 제조,도소매/식품,잡화,의약부외품 도소매,전자상거래/비주거용건물 임대(점포,자기땅)</t>
        </is>
      </c>
      <c r="AA369" t="inlineStr">
        <is>
          <t>서울 강남구 신사동 628-23번지 몽디에스빌딩 5층</t>
        </is>
      </c>
      <c r="AB369" t="inlineStr">
        <is>
          <t>서울 강남구 언주로 807, 5층 (신사동,몽디에스빌딩)</t>
        </is>
      </c>
    </row>
    <row r="370" ht="19.2" customHeight="1" s="1">
      <c r="A370" t="inlineStr">
        <is>
          <t>NICE:999165</t>
        </is>
      </c>
      <c r="B370" t="inlineStr">
        <is>
          <t>대경벤드</t>
        </is>
      </c>
      <c r="C370" s="5" t="n">
        <v>108553440000</v>
      </c>
      <c r="D370" s="5" t="n">
        <v>71164393000</v>
      </c>
      <c r="E370" s="5" t="n">
        <v>37389048000</v>
      </c>
      <c r="F370" s="5" t="n">
        <v>48000347000</v>
      </c>
      <c r="G370" s="5" t="n">
        <v>6190858000</v>
      </c>
      <c r="H370" s="5" t="n">
        <v>57578283000</v>
      </c>
      <c r="I370" s="5" t="n">
        <v>8945481000</v>
      </c>
      <c r="J370" s="4" t="n">
        <v>0.4056000113487244</v>
      </c>
      <c r="K370" s="4" t="n">
        <v>1.903299927711487</v>
      </c>
      <c r="L370" s="4" t="n">
        <v>0.1289999932050705</v>
      </c>
      <c r="M370" t="inlineStr">
        <is>
          <t>김학철</t>
        </is>
      </c>
      <c r="N370" t="inlineStr">
        <is>
          <t>055-364-1800</t>
        </is>
      </c>
      <c r="O370" t="inlineStr">
        <is>
          <t>055-365-5570</t>
        </is>
      </c>
      <c r="P370" s="3">
        <f>HYPERLINK("http://www.daekyung21.com", "http://www.daekyung21.com")</f>
        <v/>
      </c>
      <c r="Q370" t="inlineStr">
        <is>
          <t>6068175098</t>
        </is>
      </c>
      <c r="R370" t="inlineStr">
        <is>
          <t>1801110410611</t>
        </is>
      </c>
      <c r="S370" t="inlineStr">
        <is>
          <t>대상아님</t>
        </is>
      </c>
      <c r="T370" t="inlineStr">
        <is>
          <t>일반법인</t>
        </is>
      </c>
      <c r="U370" t="inlineStr">
        <is>
          <t>중소기업</t>
        </is>
      </c>
      <c r="V370" t="inlineStr">
        <is>
          <t>외부감사대상</t>
        </is>
      </c>
      <c r="W370" s="6" t="inlineStr">
        <is>
          <t>1990-01-01</t>
        </is>
      </c>
      <c r="X370" t="inlineStr">
        <is>
          <t>KRI:10C2413200</t>
        </is>
      </c>
      <c r="Y370" t="inlineStr">
        <is>
          <t>강관 제조업</t>
        </is>
      </c>
      <c r="Z370" t="inlineStr">
        <is>
          <t>배관자재(강관) 제조,도매</t>
        </is>
      </c>
      <c r="AA370" t="inlineStr">
        <is>
          <t>경남 양산시 유산동 334-14번지</t>
        </is>
      </c>
      <c r="AB370" t="inlineStr">
        <is>
          <t>경남 양산시 어실로 115</t>
        </is>
      </c>
    </row>
    <row r="371" ht="19.2" customHeight="1" s="1">
      <c r="A371" t="inlineStr">
        <is>
          <t>NICE:214018</t>
        </is>
      </c>
      <c r="B371" t="inlineStr">
        <is>
          <t>대명수안</t>
        </is>
      </c>
      <c r="C371" s="5" t="n">
        <v>440354413000</v>
      </c>
      <c r="D371" s="5" t="n">
        <v>316485468000</v>
      </c>
      <c r="E371" s="5" t="n">
        <v>123868945000</v>
      </c>
      <c r="F371" s="5" t="n">
        <v>36835167000</v>
      </c>
      <c r="G371" s="5" t="n">
        <v>12681818000</v>
      </c>
      <c r="H371" s="5" t="n">
        <v>134825135000</v>
      </c>
      <c r="I371" s="5" t="n">
        <v>27834528000</v>
      </c>
      <c r="J371" s="4" t="n">
        <v>1.219099998474121</v>
      </c>
      <c r="K371" s="4" t="n">
        <v>2.554999828338623</v>
      </c>
      <c r="L371" s="4" t="n">
        <v>0.3443000018596649</v>
      </c>
      <c r="M371" t="inlineStr">
        <is>
          <t>홍성민</t>
        </is>
      </c>
      <c r="N371" t="inlineStr">
        <is>
          <t>02-2008-0857</t>
        </is>
      </c>
      <c r="O371" t="inlineStr">
        <is>
          <t>02-2008-0888</t>
        </is>
      </c>
      <c r="P371" s="3">
        <f>HYPERLINK("http://www.landmark.co.kr", "http://www.landmark.co.kr")</f>
        <v/>
      </c>
      <c r="Q371" t="inlineStr">
        <is>
          <t>1208641707</t>
        </is>
      </c>
      <c r="R371" t="inlineStr">
        <is>
          <t>1101110805519</t>
        </is>
      </c>
      <c r="S371" t="inlineStr">
        <is>
          <t>대상아님</t>
        </is>
      </c>
      <c r="T371" t="inlineStr">
        <is>
          <t>일반법인</t>
        </is>
      </c>
      <c r="U371" t="inlineStr">
        <is>
          <t>중소기업</t>
        </is>
      </c>
      <c r="V371" t="inlineStr">
        <is>
          <t>외부감사대상</t>
        </is>
      </c>
      <c r="W371" s="6" t="inlineStr">
        <is>
          <t>1991-09-18</t>
        </is>
      </c>
      <c r="X371" t="inlineStr">
        <is>
          <t>KRI:10F4111000</t>
        </is>
      </c>
      <c r="Y371" t="inlineStr">
        <is>
          <t>주거용 건물 건설업</t>
        </is>
      </c>
      <c r="Z371" t="inlineStr">
        <is>
          <t>주택신축공사,토목건축공사/장기주택 임대</t>
        </is>
      </c>
      <c r="AA371" t="inlineStr">
        <is>
          <t>서울 강남구 대치동 943번지</t>
        </is>
      </c>
      <c r="AB371" t="inlineStr">
        <is>
          <t>서울 강남구 테헤란로 510</t>
        </is>
      </c>
    </row>
    <row r="372" s="1">
      <c r="A372" t="inlineStr">
        <is>
          <t>NICE:287567</t>
        </is>
      </c>
      <c r="B372" t="inlineStr">
        <is>
          <t>에스지솔루션</t>
        </is>
      </c>
      <c r="C372" s="5" t="n">
        <v>66719381000</v>
      </c>
      <c r="D372" s="5" t="n">
        <v>42548931000</v>
      </c>
      <c r="E372" s="5" t="n">
        <v>24170450000</v>
      </c>
      <c r="F372" s="5" t="n">
        <v>58417901000</v>
      </c>
      <c r="G372" s="5" t="n">
        <v>6631431000</v>
      </c>
      <c r="H372" s="5" t="n">
        <v>38778773000</v>
      </c>
      <c r="I372" s="5" t="n">
        <v>4110302000</v>
      </c>
      <c r="J372" s="4" t="n">
        <v>1.158300042152405</v>
      </c>
      <c r="K372" s="4" t="n">
        <v>1.7603999376297</v>
      </c>
      <c r="L372" s="4" t="n">
        <v>0.1134999990463257</v>
      </c>
      <c r="M372" t="inlineStr">
        <is>
          <t>조정현</t>
        </is>
      </c>
      <c r="N372" t="inlineStr">
        <is>
          <t>055-719-3001</t>
        </is>
      </c>
      <c r="O372" t="inlineStr">
        <is>
          <t>055-719-3007</t>
        </is>
      </c>
      <c r="P372">
        <f>HYPERLINK("http://sgsolution.co.kr", "http://sgsolution.co.kr")</f>
        <v/>
      </c>
      <c r="Q372" t="inlineStr">
        <is>
          <t>6098151509</t>
        </is>
      </c>
      <c r="R372" t="inlineStr">
        <is>
          <t>1942110052275</t>
        </is>
      </c>
      <c r="S372" t="inlineStr">
        <is>
          <t>대상아님</t>
        </is>
      </c>
      <c r="T372" t="inlineStr">
        <is>
          <t>일반법인</t>
        </is>
      </c>
      <c r="U372" t="inlineStr">
        <is>
          <t>중소기업</t>
        </is>
      </c>
      <c r="V372" t="inlineStr">
        <is>
          <t>외부감사대상</t>
        </is>
      </c>
      <c r="W372" s="6" t="inlineStr">
        <is>
          <t>2002-01-16</t>
        </is>
      </c>
      <c r="X372" t="inlineStr">
        <is>
          <t>KRI:10C3033100</t>
        </is>
      </c>
      <c r="Y372" t="inlineStr">
        <is>
          <t>자동차용 신품 동력전달장치 제조업</t>
        </is>
      </c>
      <c r="Z372" t="inlineStr">
        <is>
          <t>시스템모듈동력전달장치,유압기기,기동장비류,에너지저장장치,전기회로 개폐,전기변환장치 제조</t>
        </is>
      </c>
      <c r="AA372" t="inlineStr">
        <is>
          <t>경남 창원시 성산구 성주동 88-2번지</t>
        </is>
      </c>
      <c r="AB372" t="inlineStr">
        <is>
          <t>경남 창원시 성산구 곰절길10번길 7</t>
        </is>
      </c>
    </row>
    <row r="373" s="1">
      <c r="A373" t="inlineStr">
        <is>
          <t>NICE:356778</t>
        </is>
      </c>
      <c r="B373" t="inlineStr">
        <is>
          <t>엘엑스엠엠에이</t>
        </is>
      </c>
      <c r="C373" s="5" t="n">
        <v>758496368000</v>
      </c>
      <c r="D373" s="5" t="n">
        <v>165866137000</v>
      </c>
      <c r="E373" s="5" t="n">
        <v>592630231000</v>
      </c>
      <c r="F373" s="5" t="n">
        <v>748580488000</v>
      </c>
      <c r="G373" s="5" t="n">
        <v>81135015000</v>
      </c>
      <c r="H373" s="5" t="n">
        <v>864366784000</v>
      </c>
      <c r="I373" s="5" t="n">
        <v>134499832000</v>
      </c>
      <c r="J373" s="4" t="n">
        <v>2.883099794387817</v>
      </c>
      <c r="K373" s="4" t="n">
        <v>0.2798999845981598</v>
      </c>
      <c r="L373" s="4" t="n">
        <v>0.1084000021219254</v>
      </c>
      <c r="M373" t="inlineStr">
        <is>
          <t>박종일/카타오카신야</t>
        </is>
      </c>
      <c r="N373" t="inlineStr">
        <is>
          <t>061-688-2600</t>
        </is>
      </c>
      <c r="O373" t="inlineStr">
        <is>
          <t>061-688-2565</t>
        </is>
      </c>
      <c r="P373">
        <f>HYPERLINK("http://www.lxmma.com", "http://www.lxmma.com")</f>
        <v/>
      </c>
      <c r="Q373" t="inlineStr">
        <is>
          <t>4178105600</t>
        </is>
      </c>
      <c r="R373" t="inlineStr">
        <is>
          <t>2062110001805</t>
        </is>
      </c>
      <c r="S373" t="inlineStr">
        <is>
          <t>대상아님</t>
        </is>
      </c>
      <c r="T373" t="inlineStr">
        <is>
          <t>일반법인</t>
        </is>
      </c>
      <c r="U373" t="inlineStr">
        <is>
          <t>대기업</t>
        </is>
      </c>
      <c r="V373" t="inlineStr">
        <is>
          <t>외부감사대상</t>
        </is>
      </c>
      <c r="W373" s="6" t="inlineStr">
        <is>
          <t>1991-03-28</t>
        </is>
      </c>
      <c r="X373" t="inlineStr">
        <is>
          <t>KRI:10C2011900</t>
        </is>
      </c>
      <c r="Y373" t="inlineStr">
        <is>
          <t>석탄화학계 화합물 및 기타 기초 유기 화학물질 제조업</t>
        </is>
      </c>
      <c r="Z373" t="inlineStr">
        <is>
          <t>메틸매타크릴레이트(MMA,유기화학제품),이소브틸렌 제조,도소매</t>
        </is>
      </c>
      <c r="AA373" t="inlineStr">
        <is>
          <t>전남 여수시 중흥동 759번지</t>
        </is>
      </c>
      <c r="AB373" t="inlineStr">
        <is>
          <t>전남 여수시 여수산단4로 58</t>
        </is>
      </c>
    </row>
    <row r="374" s="1">
      <c r="A374" t="inlineStr">
        <is>
          <t>NICE:243537</t>
        </is>
      </c>
      <c r="B374" t="inlineStr">
        <is>
          <t>비에스지파트너스</t>
        </is>
      </c>
      <c r="C374" s="5" t="n">
        <v>82946585000</v>
      </c>
      <c r="D374" s="5" t="n">
        <v>21881587000</v>
      </c>
      <c r="E374" s="5" t="n">
        <v>61064998000</v>
      </c>
      <c r="F374" s="5" t="n">
        <v>89450104000</v>
      </c>
      <c r="G374" s="5" t="n">
        <v>11597806000</v>
      </c>
      <c r="H374" s="5" t="n">
        <v>50847820000</v>
      </c>
      <c r="I374" s="5" t="n">
        <v>5858656000</v>
      </c>
      <c r="J374" s="4" t="n">
        <v>3.124599933624268</v>
      </c>
      <c r="K374" s="4" t="n">
        <v>0.3583000004291534</v>
      </c>
      <c r="L374" s="4" t="n">
        <v>0.1297000050544739</v>
      </c>
      <c r="M374" t="inlineStr">
        <is>
          <t>박철욱</t>
        </is>
      </c>
      <c r="N374" t="inlineStr">
        <is>
          <t>02-6730-3200</t>
        </is>
      </c>
      <c r="O374" t="inlineStr">
        <is>
          <t>02-771-7236</t>
        </is>
      </c>
      <c r="P374">
        <f>HYPERLINK("http://www.bsgglobal.com", "http://www.bsgglobal.com")</f>
        <v/>
      </c>
      <c r="Q374" t="inlineStr">
        <is>
          <t>2018122611</t>
        </is>
      </c>
      <c r="R374" t="inlineStr">
        <is>
          <t>1101112032053</t>
        </is>
      </c>
      <c r="S374" t="inlineStr">
        <is>
          <t>대상아님</t>
        </is>
      </c>
      <c r="T374" t="inlineStr">
        <is>
          <t>일반법인</t>
        </is>
      </c>
      <c r="U374" t="inlineStr">
        <is>
          <t>대기업</t>
        </is>
      </c>
      <c r="V374" t="inlineStr">
        <is>
          <t>외부감사대상</t>
        </is>
      </c>
      <c r="W374" s="6" t="inlineStr">
        <is>
          <t>2000-07-21</t>
        </is>
      </c>
      <c r="X374" t="inlineStr">
        <is>
          <t>KRI:10J5822200</t>
        </is>
      </c>
      <c r="Y374" t="inlineStr">
        <is>
          <t>응용 소프트웨어 개발 및 공급업</t>
        </is>
      </c>
      <c r="Z374" t="inlineStr">
        <is>
          <t>소프트웨어 개발,공급,자문/부동산 임대/인력 개발,공급,파견</t>
        </is>
      </c>
      <c r="AA374" t="inlineStr">
        <is>
          <t>서울 강남구 역삼동 739-3번지 비에스지빌딩</t>
        </is>
      </c>
      <c r="AB374" t="inlineStr">
        <is>
          <t>서울 강남구 논현로85길 21 (역삼동,비에스지빌딩)</t>
        </is>
      </c>
    </row>
    <row r="375" s="1">
      <c r="A375" t="inlineStr">
        <is>
          <t>NICE:M00949</t>
        </is>
      </c>
      <c r="B375" t="inlineStr">
        <is>
          <t>수니코리아엘엘씨</t>
        </is>
      </c>
      <c r="C375" s="5" t="n">
        <v>53977266000</v>
      </c>
      <c r="D375" s="5" t="n">
        <v>2897447000</v>
      </c>
      <c r="E375" s="5" t="n">
        <v>51079819000</v>
      </c>
      <c r="F375" s="5" t="n">
        <v>28717401000</v>
      </c>
      <c r="G375" s="5" t="n">
        <v>8118018000</v>
      </c>
      <c r="H375" s="5" t="n">
        <v>28364921000</v>
      </c>
      <c r="I375" s="5" t="n">
        <v>8482027000</v>
      </c>
      <c r="J375" s="4" t="n">
        <v>17.83199882507324</v>
      </c>
      <c r="K375" s="4" t="n">
        <v>0.05669999867677689</v>
      </c>
      <c r="L375" s="4" t="n">
        <v>0.2827000021934509</v>
      </c>
      <c r="M375" t="inlineStr">
        <is>
          <t>아써에이치리</t>
        </is>
      </c>
      <c r="Q375" t="inlineStr">
        <is>
          <t>1318400677</t>
        </is>
      </c>
      <c r="R375" t="inlineStr">
        <is>
          <t>1201850000112</t>
        </is>
      </c>
      <c r="S375" t="inlineStr">
        <is>
          <t>대상아님</t>
        </is>
      </c>
      <c r="T375" t="inlineStr">
        <is>
          <t>일반법인</t>
        </is>
      </c>
      <c r="U375" t="inlineStr">
        <is>
          <t>중소기업</t>
        </is>
      </c>
      <c r="V375" t="inlineStr">
        <is>
          <t>외부감사비대상</t>
        </is>
      </c>
      <c r="W375" s="6" t="inlineStr">
        <is>
          <t>2010-03-24</t>
        </is>
      </c>
      <c r="X375" t="inlineStr">
        <is>
          <t>KRI:10P8530200</t>
        </is>
      </c>
      <c r="Y375" t="inlineStr">
        <is>
          <t>대학교</t>
        </is>
      </c>
      <c r="Z375" t="inlineStr">
        <is>
          <t>외국대학교</t>
        </is>
      </c>
      <c r="AA375" t="inlineStr">
        <is>
          <t>인천 연수구 송도동 187번지</t>
        </is>
      </c>
      <c r="AB375" t="inlineStr">
        <is>
          <t>인천 연수구 송도문화로 119-2</t>
        </is>
      </c>
    </row>
    <row r="376" s="1">
      <c r="A376" t="inlineStr">
        <is>
          <t>NICE:123364</t>
        </is>
      </c>
      <c r="B376" t="inlineStr">
        <is>
          <t>케이비아이국인산업</t>
        </is>
      </c>
      <c r="C376" s="5" t="n">
        <v>451493852000</v>
      </c>
      <c r="D376" s="5" t="n">
        <v>69430402000</v>
      </c>
      <c r="E376" s="5" t="n">
        <v>382063451000</v>
      </c>
      <c r="F376" s="5" t="n">
        <v>55137297000</v>
      </c>
      <c r="G376" s="5" t="n">
        <v>24575487000</v>
      </c>
      <c r="H376" s="5" t="n">
        <v>144711899000</v>
      </c>
      <c r="I376" s="5" t="n">
        <v>32158601000</v>
      </c>
      <c r="J376" s="4" t="n">
        <v>1.803300023078918</v>
      </c>
      <c r="K376" s="4" t="n">
        <v>0.1816999912261963</v>
      </c>
      <c r="L376" s="4" t="n">
        <v>0.4456999897956848</v>
      </c>
      <c r="M376" t="inlineStr">
        <is>
          <t>김선진</t>
        </is>
      </c>
      <c r="N376" t="inlineStr">
        <is>
          <t>054-473-1116</t>
        </is>
      </c>
      <c r="O376" t="inlineStr">
        <is>
          <t>054-473-2686</t>
        </is>
      </c>
      <c r="P376">
        <f>HYPERLINK("http://www.kukin.co.kr", "http://www.kukin.co.kr")</f>
        <v/>
      </c>
      <c r="Q376" t="inlineStr">
        <is>
          <t>5088105677</t>
        </is>
      </c>
      <c r="R376" t="inlineStr">
        <is>
          <t>1711110004515</t>
        </is>
      </c>
      <c r="S376" t="inlineStr">
        <is>
          <t>대상아님</t>
        </is>
      </c>
      <c r="T376" t="inlineStr">
        <is>
          <t>일반법인</t>
        </is>
      </c>
      <c r="U376" t="inlineStr">
        <is>
          <t>중견기업</t>
        </is>
      </c>
      <c r="V376" t="inlineStr">
        <is>
          <t>외부감사대상</t>
        </is>
      </c>
      <c r="W376" s="6" t="inlineStr">
        <is>
          <t>1996-11-29</t>
        </is>
      </c>
      <c r="X376" t="inlineStr">
        <is>
          <t>KRI:10E3821000</t>
        </is>
      </c>
      <c r="Y376" t="inlineStr">
        <is>
          <t>지정 외 폐기물 처리업</t>
        </is>
      </c>
      <c r="Z376" t="inlineStr">
        <is>
          <t>지정외폐기물(산업폐기물,핵폐기물) 수집처리/화공품 재생/부동산 임대</t>
        </is>
      </c>
      <c r="AA376" t="inlineStr">
        <is>
          <t>경북 구미시 시미동 166-7번지</t>
        </is>
      </c>
      <c r="AB376" t="inlineStr">
        <is>
          <t>경북 구미시 3공단3로 46-79</t>
        </is>
      </c>
    </row>
    <row r="377" s="1">
      <c r="A377" t="inlineStr">
        <is>
          <t>NICE:053796</t>
        </is>
      </c>
      <c r="B377" t="inlineStr">
        <is>
          <t>메리테크</t>
        </is>
      </c>
      <c r="C377" s="5" t="n">
        <v>237085192000</v>
      </c>
      <c r="D377" s="5" t="n">
        <v>59526018000</v>
      </c>
      <c r="E377" s="5" t="n">
        <v>177559173000</v>
      </c>
      <c r="F377" s="5" t="n">
        <v>210301927000</v>
      </c>
      <c r="G377" s="5" t="n">
        <v>56828790000</v>
      </c>
      <c r="H377" s="5" t="n">
        <v>153924379000</v>
      </c>
      <c r="I377" s="5" t="n">
        <v>34492030000</v>
      </c>
      <c r="J377" s="4" t="n">
        <v>3.28410005569458</v>
      </c>
      <c r="K377" s="4" t="n">
        <v>0.3352000117301941</v>
      </c>
      <c r="L377" s="4" t="n">
        <v>0.2701999843120575</v>
      </c>
      <c r="M377" t="inlineStr">
        <is>
          <t>최승철</t>
        </is>
      </c>
      <c r="N377" t="inlineStr">
        <is>
          <t>031-377-8200</t>
        </is>
      </c>
      <c r="O377" t="inlineStr">
        <is>
          <t>070-4818-6691</t>
        </is>
      </c>
      <c r="P377">
        <f>HYPERLINK("http://www.meritech.co.kr", "http://www.meritech.co.kr")</f>
        <v/>
      </c>
      <c r="Q377" t="inlineStr">
        <is>
          <t>1298133378</t>
        </is>
      </c>
      <c r="R377" t="inlineStr">
        <is>
          <t>1311110047603</t>
        </is>
      </c>
      <c r="S377" t="inlineStr">
        <is>
          <t>대상아님</t>
        </is>
      </c>
      <c r="T377" t="inlineStr">
        <is>
          <t>일반법인</t>
        </is>
      </c>
      <c r="U377" t="inlineStr">
        <is>
          <t>중소기업</t>
        </is>
      </c>
      <c r="V377" t="inlineStr">
        <is>
          <t>외부감사대상</t>
        </is>
      </c>
      <c r="W377" s="6" t="inlineStr">
        <is>
          <t>1996-05-02</t>
        </is>
      </c>
      <c r="X377" t="inlineStr">
        <is>
          <t>KRI:10C2721900</t>
        </is>
      </c>
      <c r="Y377" t="inlineStr">
        <is>
          <t>기타 측정, 시험, 항해, 제어 및 정밀기기 제조업</t>
        </is>
      </c>
      <c r="Z377" t="inlineStr">
        <is>
          <t>반도체테스터장비(테스트보드,메모리제어장치),전자부품 제조,도매,무역</t>
        </is>
      </c>
      <c r="AA377" t="inlineStr">
        <is>
          <t>경기 화성시 동탄구 영천동 830-1번지</t>
        </is>
      </c>
      <c r="AB377" t="inlineStr">
        <is>
          <t>경기 화성시 동탄구 동탄첨단산업1로 28</t>
        </is>
      </c>
    </row>
    <row r="378" s="1">
      <c r="A378" t="inlineStr">
        <is>
          <t>NICE:L98601</t>
        </is>
      </c>
      <c r="B378" t="inlineStr">
        <is>
          <t>화물복지재단</t>
        </is>
      </c>
      <c r="C378" s="5" t="n">
        <v>179110355000</v>
      </c>
      <c r="D378" s="5" t="n">
        <v>2918620000</v>
      </c>
      <c r="E378" s="5" t="n">
        <v>176191735000</v>
      </c>
      <c r="F378" s="5" t="n">
        <v>27433876000</v>
      </c>
      <c r="G378" s="5" t="n">
        <v>12027231000</v>
      </c>
      <c r="H378" s="5" t="n">
        <v>27876026000</v>
      </c>
      <c r="I378" s="5" t="n">
        <v>15127454000</v>
      </c>
      <c r="J378" s="4" t="n">
        <v>243.2659912109375</v>
      </c>
      <c r="K378" s="4" t="n">
        <v>0.0165999997407198</v>
      </c>
      <c r="L378" s="4" t="n">
        <v>0.438400000333786</v>
      </c>
      <c r="M378" t="inlineStr">
        <is>
          <t>최광식</t>
        </is>
      </c>
      <c r="N378" t="inlineStr">
        <is>
          <t>02-761-0200</t>
        </is>
      </c>
      <c r="O378" t="inlineStr">
        <is>
          <t>02-761-0199</t>
        </is>
      </c>
      <c r="P378">
        <f>HYPERLINK("http://www.fordrivers.or.kr", "http://www.fordrivers.or.kr")</f>
        <v/>
      </c>
      <c r="Q378" t="inlineStr">
        <is>
          <t>1078218374</t>
        </is>
      </c>
      <c r="R378" t="inlineStr">
        <is>
          <t>2541220024080</t>
        </is>
      </c>
      <c r="S378" t="inlineStr">
        <is>
          <t>대상아님</t>
        </is>
      </c>
      <c r="T378" t="inlineStr">
        <is>
          <t>비영리법인</t>
        </is>
      </c>
      <c r="U378" t="inlineStr">
        <is>
          <t>대상아님</t>
        </is>
      </c>
      <c r="V378" t="inlineStr">
        <is>
          <t>외부감사비대상</t>
        </is>
      </c>
      <c r="W378" s="6" t="inlineStr">
        <is>
          <t>2014-07-23</t>
        </is>
      </c>
      <c r="X378" t="inlineStr">
        <is>
          <t>KRI:10S9499000</t>
        </is>
      </c>
      <c r="Y378" t="inlineStr">
        <is>
          <t>그 외 기타 협회 및 단체</t>
        </is>
      </c>
      <c r="Z378" t="inlineStr">
        <is>
          <t>협회,단체/운송,금융지원/부동산 임대</t>
        </is>
      </c>
      <c r="AA378" t="inlineStr">
        <is>
          <t>서울 강남구 역삼동 688번지 화물재단빌딩 15층</t>
        </is>
      </c>
      <c r="AB378" t="inlineStr">
        <is>
          <t>서울 강남구 언주로 560, 15층 (역삼동,화물재단빌딩)</t>
        </is>
      </c>
    </row>
    <row r="379" ht="19.2" customHeight="1" s="1">
      <c r="A379" t="inlineStr">
        <is>
          <t>NICE:F03344</t>
        </is>
      </c>
      <c r="B379" t="inlineStr">
        <is>
          <t>테너지</t>
        </is>
      </c>
      <c r="C379" s="5" t="n">
        <v>155753129000</v>
      </c>
      <c r="D379" s="5" t="n">
        <v>78657223000</v>
      </c>
      <c r="E379" s="5" t="n">
        <v>77095906000</v>
      </c>
      <c r="F379" s="5" t="n">
        <v>51387505000</v>
      </c>
      <c r="G379" s="5" t="n">
        <v>9133106000</v>
      </c>
      <c r="H379" s="5" t="n">
        <v>57363783000</v>
      </c>
      <c r="I379" s="5" t="n">
        <v>11929077000</v>
      </c>
      <c r="J379" s="4" t="n">
        <v>0.7645999789237976</v>
      </c>
      <c r="K379" s="4" t="n">
        <v>1.020299911499023</v>
      </c>
      <c r="L379" s="4" t="n">
        <v>0.1776999980211258</v>
      </c>
      <c r="M379" t="inlineStr">
        <is>
          <t>최두원/최재권</t>
        </is>
      </c>
      <c r="N379" t="inlineStr">
        <is>
          <t>031-888-9870</t>
        </is>
      </c>
      <c r="O379" t="inlineStr">
        <is>
          <t>070-5143-1290</t>
        </is>
      </c>
      <c r="P379" s="3">
        <f>HYPERLINK("http://www.tenergy-x.com", "http://www.tenergy-x.com")</f>
        <v/>
      </c>
      <c r="Q379" t="inlineStr">
        <is>
          <t>1358196188</t>
        </is>
      </c>
      <c r="R379" t="inlineStr">
        <is>
          <t>1358110149542</t>
        </is>
      </c>
      <c r="S379" t="inlineStr">
        <is>
          <t>대상아님</t>
        </is>
      </c>
      <c r="T379" t="inlineStr">
        <is>
          <t>일반법인</t>
        </is>
      </c>
      <c r="U379" t="inlineStr">
        <is>
          <t>중소기업</t>
        </is>
      </c>
      <c r="V379" t="inlineStr">
        <is>
          <t>외부감사대상</t>
        </is>
      </c>
      <c r="W379" s="6" t="inlineStr">
        <is>
          <t>2008-03-04</t>
        </is>
      </c>
      <c r="X379" t="inlineStr">
        <is>
          <t>KRI:10M7012900</t>
        </is>
      </c>
      <c r="Y379" t="inlineStr">
        <is>
          <t>기타 공학 연구개발업</t>
        </is>
      </c>
      <c r="Z379" t="inlineStr">
        <is>
          <t>공학,기술(엔진,자동차엔진) 연구개발/응용소프트웨어 개발,공급</t>
        </is>
      </c>
      <c r="AA379" t="inlineStr">
        <is>
          <t>경기 성남시 수정구 금토동 714번지</t>
        </is>
      </c>
      <c r="AB379" t="inlineStr">
        <is>
          <t>경기 성남시 수정구 금토로80번길 22</t>
        </is>
      </c>
    </row>
    <row r="380" ht="19.2" customHeight="1" s="1">
      <c r="A380" t="inlineStr">
        <is>
          <t>NICE:L84812</t>
        </is>
      </c>
      <c r="B380" t="inlineStr">
        <is>
          <t>루메나</t>
        </is>
      </c>
      <c r="C380" s="5" t="n">
        <v>43642728000</v>
      </c>
      <c r="D380" s="5" t="n">
        <v>28848237000</v>
      </c>
      <c r="E380" s="5" t="n">
        <v>14794491000</v>
      </c>
      <c r="F380" s="5" t="n">
        <v>68296977000</v>
      </c>
      <c r="G380" s="5" t="n">
        <v>10624773000</v>
      </c>
      <c r="H380" s="5" t="n">
        <v>42102473000</v>
      </c>
      <c r="I380" s="5" t="n">
        <v>5267873000</v>
      </c>
      <c r="J380" s="4" t="n">
        <v>1.315599918365479</v>
      </c>
      <c r="K380" s="4" t="n">
        <v>1.949900031089783</v>
      </c>
      <c r="L380" s="4" t="n">
        <v>0.1555999964475632</v>
      </c>
      <c r="M380" t="inlineStr">
        <is>
          <t>진중헌</t>
        </is>
      </c>
      <c r="N380" t="inlineStr">
        <is>
          <t>051-714-0492</t>
        </is>
      </c>
      <c r="O380" t="inlineStr">
        <is>
          <t>051-714-3141</t>
        </is>
      </c>
      <c r="P380" s="3">
        <f>HYPERLINK("https://lumena.co.kr/", "https://lumena.co.kr/")</f>
        <v/>
      </c>
      <c r="Q380" t="inlineStr">
        <is>
          <t>1308693314</t>
        </is>
      </c>
      <c r="R380" t="inlineStr">
        <is>
          <t>1211110270488</t>
        </is>
      </c>
      <c r="S380" t="inlineStr">
        <is>
          <t>대상아님</t>
        </is>
      </c>
      <c r="T380" t="inlineStr">
        <is>
          <t>일반법인</t>
        </is>
      </c>
      <c r="U380" t="inlineStr">
        <is>
          <t>중소기업</t>
        </is>
      </c>
      <c r="V380" t="inlineStr">
        <is>
          <t>외부감사대상</t>
        </is>
      </c>
      <c r="W380" s="6" t="inlineStr">
        <is>
          <t>2014-06-03</t>
        </is>
      </c>
      <c r="X380" t="inlineStr">
        <is>
          <t>KRI:10C2851900</t>
        </is>
      </c>
      <c r="Y380" t="inlineStr">
        <is>
          <t>기타 가정용 전기기기 제조업</t>
        </is>
      </c>
      <c r="Z380" t="inlineStr">
        <is>
          <t>휴대용선풍기,전자기기,휴대용배터리,LED조명 제조,조립/디자인</t>
        </is>
      </c>
      <c r="AA380" t="inlineStr">
        <is>
          <t>부산 해운대구 송정동 117-17번지</t>
        </is>
      </c>
      <c r="AB380" t="inlineStr">
        <is>
          <t>부산 해운대구 송정중앙로5번길 98</t>
        </is>
      </c>
    </row>
    <row r="381" ht="19.2" customHeight="1" s="1">
      <c r="A381" t="inlineStr">
        <is>
          <t>NICE:543799</t>
        </is>
      </c>
      <c r="B381" t="inlineStr">
        <is>
          <t>스미토모에스에치아이싸이크로드라이브코리아</t>
        </is>
      </c>
      <c r="C381" s="5" t="n">
        <v>42724639000</v>
      </c>
      <c r="D381" s="5" t="n">
        <v>2434716000</v>
      </c>
      <c r="E381" s="5" t="n">
        <v>40289923000</v>
      </c>
      <c r="F381" s="5" t="n">
        <v>22792334000</v>
      </c>
      <c r="G381" s="5" t="n">
        <v>2599340000</v>
      </c>
      <c r="H381" s="5" t="n">
        <v>29577252000</v>
      </c>
      <c r="I381" s="5" t="n">
        <v>3545676000</v>
      </c>
      <c r="J381" s="4" t="n">
        <v>15.11870002746582</v>
      </c>
      <c r="K381" s="4" t="n">
        <v>0.06039999797940254</v>
      </c>
      <c r="L381" s="4" t="n">
        <v>0.113999992609024</v>
      </c>
      <c r="M381" t="inlineStr">
        <is>
          <t>마츠오카유스케</t>
        </is>
      </c>
      <c r="N381" t="inlineStr">
        <is>
          <t>02-730-0151</t>
        </is>
      </c>
      <c r="O381" t="inlineStr">
        <is>
          <t>02-730-0156</t>
        </is>
      </c>
      <c r="P381" s="3">
        <f>HYPERLINK("http://www.sck.co.kr", "http://www.sck.co.kr")</f>
        <v/>
      </c>
      <c r="Q381" t="inlineStr">
        <is>
          <t>1028141868</t>
        </is>
      </c>
      <c r="R381" t="inlineStr">
        <is>
          <t>1101111392656</t>
        </is>
      </c>
      <c r="S381" t="inlineStr">
        <is>
          <t>대상아님</t>
        </is>
      </c>
      <c r="T381" t="inlineStr">
        <is>
          <t>일반법인</t>
        </is>
      </c>
      <c r="U381" t="inlineStr">
        <is>
          <t>중소기업</t>
        </is>
      </c>
      <c r="V381" t="inlineStr">
        <is>
          <t>외부감사대상</t>
        </is>
      </c>
      <c r="W381" s="6" t="inlineStr">
        <is>
          <t>1997-03-21</t>
        </is>
      </c>
      <c r="X381" t="inlineStr">
        <is>
          <t>KRI:10G4653900</t>
        </is>
      </c>
      <c r="Y381" t="inlineStr">
        <is>
          <t>기타 산업용 기계 및 장비 도매업</t>
        </is>
      </c>
      <c r="Z381" t="inlineStr">
        <is>
          <t>산업용감속기,속도제어용인버터 도소매,제조</t>
        </is>
      </c>
      <c r="AA381" t="inlineStr">
        <is>
          <t>경기 광명시 일직동 514번지 지아이디씨 A동 705호</t>
        </is>
      </c>
      <c r="AB381" t="inlineStr">
        <is>
          <t>경기 광명시 일직로 43, A동 705호 (일직동,지아이디씨)</t>
        </is>
      </c>
    </row>
    <row r="382" ht="19.2" customHeight="1" s="1">
      <c r="A382" t="inlineStr">
        <is>
          <t>NICE:G16580</t>
        </is>
      </c>
      <c r="B382" t="inlineStr">
        <is>
          <t>뷰티화장품</t>
        </is>
      </c>
      <c r="C382" s="5" t="n">
        <v>16129564000</v>
      </c>
      <c r="D382" s="5" t="n">
        <v>13333781000</v>
      </c>
      <c r="E382" s="5" t="n">
        <v>2795783000</v>
      </c>
      <c r="F382" s="5" t="n">
        <v>31213393000</v>
      </c>
      <c r="G382" s="5" t="n">
        <v>3785946000</v>
      </c>
      <c r="H382" s="5" t="n">
        <v>20066800000</v>
      </c>
      <c r="I382" s="5" t="n">
        <v>1008396000</v>
      </c>
      <c r="J382" s="4" t="n">
        <v>0.9430000185966492</v>
      </c>
      <c r="K382" s="4" t="n">
        <v>4.769199848175049</v>
      </c>
      <c r="L382" s="4" t="n">
        <v>0.121299996972084</v>
      </c>
      <c r="M382" t="inlineStr">
        <is>
          <t>오한선</t>
        </is>
      </c>
      <c r="N382" t="inlineStr">
        <is>
          <t>043-877-5107</t>
        </is>
      </c>
      <c r="O382" t="inlineStr">
        <is>
          <t>043-877-5108</t>
        </is>
      </c>
      <c r="P382" s="3">
        <f>HYPERLINK("http://btcosmetic.com", "http://btcosmetic.com")</f>
        <v/>
      </c>
      <c r="Q382" t="inlineStr">
        <is>
          <t>3038158467</t>
        </is>
      </c>
      <c r="R382" t="inlineStr">
        <is>
          <t>1545110045107</t>
        </is>
      </c>
      <c r="S382" t="inlineStr">
        <is>
          <t>대상아님</t>
        </is>
      </c>
      <c r="T382" t="inlineStr">
        <is>
          <t>일반법인</t>
        </is>
      </c>
      <c r="U382" t="inlineStr">
        <is>
          <t>중소기업</t>
        </is>
      </c>
      <c r="V382" t="inlineStr">
        <is>
          <t>외부감사대상</t>
        </is>
      </c>
      <c r="W382" s="6" t="inlineStr">
        <is>
          <t>2010-05-11</t>
        </is>
      </c>
      <c r="X382" t="inlineStr">
        <is>
          <t>KRI:10C2042300</t>
        </is>
      </c>
      <c r="Y382" t="inlineStr">
        <is>
          <t>화장품 제조업</t>
        </is>
      </c>
      <c r="Z382" t="inlineStr">
        <is>
          <t>화장품 제조,도소매</t>
        </is>
      </c>
      <c r="AA382" t="inlineStr">
        <is>
          <t>충북 음성군 원남면 상당리 701-1번지</t>
        </is>
      </c>
      <c r="AB382" t="inlineStr">
        <is>
          <t>충북 음성군 원남면 원남산단로 274-14</t>
        </is>
      </c>
    </row>
    <row r="383" ht="19.2" customHeight="1" s="1">
      <c r="A383" t="inlineStr">
        <is>
          <t>NICE:JP8819</t>
        </is>
      </c>
      <c r="B383" t="inlineStr">
        <is>
          <t>인터링크에스엔에스</t>
        </is>
      </c>
      <c r="C383" s="5" t="n">
        <v>19028556000</v>
      </c>
      <c r="D383" s="5" t="n">
        <v>4312899000</v>
      </c>
      <c r="E383" s="5" t="n">
        <v>14715657000</v>
      </c>
      <c r="F383" s="5" t="n">
        <v>34059043000</v>
      </c>
      <c r="G383" s="5" t="n">
        <v>6041790000</v>
      </c>
      <c r="H383" s="5" t="n">
        <v>28877235000</v>
      </c>
      <c r="I383" s="5" t="n">
        <v>3709826000</v>
      </c>
      <c r="J383" s="4" t="n">
        <v>3.463500022888184</v>
      </c>
      <c r="K383" s="4" t="n">
        <v>0.2930999994277954</v>
      </c>
      <c r="L383" s="4" t="n">
        <v>0.1773999929428101</v>
      </c>
      <c r="M383" t="inlineStr">
        <is>
          <t>예신규</t>
        </is>
      </c>
      <c r="N383" t="inlineStr">
        <is>
          <t>02-6393-7712</t>
        </is>
      </c>
      <c r="O383" t="inlineStr">
        <is>
          <t>02-6393-7719</t>
        </is>
      </c>
      <c r="P383" s="3" t="n"/>
      <c r="Q383" t="inlineStr">
        <is>
          <t>4248101373</t>
        </is>
      </c>
      <c r="R383" t="inlineStr">
        <is>
          <t>1101117131602</t>
        </is>
      </c>
      <c r="S383" t="inlineStr">
        <is>
          <t>대상아님</t>
        </is>
      </c>
      <c r="T383" t="inlineStr">
        <is>
          <t>일반법인</t>
        </is>
      </c>
      <c r="U383" t="inlineStr">
        <is>
          <t>중소기업</t>
        </is>
      </c>
      <c r="V383" t="inlineStr">
        <is>
          <t>외부감사대상</t>
        </is>
      </c>
      <c r="W383" s="6" t="inlineStr">
        <is>
          <t>2019-06-07</t>
        </is>
      </c>
      <c r="X383" t="inlineStr">
        <is>
          <t>KRI:10C1512900</t>
        </is>
      </c>
      <c r="Y383" t="inlineStr">
        <is>
          <t>가방 및 기타 보호용 케이스 제조업</t>
        </is>
      </c>
      <c r="Z383" t="inlineStr">
        <is>
          <t>군용 장구류,가방,군복,화섬직물 제조,도소매,무역</t>
        </is>
      </c>
      <c r="AA383" t="inlineStr">
        <is>
          <t>서울 금천구 가산동 60-73번지 벽산디지털밸리5차 1202호</t>
        </is>
      </c>
      <c r="AB383" t="inlineStr">
        <is>
          <t>서울 금천구 벚꽃로 244, 1202호 (가산동,벽산디지털밸리5차)</t>
        </is>
      </c>
    </row>
    <row r="384" ht="19.2" customHeight="1" s="1">
      <c r="A384" t="inlineStr">
        <is>
          <t>NICE:654086</t>
        </is>
      </c>
      <c r="B384" t="inlineStr">
        <is>
          <t>인텔코리아</t>
        </is>
      </c>
      <c r="C384" s="5" t="n">
        <v>107164747000</v>
      </c>
      <c r="D384" s="5" t="n">
        <v>8779277000</v>
      </c>
      <c r="E384" s="5" t="n">
        <v>98385469000</v>
      </c>
      <c r="F384" s="5" t="n">
        <v>34670052000</v>
      </c>
      <c r="G384" s="5" t="n">
        <v>10120816000</v>
      </c>
      <c r="H384" s="5" t="n">
        <v>51866030000</v>
      </c>
      <c r="I384" s="5" t="n">
        <v>15604329000</v>
      </c>
      <c r="J384" s="4" t="n">
        <v>12.22249984741211</v>
      </c>
      <c r="K384" s="4" t="n">
        <v>0.08919999748468399</v>
      </c>
      <c r="L384" s="4" t="n">
        <v>0.2919000089168549</v>
      </c>
      <c r="M384" t="inlineStr">
        <is>
          <t>배태원</t>
        </is>
      </c>
      <c r="N384" t="inlineStr">
        <is>
          <t>02-767-2500</t>
        </is>
      </c>
      <c r="O384" t="inlineStr">
        <is>
          <t>02-767-2509</t>
        </is>
      </c>
      <c r="P384" s="3">
        <f>HYPERLINK("http://www.intel.com", "http://www.intel.com")</f>
        <v/>
      </c>
      <c r="Q384" t="inlineStr">
        <is>
          <t>1168127808</t>
        </is>
      </c>
      <c r="R384" t="inlineStr">
        <is>
          <t>1101110667109</t>
        </is>
      </c>
      <c r="S384" t="inlineStr">
        <is>
          <t>대상아님</t>
        </is>
      </c>
      <c r="T384" t="inlineStr">
        <is>
          <t>일반법인</t>
        </is>
      </c>
      <c r="U384" t="inlineStr">
        <is>
          <t>중소기업</t>
        </is>
      </c>
      <c r="V384" t="inlineStr">
        <is>
          <t>외부감사대상</t>
        </is>
      </c>
      <c r="W384" s="6" t="inlineStr">
        <is>
          <t>1989-12-30</t>
        </is>
      </c>
      <c r="X384" t="inlineStr">
        <is>
          <t>KRI:10G4610900</t>
        </is>
      </c>
      <c r="Y384" t="inlineStr">
        <is>
          <t>상품 종합 중개업</t>
        </is>
      </c>
      <c r="Z384" t="inlineStr">
        <is>
          <t>컴퓨터기기(PC마이크로프로세서,업무용 노트북) 무역중개,오파/소프트웨어 연구개발</t>
        </is>
      </c>
      <c r="AA384" t="inlineStr">
        <is>
          <t>서울 영등포구 여의도동 27-3번지</t>
        </is>
      </c>
      <c r="AB384" t="inlineStr">
        <is>
          <t>서울 영등포구 의사당대로 82</t>
        </is>
      </c>
    </row>
    <row r="385" ht="19.2" customHeight="1" s="1">
      <c r="A385" t="inlineStr">
        <is>
          <t>NICE:047708</t>
        </is>
      </c>
      <c r="B385" t="inlineStr">
        <is>
          <t>일진코스메틱</t>
        </is>
      </c>
      <c r="C385" s="5" t="n">
        <v>27796146000</v>
      </c>
      <c r="D385" s="5" t="n">
        <v>7196007000</v>
      </c>
      <c r="E385" s="5" t="n">
        <v>20600139000</v>
      </c>
      <c r="F385" s="5" t="n">
        <v>40888548000</v>
      </c>
      <c r="G385" s="5" t="n">
        <v>4448239000</v>
      </c>
      <c r="H385" s="5" t="n">
        <v>33583549000</v>
      </c>
      <c r="I385" s="5" t="n">
        <v>1175412000</v>
      </c>
      <c r="J385" s="4" t="n">
        <v>3.316699981689453</v>
      </c>
      <c r="K385" s="4" t="n">
        <v>0.3492999970912933</v>
      </c>
      <c r="L385" s="4" t="n">
        <v>0.1088000014424324</v>
      </c>
      <c r="M385" t="inlineStr">
        <is>
          <t>유승우</t>
        </is>
      </c>
      <c r="N385" t="inlineStr">
        <is>
          <t>031-497-2921</t>
        </is>
      </c>
      <c r="O385" t="inlineStr">
        <is>
          <t>031-431-6913</t>
        </is>
      </c>
      <c r="P385" s="3">
        <f>HYPERLINK("http://www.iljincosmetics.co.kr", "http://www.iljincosmetics.co.kr")</f>
        <v/>
      </c>
      <c r="Q385" t="inlineStr">
        <is>
          <t>1228115383</t>
        </is>
      </c>
      <c r="R385" t="inlineStr">
        <is>
          <t>1201110016148</t>
        </is>
      </c>
      <c r="S385" t="inlineStr">
        <is>
          <t>대상아님</t>
        </is>
      </c>
      <c r="T385" t="inlineStr">
        <is>
          <t>일반법인</t>
        </is>
      </c>
      <c r="U385" t="inlineStr">
        <is>
          <t>중소기업</t>
        </is>
      </c>
      <c r="V385" t="inlineStr">
        <is>
          <t>외부감사대상</t>
        </is>
      </c>
      <c r="W385" s="6" t="inlineStr">
        <is>
          <t>1983-12-30</t>
        </is>
      </c>
      <c r="X385" t="inlineStr">
        <is>
          <t>KRI:10C2042300</t>
        </is>
      </c>
      <c r="Y385" t="inlineStr">
        <is>
          <t>화장품 제조업</t>
        </is>
      </c>
      <c r="Z385" t="inlineStr">
        <is>
          <t>화장품,화공약품 제조/말,양 사육/의약부외픔,경주마출주 도소매,통신 판매</t>
        </is>
      </c>
      <c r="AA385" t="inlineStr">
        <is>
          <t>경기 시흥시 정왕동 1252번지</t>
        </is>
      </c>
      <c r="AB385" t="inlineStr">
        <is>
          <t>경기 시흥시 공단1대로 86</t>
        </is>
      </c>
    </row>
    <row r="386" ht="19.2" customHeight="1" s="1">
      <c r="A386" t="inlineStr">
        <is>
          <t>NICE:152970</t>
        </is>
      </c>
      <c r="B386" t="inlineStr">
        <is>
          <t>모젤디앤에스</t>
        </is>
      </c>
      <c r="C386" s="5" t="n">
        <v>22656322000</v>
      </c>
      <c r="D386" s="5" t="n">
        <v>2854679000</v>
      </c>
      <c r="E386" s="5" t="n">
        <v>19801643000</v>
      </c>
      <c r="F386" s="5" t="n">
        <v>28575690000</v>
      </c>
      <c r="G386" s="5" t="n">
        <v>2950347000</v>
      </c>
      <c r="H386" s="5" t="n">
        <v>25109229000</v>
      </c>
      <c r="I386" s="5" t="n">
        <v>1145382000</v>
      </c>
      <c r="J386" s="4" t="n">
        <v>5.321899890899658</v>
      </c>
      <c r="K386" s="4" t="n">
        <v>0.1441999971866608</v>
      </c>
      <c r="L386" s="4" t="n">
        <v>0.1031999960541725</v>
      </c>
      <c r="M386" t="inlineStr">
        <is>
          <t>조대영</t>
        </is>
      </c>
      <c r="N386" t="inlineStr">
        <is>
          <t>043-838-5837</t>
        </is>
      </c>
      <c r="O386" t="inlineStr">
        <is>
          <t>043-838-7161</t>
        </is>
      </c>
      <c r="P386" s="3" t="n"/>
      <c r="Q386" t="inlineStr">
        <is>
          <t>3018147682</t>
        </is>
      </c>
      <c r="R386" t="inlineStr">
        <is>
          <t>1543110010609</t>
        </is>
      </c>
      <c r="S386" t="inlineStr">
        <is>
          <t>대상아님</t>
        </is>
      </c>
      <c r="T386" t="inlineStr">
        <is>
          <t>일반법인</t>
        </is>
      </c>
      <c r="U386" t="inlineStr">
        <is>
          <t>중소기업</t>
        </is>
      </c>
      <c r="V386" t="inlineStr">
        <is>
          <t>외부감사대상</t>
        </is>
      </c>
      <c r="W386" s="6" t="inlineStr">
        <is>
          <t>2000-11-17</t>
        </is>
      </c>
      <c r="X386" t="inlineStr">
        <is>
          <t>KRI:10C1790300</t>
        </is>
      </c>
      <c r="Y386" t="inlineStr">
        <is>
          <t>벽지 및 장판지 제조업</t>
        </is>
      </c>
      <c r="Z386" t="inlineStr">
        <is>
          <t>벽지,시트류 제조</t>
        </is>
      </c>
      <c r="AA386" t="inlineStr">
        <is>
          <t>충북 진천군 초평면 은암리 222-4번지</t>
        </is>
      </c>
      <c r="AB386" t="inlineStr">
        <is>
          <t>충북 진천군 초평면 초평로 1222-15</t>
        </is>
      </c>
    </row>
    <row r="387" ht="19.2" customHeight="1" s="1">
      <c r="A387" t="inlineStr">
        <is>
          <t>NICE:246847</t>
        </is>
      </c>
      <c r="B387" t="inlineStr">
        <is>
          <t>주인정보시스템</t>
        </is>
      </c>
      <c r="C387" s="5" t="n">
        <v>14573116000</v>
      </c>
      <c r="D387" s="5" t="n">
        <v>4894242000</v>
      </c>
      <c r="E387" s="5" t="n">
        <v>9678874000</v>
      </c>
      <c r="F387" s="5" t="n">
        <v>27102672000</v>
      </c>
      <c r="G387" s="5" t="n">
        <v>3271202000</v>
      </c>
      <c r="H387" s="5" t="n">
        <v>21658782000</v>
      </c>
      <c r="I387" s="5" t="n">
        <v>1936603000</v>
      </c>
      <c r="J387" s="4" t="n">
        <v>3.01419997215271</v>
      </c>
      <c r="K387" s="4" t="n">
        <v>0.5056999921798706</v>
      </c>
      <c r="L387" s="4" t="n">
        <v>0.1206999942660332</v>
      </c>
      <c r="M387" t="inlineStr">
        <is>
          <t>김근호</t>
        </is>
      </c>
      <c r="N387" t="inlineStr">
        <is>
          <t>02-554-3271</t>
        </is>
      </c>
      <c r="O387" t="inlineStr">
        <is>
          <t>02-554-3273</t>
        </is>
      </c>
      <c r="P387" s="3">
        <f>HYPERLINK("http://www.jisystem.com", "http://www.jisystem.com")</f>
        <v/>
      </c>
      <c r="Q387" t="inlineStr">
        <is>
          <t>2208658565</t>
        </is>
      </c>
      <c r="R387" t="inlineStr">
        <is>
          <t>1101112723876</t>
        </is>
      </c>
      <c r="S387" t="inlineStr">
        <is>
          <t>대상아님</t>
        </is>
      </c>
      <c r="T387" t="inlineStr">
        <is>
          <t>일반법인</t>
        </is>
      </c>
      <c r="U387" t="inlineStr">
        <is>
          <t>중소기업</t>
        </is>
      </c>
      <c r="V387" t="inlineStr">
        <is>
          <t>외부감사대상</t>
        </is>
      </c>
      <c r="W387" s="6" t="inlineStr">
        <is>
          <t>2003-02-24</t>
        </is>
      </c>
      <c r="X387" t="inlineStr">
        <is>
          <t>KRI:10J5822200</t>
        </is>
      </c>
      <c r="Y387" t="inlineStr">
        <is>
          <t>응용 소프트웨어 개발 및 공급업</t>
        </is>
      </c>
      <c r="Z387" t="inlineStr">
        <is>
          <t>소프트웨어(자동제어반,계장제어장치,통합감시제어) 개발,판매,유지보수</t>
        </is>
      </c>
      <c r="AA387" t="inlineStr">
        <is>
          <t>서울 강남구 역삼동 659-26번지 주인빌딩</t>
        </is>
      </c>
      <c r="AB387" t="inlineStr">
        <is>
          <t>서울 강남구 논현로102길 7 (역삼동,주인빌딩)</t>
        </is>
      </c>
    </row>
    <row r="388" ht="19.2" customHeight="1" s="1">
      <c r="A388" t="inlineStr">
        <is>
          <t>NICE:122856</t>
        </is>
      </c>
      <c r="B388" t="inlineStr">
        <is>
          <t>한경닷컴</t>
        </is>
      </c>
      <c r="C388" s="5" t="n">
        <v>42323417000</v>
      </c>
      <c r="D388" s="5" t="n">
        <v>6043801000</v>
      </c>
      <c r="E388" s="5" t="n">
        <v>36279615000</v>
      </c>
      <c r="F388" s="5" t="n">
        <v>29436341000</v>
      </c>
      <c r="G388" s="5" t="n">
        <v>3566313000</v>
      </c>
      <c r="H388" s="5" t="n">
        <v>27948633000</v>
      </c>
      <c r="I388" s="5" t="n">
        <v>3729462000</v>
      </c>
      <c r="J388" s="4" t="n">
        <v>5.63409948348999</v>
      </c>
      <c r="K388" s="4" t="n">
        <v>0.1665999889373779</v>
      </c>
      <c r="L388" s="4" t="n">
        <v>0.1211999952793121</v>
      </c>
      <c r="M388" t="inlineStr">
        <is>
          <t>박수진</t>
        </is>
      </c>
      <c r="N388" t="inlineStr">
        <is>
          <t>02-3277-9900</t>
        </is>
      </c>
      <c r="O388" t="inlineStr">
        <is>
          <t>02-392-8773</t>
        </is>
      </c>
      <c r="P388" s="3">
        <f>HYPERLINK("http://www.hankyung.com", "http://www.hankyung.com")</f>
        <v/>
      </c>
      <c r="Q388" t="inlineStr">
        <is>
          <t>1048147984</t>
        </is>
      </c>
      <c r="R388" t="inlineStr">
        <is>
          <t>1101111800211</t>
        </is>
      </c>
      <c r="S388" t="inlineStr">
        <is>
          <t>대상아님</t>
        </is>
      </c>
      <c r="T388" t="inlineStr">
        <is>
          <t>일반법인</t>
        </is>
      </c>
      <c r="U388" t="inlineStr">
        <is>
          <t>중견기업</t>
        </is>
      </c>
      <c r="V388" t="inlineStr">
        <is>
          <t>외부감사대상</t>
        </is>
      </c>
      <c r="W388" s="6" t="inlineStr">
        <is>
          <t>1999-11-01</t>
        </is>
      </c>
      <c r="X388" t="inlineStr">
        <is>
          <t>KRI:10J6399100</t>
        </is>
      </c>
      <c r="Y388" t="inlineStr">
        <is>
          <t>데이터베이스 및 온라인정보 제공업</t>
        </is>
      </c>
      <c r="Z388" t="inlineStr">
        <is>
          <t>온라인,부동산정보 제공/컴퓨터,주변기기 제조/소프트웨어 개발,공급</t>
        </is>
      </c>
      <c r="AA388" t="inlineStr">
        <is>
          <t>서울 중구 중림동 441번지</t>
        </is>
      </c>
      <c r="AB388" t="inlineStr">
        <is>
          <t>서울 중구 청파로 463</t>
        </is>
      </c>
    </row>
    <row r="389" ht="19.2" customHeight="1" s="1">
      <c r="A389" t="inlineStr">
        <is>
          <t>NICE:J32696</t>
        </is>
      </c>
      <c r="B389" t="inlineStr">
        <is>
          <t>시큐레이어</t>
        </is>
      </c>
      <c r="C389" s="5" t="n">
        <v>53552419000</v>
      </c>
      <c r="D389" s="5" t="n">
        <v>31512481000</v>
      </c>
      <c r="E389" s="5" t="n">
        <v>22039938000</v>
      </c>
      <c r="F389" s="5" t="n">
        <v>24122986000</v>
      </c>
      <c r="G389" s="5" t="n">
        <v>6218708000</v>
      </c>
      <c r="H389" s="5" t="n">
        <v>20940495000</v>
      </c>
      <c r="I389" s="5" t="n">
        <v>5948037000</v>
      </c>
      <c r="J389" s="4" t="n">
        <v>0.5022000074386597</v>
      </c>
      <c r="K389" s="4" t="n">
        <v>1.429799914360046</v>
      </c>
      <c r="L389" s="4" t="n">
        <v>0.2578000128269196</v>
      </c>
      <c r="M389" t="inlineStr">
        <is>
          <t>전주호</t>
        </is>
      </c>
      <c r="N389" t="inlineStr">
        <is>
          <t>070-4603-7320</t>
        </is>
      </c>
      <c r="O389" t="inlineStr">
        <is>
          <t>02-499-7605</t>
        </is>
      </c>
      <c r="P389" s="3">
        <f>HYPERLINK("http://www.seculayer.co.kr", "http://www.seculayer.co.kr")</f>
        <v/>
      </c>
      <c r="Q389" t="inlineStr">
        <is>
          <t>2148890415</t>
        </is>
      </c>
      <c r="R389" t="inlineStr">
        <is>
          <t>1101114785915</t>
        </is>
      </c>
      <c r="S389" t="inlineStr">
        <is>
          <t>대상아님</t>
        </is>
      </c>
      <c r="T389" t="inlineStr">
        <is>
          <t>일반법인</t>
        </is>
      </c>
      <c r="U389" t="inlineStr">
        <is>
          <t>중소기업</t>
        </is>
      </c>
      <c r="V389" t="inlineStr">
        <is>
          <t>외부감사대상</t>
        </is>
      </c>
      <c r="W389" s="6" t="inlineStr">
        <is>
          <t>2012-02-01</t>
        </is>
      </c>
      <c r="X389" t="inlineStr">
        <is>
          <t>KRI:10J5822200</t>
        </is>
      </c>
      <c r="Y389" t="inlineStr">
        <is>
          <t>응용 소프트웨어 개발 및 공급업</t>
        </is>
      </c>
      <c r="Z389" t="inlineStr">
        <is>
          <t>소프트웨어 개발,공급/컴퓨터시스템 통합자문,구축,연구 개발/정보통신공사</t>
        </is>
      </c>
      <c r="AA389" t="inlineStr">
        <is>
          <t>서울 성동구 성수동2가 308-4번지 서울숲코오롱디지털타워 1407호</t>
        </is>
      </c>
      <c r="AB389" t="inlineStr">
        <is>
          <t>서울 성동구 성수일로4길 25, 1407호 (성수동2가,서울숲코오롱디지털타워)</t>
        </is>
      </c>
    </row>
    <row r="390" ht="19.2" customHeight="1" s="1">
      <c r="A390" t="inlineStr">
        <is>
          <t>NICE:C16088</t>
        </is>
      </c>
      <c r="B390" t="inlineStr">
        <is>
          <t>케이앤씨</t>
        </is>
      </c>
      <c r="C390" s="5" t="n">
        <v>50096787000</v>
      </c>
      <c r="D390" s="5" t="n">
        <v>14358753000</v>
      </c>
      <c r="E390" s="5" t="n">
        <v>35738034000</v>
      </c>
      <c r="F390" s="5" t="n">
        <v>27765489000</v>
      </c>
      <c r="G390" s="5" t="n">
        <v>8570306000</v>
      </c>
      <c r="H390" s="5" t="n">
        <v>75905429000</v>
      </c>
      <c r="I390" s="5" t="n">
        <v>8886532000</v>
      </c>
      <c r="J390" s="4" t="n">
        <v>3.106499910354614</v>
      </c>
      <c r="K390" s="4" t="n">
        <v>0.4018000066280365</v>
      </c>
      <c r="L390" s="4" t="n">
        <v>0.3086999952793121</v>
      </c>
      <c r="M390" t="inlineStr">
        <is>
          <t>김영태</t>
        </is>
      </c>
      <c r="N390" t="inlineStr">
        <is>
          <t>033-263-0087</t>
        </is>
      </c>
      <c r="O390" t="inlineStr">
        <is>
          <t>033-263-0032</t>
        </is>
      </c>
      <c r="P390" s="3">
        <f>HYPERLINK("http://www.knc-korea.com", "http://www.knc-korea.com")</f>
        <v/>
      </c>
      <c r="Q390" t="inlineStr">
        <is>
          <t>1248659946</t>
        </is>
      </c>
      <c r="R390" t="inlineStr">
        <is>
          <t>1348110145864</t>
        </is>
      </c>
      <c r="S390" t="inlineStr">
        <is>
          <t>대상아님</t>
        </is>
      </c>
      <c r="T390" t="inlineStr">
        <is>
          <t>일반법인</t>
        </is>
      </c>
      <c r="U390" t="inlineStr">
        <is>
          <t>중소기업</t>
        </is>
      </c>
      <c r="V390" t="inlineStr">
        <is>
          <t>외부감사대상</t>
        </is>
      </c>
      <c r="W390" s="6" t="inlineStr">
        <is>
          <t>2007-10-04</t>
        </is>
      </c>
      <c r="X390" t="inlineStr">
        <is>
          <t>KRI:10C3039900</t>
        </is>
      </c>
      <c r="Y390" t="inlineStr">
        <is>
          <t>그 외 자동차용 신품 부품 제조업</t>
        </is>
      </c>
      <c r="Z390" t="inlineStr">
        <is>
          <t>자동차부품 제조,도소매/컴퓨터,주변장치 도소매/소프트웨어 개발,공급</t>
        </is>
      </c>
      <c r="AA390" t="inlineStr">
        <is>
          <t>강원 춘천시 신동 1120번지</t>
        </is>
      </c>
      <c r="AB390" t="inlineStr">
        <is>
          <t>강원 춘천시 신샘밭로 158</t>
        </is>
      </c>
    </row>
    <row r="391" ht="19.2" customHeight="1" s="1">
      <c r="A391" t="inlineStr">
        <is>
          <t>NICE:073262</t>
        </is>
      </c>
      <c r="B391" t="inlineStr">
        <is>
          <t>기웅정보통신</t>
        </is>
      </c>
      <c r="C391" s="5" t="n">
        <v>20503689000</v>
      </c>
      <c r="D391" s="5" t="n">
        <v>7673629000</v>
      </c>
      <c r="E391" s="5" t="n">
        <v>12830060000</v>
      </c>
      <c r="F391" s="5" t="n">
        <v>20546305000</v>
      </c>
      <c r="G391" s="5" t="n">
        <v>3949339000</v>
      </c>
      <c r="H391" s="5" t="n">
        <v>19206139000</v>
      </c>
      <c r="I391" s="5" t="n">
        <v>3800521000</v>
      </c>
      <c r="J391" s="4" t="n">
        <v>0.4179999828338623</v>
      </c>
      <c r="K391" s="4" t="n">
        <v>0.5981000065803528</v>
      </c>
      <c r="L391" s="4" t="n">
        <v>0.1921999901533127</v>
      </c>
      <c r="M391" t="inlineStr">
        <is>
          <t>최병인</t>
        </is>
      </c>
      <c r="N391" t="inlineStr">
        <is>
          <t>02-3463-5975</t>
        </is>
      </c>
      <c r="O391" t="inlineStr">
        <is>
          <t>02-3463-5977</t>
        </is>
      </c>
      <c r="P391" s="3">
        <f>HYPERLINK("https://dataapi.co.kr", "https://dataapi.co.kr")</f>
        <v/>
      </c>
      <c r="Q391" t="inlineStr">
        <is>
          <t>2148159394</t>
        </is>
      </c>
      <c r="R391" t="inlineStr">
        <is>
          <t>1101110933518</t>
        </is>
      </c>
      <c r="S391" t="inlineStr">
        <is>
          <t>대상아님</t>
        </is>
      </c>
      <c r="T391" t="inlineStr">
        <is>
          <t>일반법인</t>
        </is>
      </c>
      <c r="U391" t="inlineStr">
        <is>
          <t>중소기업</t>
        </is>
      </c>
      <c r="V391" t="inlineStr">
        <is>
          <t>외부감사대상</t>
        </is>
      </c>
      <c r="W391" s="6" t="inlineStr">
        <is>
          <t>1993-04-08</t>
        </is>
      </c>
      <c r="X391" t="inlineStr">
        <is>
          <t>KRI:10J5822200</t>
        </is>
      </c>
      <c r="Y391" t="inlineStr">
        <is>
          <t>응용 소프트웨어 개발 및 공급업</t>
        </is>
      </c>
      <c r="Z391" t="inlineStr">
        <is>
          <t>소프트웨어 개발,공급/전자제품,컴퓨터주변기기 도소매</t>
        </is>
      </c>
      <c r="AA391" t="inlineStr">
        <is>
          <t>서울 금천구 가산동 550-1번지 아이티캐슬 2동 613호 , 614호, 615호</t>
        </is>
      </c>
      <c r="AB391" t="inlineStr">
        <is>
          <t>서울 금천구 가산디지털2로 98, 2동 613호, 614호, 615호 (가산동,아이티캐슬)</t>
        </is>
      </c>
    </row>
    <row r="392" s="1">
      <c r="A392" t="inlineStr">
        <is>
          <t>NICE:058948</t>
        </is>
      </c>
      <c r="B392" t="inlineStr">
        <is>
          <t>아드반테스트코리아</t>
        </is>
      </c>
      <c r="C392" s="5" t="n">
        <v>383997792000</v>
      </c>
      <c r="D392" s="5" t="n">
        <v>136850267000</v>
      </c>
      <c r="E392" s="5" t="n">
        <v>247147525000</v>
      </c>
      <c r="F392" s="5" t="n">
        <v>887685525000</v>
      </c>
      <c r="G392" s="5" t="n">
        <v>96463325000</v>
      </c>
      <c r="H392" s="5" t="n">
        <v>533195735000</v>
      </c>
      <c r="I392" s="5" t="n">
        <v>77294388000</v>
      </c>
      <c r="J392" s="4" t="n">
        <v>2.255100011825562</v>
      </c>
      <c r="K392" s="4" t="n">
        <v>0.5536999702453613</v>
      </c>
      <c r="L392" s="4" t="n">
        <v>0.1086999997496605</v>
      </c>
      <c r="M392" t="inlineStr">
        <is>
          <t>츠카코시소이치/차재혁</t>
        </is>
      </c>
      <c r="N392" t="inlineStr">
        <is>
          <t>041-901-3900</t>
        </is>
      </c>
      <c r="O392" t="inlineStr">
        <is>
          <t>041-904-6102</t>
        </is>
      </c>
      <c r="P392">
        <f>HYPERLINK("http://www.advantest.com", "http://www.advantest.com")</f>
        <v/>
      </c>
      <c r="Q392" t="inlineStr">
        <is>
          <t>3128123832</t>
        </is>
      </c>
      <c r="R392" t="inlineStr">
        <is>
          <t>1615110019658</t>
        </is>
      </c>
      <c r="S392" t="inlineStr">
        <is>
          <t>대상아님</t>
        </is>
      </c>
      <c r="T392" t="inlineStr">
        <is>
          <t>일반법인</t>
        </is>
      </c>
      <c r="U392" t="inlineStr">
        <is>
          <t>중견기업</t>
        </is>
      </c>
      <c r="V392" t="inlineStr">
        <is>
          <t>외부감사대상</t>
        </is>
      </c>
      <c r="W392" s="6" t="inlineStr">
        <is>
          <t>1996-04-24</t>
        </is>
      </c>
      <c r="X392" t="inlineStr">
        <is>
          <t>KRI:10C2927100</t>
        </is>
      </c>
      <c r="Y392" t="inlineStr">
        <is>
          <t>반도체 제조용 기계 제조업</t>
        </is>
      </c>
      <c r="Z392" t="inlineStr">
        <is>
          <t>반도체제조장비 제조,도매,무역/태양광 발전</t>
        </is>
      </c>
      <c r="AA392" t="inlineStr">
        <is>
          <t>충남 천안시 서북구 차암동 421번지</t>
        </is>
      </c>
      <c r="AB392" t="inlineStr">
        <is>
          <t>충남 천안시 서북구 3공단6로 140</t>
        </is>
      </c>
    </row>
    <row r="393" s="1">
      <c r="A393" t="inlineStr">
        <is>
          <t>NICE:144398</t>
        </is>
      </c>
      <c r="B393" t="inlineStr">
        <is>
          <t>인창기건</t>
        </is>
      </c>
      <c r="C393" s="5" t="n">
        <v>41442712000</v>
      </c>
      <c r="D393" s="5" t="n">
        <v>9138180000</v>
      </c>
      <c r="E393" s="5" t="n">
        <v>32304532000</v>
      </c>
      <c r="F393" s="5" t="n">
        <v>48738588000</v>
      </c>
      <c r="G393" s="5" t="n">
        <v>10692068000</v>
      </c>
      <c r="H393" s="5" t="n">
        <v>61401671000</v>
      </c>
      <c r="I393" s="5" t="n">
        <v>5672554000</v>
      </c>
      <c r="J393" s="4" t="n">
        <v>3.527799844741821</v>
      </c>
      <c r="K393" s="4" t="n">
        <v>0.2829000055789948</v>
      </c>
      <c r="L393" s="4" t="n">
        <v>0.2194000035524368</v>
      </c>
      <c r="M393" t="inlineStr">
        <is>
          <t>박종기/박종성</t>
        </is>
      </c>
      <c r="N393" t="inlineStr">
        <is>
          <t>02-420-2727</t>
        </is>
      </c>
      <c r="O393" t="inlineStr">
        <is>
          <t>02-422-0471</t>
        </is>
      </c>
      <c r="P393">
        <f>HYPERLINK("http://www.inchangeng.com", "http://www.inchangeng.com")</f>
        <v/>
      </c>
      <c r="Q393" t="inlineStr">
        <is>
          <t>2198102713</t>
        </is>
      </c>
      <c r="R393" t="inlineStr">
        <is>
          <t>1101110529705</t>
        </is>
      </c>
      <c r="S393" t="inlineStr">
        <is>
          <t>대상아님</t>
        </is>
      </c>
      <c r="T393" t="inlineStr">
        <is>
          <t>일반법인</t>
        </is>
      </c>
      <c r="U393" t="inlineStr">
        <is>
          <t>중소기업</t>
        </is>
      </c>
      <c r="V393" t="inlineStr">
        <is>
          <t>외부감사대상</t>
        </is>
      </c>
      <c r="W393" s="6" t="inlineStr">
        <is>
          <t>1987-05-06</t>
        </is>
      </c>
      <c r="X393" t="inlineStr">
        <is>
          <t>KRI:10F4249200</t>
        </is>
      </c>
      <c r="Y393" t="inlineStr">
        <is>
          <t>건물용 금속공작물 설치 공사업</t>
        </is>
      </c>
      <c r="Z393" t="inlineStr">
        <is>
          <t>강구조물공사,철물공사,시설물유지관리공사/건축자재 도매/강구조물,철물 제조</t>
        </is>
      </c>
      <c r="AA393" t="inlineStr">
        <is>
          <t>서울 송파구 거여동 19-8번지 인창빌딩 5,6,7층</t>
        </is>
      </c>
      <c r="AB393" t="inlineStr">
        <is>
          <t>서울 송파구 오금로 457, 5,6,7층 (거여동,인창빌딩)</t>
        </is>
      </c>
    </row>
    <row r="394" ht="19.2" customHeight="1" s="1">
      <c r="A394" t="inlineStr">
        <is>
          <t>NICE:511960</t>
        </is>
      </c>
      <c r="B394" t="inlineStr">
        <is>
          <t>영남스퀘어</t>
        </is>
      </c>
      <c r="C394" s="5" t="n">
        <v>20676681000</v>
      </c>
      <c r="D394" s="5" t="n">
        <v>3765862000</v>
      </c>
      <c r="E394" s="5" t="n">
        <v>16910819000</v>
      </c>
      <c r="F394" s="5" t="n">
        <v>28525290000</v>
      </c>
      <c r="G394" s="5" t="n">
        <v>2963930000</v>
      </c>
      <c r="H394" s="5" t="n">
        <v>24904164000</v>
      </c>
      <c r="I394" s="5" t="n">
        <v>1335525000</v>
      </c>
      <c r="J394" s="4" t="n">
        <v>3.674499988555908</v>
      </c>
      <c r="K394" s="4" t="n">
        <v>0.2226999998092651</v>
      </c>
      <c r="L394" s="4" t="n">
        <v>0.1039000004529953</v>
      </c>
      <c r="M394" t="inlineStr">
        <is>
          <t>장재모</t>
        </is>
      </c>
      <c r="N394" t="inlineStr">
        <is>
          <t>02-540-2400</t>
        </is>
      </c>
      <c r="O394" t="inlineStr">
        <is>
          <t>02-540-2366</t>
        </is>
      </c>
      <c r="P394" s="3">
        <f>HYPERLINK("http://www.youngnam.co.kr", "http://www.youngnam.co.kr")</f>
        <v/>
      </c>
      <c r="Q394" t="inlineStr">
        <is>
          <t>2118145912</t>
        </is>
      </c>
      <c r="R394" t="inlineStr">
        <is>
          <t>1101110176134</t>
        </is>
      </c>
      <c r="S394" t="inlineStr">
        <is>
          <t>대상아님</t>
        </is>
      </c>
      <c r="T394" t="inlineStr">
        <is>
          <t>일반법인</t>
        </is>
      </c>
      <c r="U394" t="inlineStr">
        <is>
          <t>중소기업</t>
        </is>
      </c>
      <c r="V394" t="inlineStr">
        <is>
          <t>외부감사대상</t>
        </is>
      </c>
      <c r="W394" s="6" t="inlineStr">
        <is>
          <t>1963-03-01</t>
        </is>
      </c>
      <c r="X394" t="inlineStr">
        <is>
          <t>KRI:10F4232100</t>
        </is>
      </c>
      <c r="Y394" t="inlineStr">
        <is>
          <t>일반 통신 공사업</t>
        </is>
      </c>
      <c r="Z394" t="inlineStr">
        <is>
          <t>정보통신공사,신재생에너지(태양광)공사,전기공사,소방(기계)설비공사/정보통신,컴퓨터주변기기 제조,도소매</t>
        </is>
      </c>
      <c r="AA394" t="inlineStr">
        <is>
          <t>서울 강남구 논현동 238-13번지</t>
        </is>
      </c>
      <c r="AB394" t="inlineStr">
        <is>
          <t>서울 강남구 학동로 314</t>
        </is>
      </c>
    </row>
    <row r="395" ht="19.2" customHeight="1" s="1">
      <c r="A395" t="inlineStr">
        <is>
          <t>NICE:477391</t>
        </is>
      </c>
      <c r="B395" t="inlineStr">
        <is>
          <t>아스렉스코리아</t>
        </is>
      </c>
      <c r="C395" s="5" t="n">
        <v>28155837000</v>
      </c>
      <c r="D395" s="5" t="n">
        <v>9290978000</v>
      </c>
      <c r="E395" s="5" t="n">
        <v>18864859000</v>
      </c>
      <c r="F395" s="5" t="n">
        <v>29514866000</v>
      </c>
      <c r="G395" s="5" t="n">
        <v>2982406000</v>
      </c>
      <c r="H395" s="5" t="n">
        <v>30497929000</v>
      </c>
      <c r="I395" s="5" t="n">
        <v>3395637000</v>
      </c>
      <c r="J395" s="4" t="n">
        <v>2.86299991607666</v>
      </c>
      <c r="K395" s="4" t="n">
        <v>0.492499977350235</v>
      </c>
      <c r="L395" s="4" t="n">
        <v>0.101000003516674</v>
      </c>
      <c r="M395" t="inlineStr">
        <is>
          <t>응웽이앨빈</t>
        </is>
      </c>
      <c r="N395" t="inlineStr">
        <is>
          <t>02-6900-9400</t>
        </is>
      </c>
      <c r="O395" t="inlineStr">
        <is>
          <t>02-6900-9403</t>
        </is>
      </c>
      <c r="P395" s="3">
        <f>HYPERLINK("http://www.arthrex.com/", "http://www.arthrex.com/")</f>
        <v/>
      </c>
      <c r="Q395" t="inlineStr">
        <is>
          <t>1208675721</t>
        </is>
      </c>
      <c r="R395" t="inlineStr">
        <is>
          <t>1101140051629</t>
        </is>
      </c>
      <c r="S395" t="inlineStr">
        <is>
          <t>대상아님</t>
        </is>
      </c>
      <c r="T395" t="inlineStr">
        <is>
          <t>일반법인</t>
        </is>
      </c>
      <c r="U395" t="inlineStr">
        <is>
          <t>중소기업</t>
        </is>
      </c>
      <c r="V395" t="inlineStr">
        <is>
          <t>외부감사대상</t>
        </is>
      </c>
      <c r="W395" s="6" t="inlineStr">
        <is>
          <t>2004-12-03</t>
        </is>
      </c>
      <c r="X395" t="inlineStr">
        <is>
          <t>KRI:10G4659200</t>
        </is>
      </c>
      <c r="Y395" t="inlineStr">
        <is>
          <t>의료기기 도매업</t>
        </is>
      </c>
      <c r="Z395" t="inlineStr">
        <is>
          <t>의료기기 도매</t>
        </is>
      </c>
      <c r="AA395" t="inlineStr">
        <is>
          <t>서울 강남구 삼성동 159-8번지 20층</t>
        </is>
      </c>
      <c r="AB395" t="inlineStr">
        <is>
          <t>서울 강남구 테헤란로 521, 20층</t>
        </is>
      </c>
    </row>
    <row r="396" ht="19.2" customHeight="1" s="1">
      <c r="A396" t="inlineStr">
        <is>
          <t>NICE:083259</t>
        </is>
      </c>
      <c r="B396" t="inlineStr">
        <is>
          <t>대한에프에이시스템</t>
        </is>
      </c>
      <c r="C396" s="5" t="n">
        <v>24653050000</v>
      </c>
      <c r="D396" s="5" t="n">
        <v>4238886000</v>
      </c>
      <c r="E396" s="5" t="n">
        <v>20414163000</v>
      </c>
      <c r="F396" s="5" t="n">
        <v>25185935000</v>
      </c>
      <c r="G396" s="5" t="n">
        <v>2549080000</v>
      </c>
      <c r="H396" s="5" t="n">
        <v>25448440000</v>
      </c>
      <c r="I396" s="5" t="n">
        <v>1967159000</v>
      </c>
      <c r="J396" s="4" t="n">
        <v>4.334700107574463</v>
      </c>
      <c r="K396" s="4" t="n">
        <v>0.2075999975204468</v>
      </c>
      <c r="L396" s="4" t="n">
        <v>0.1011999994516373</v>
      </c>
      <c r="M396" t="inlineStr">
        <is>
          <t>강영근</t>
        </is>
      </c>
      <c r="N396" t="inlineStr">
        <is>
          <t>02-2189-3700</t>
        </is>
      </c>
      <c r="O396" t="inlineStr">
        <is>
          <t>02-573-1904</t>
        </is>
      </c>
      <c r="P396" s="3">
        <f>HYPERLINK("http://www.kfa.co.kr", "http://www.kfa.co.kr")</f>
        <v/>
      </c>
      <c r="Q396" t="inlineStr">
        <is>
          <t>2148107237</t>
        </is>
      </c>
      <c r="R396" t="inlineStr">
        <is>
          <t>1101110562193</t>
        </is>
      </c>
      <c r="S396" t="inlineStr">
        <is>
          <t>대상아님</t>
        </is>
      </c>
      <c r="T396" t="inlineStr">
        <is>
          <t>일반법인</t>
        </is>
      </c>
      <c r="U396" t="inlineStr">
        <is>
          <t>중소기업</t>
        </is>
      </c>
      <c r="V396" t="inlineStr">
        <is>
          <t>외부감사대상</t>
        </is>
      </c>
      <c r="W396" s="6" t="inlineStr">
        <is>
          <t>1988-02-12</t>
        </is>
      </c>
      <c r="X396" t="inlineStr">
        <is>
          <t>KRI:10J5822100</t>
        </is>
      </c>
      <c r="Y396" t="inlineStr">
        <is>
          <t>시스템 소프트웨어 개발 및 공급업</t>
        </is>
      </c>
      <c r="Z396" t="inlineStr">
        <is>
          <t>소프트웨어(MES생산관리시스템,PLC제어) 개발/장비 도매</t>
        </is>
      </c>
      <c r="AA396" t="inlineStr">
        <is>
          <t>서울 강남구 삼성동 145-9번지 석천빌딩 3층</t>
        </is>
      </c>
      <c r="AB396" t="inlineStr">
        <is>
          <t>서울 강남구 삼성로 570, 3층 (삼성동,석천빌딩)</t>
        </is>
      </c>
    </row>
    <row r="397" ht="19.2" customHeight="1" s="1">
      <c r="A397" t="inlineStr">
        <is>
          <t>NICE:HV3249</t>
        </is>
      </c>
      <c r="B397" t="inlineStr">
        <is>
          <t>에스와이리소스</t>
        </is>
      </c>
      <c r="C397" s="5" t="n">
        <v>77428742000</v>
      </c>
      <c r="D397" s="5" t="n">
        <v>32588114000</v>
      </c>
      <c r="E397" s="5" t="n">
        <v>44840628000</v>
      </c>
      <c r="F397" s="5" t="n">
        <v>22942927000</v>
      </c>
      <c r="G397" s="5" t="n">
        <v>5068570000</v>
      </c>
      <c r="H397" s="5" t="n">
        <v>21515304000</v>
      </c>
      <c r="I397" s="5" t="n">
        <v>6574948000</v>
      </c>
      <c r="J397" s="4" t="n">
        <v>1.380099892616272</v>
      </c>
      <c r="K397" s="4" t="n">
        <v>0.7267999649047852</v>
      </c>
      <c r="L397" s="4" t="n">
        <v>0.2208999991416931</v>
      </c>
      <c r="M397" t="inlineStr">
        <is>
          <t>박용철</t>
        </is>
      </c>
      <c r="N397" t="inlineStr">
        <is>
          <t>031-523-4000</t>
        </is>
      </c>
      <c r="O397" t="inlineStr">
        <is>
          <t>031-523-3334</t>
        </is>
      </c>
      <c r="P397" s="3" t="n"/>
      <c r="Q397" t="inlineStr">
        <is>
          <t>5928100599</t>
        </is>
      </c>
      <c r="R397" t="inlineStr">
        <is>
          <t>2844110090652</t>
        </is>
      </c>
      <c r="S397" t="inlineStr">
        <is>
          <t>대상아님</t>
        </is>
      </c>
      <c r="T397" t="inlineStr">
        <is>
          <t>일반법인</t>
        </is>
      </c>
      <c r="U397" t="inlineStr">
        <is>
          <t>중소기업</t>
        </is>
      </c>
      <c r="V397" t="inlineStr">
        <is>
          <t>외부감사대상</t>
        </is>
      </c>
      <c r="W397" s="6" t="inlineStr">
        <is>
          <t>2016-10-27</t>
        </is>
      </c>
      <c r="X397" t="inlineStr">
        <is>
          <t>KRI:10B0610000</t>
        </is>
      </c>
      <c r="Y397" t="inlineStr">
        <is>
          <t>철 광업</t>
        </is>
      </c>
      <c r="Z397" t="inlineStr">
        <is>
          <t>철 광업</t>
        </is>
      </c>
      <c r="AA397" t="inlineStr">
        <is>
          <t>경기 포천시 관인면 삼율리 산122번지</t>
        </is>
      </c>
      <c r="AB397" t="inlineStr">
        <is>
          <t>경기 포천시 관인면 창동로1230번길 94</t>
        </is>
      </c>
    </row>
    <row r="398" ht="19.2" customHeight="1" s="1">
      <c r="A398" t="inlineStr">
        <is>
          <t>NICE:398209</t>
        </is>
      </c>
      <c r="B398" t="inlineStr">
        <is>
          <t>코스모</t>
        </is>
      </c>
      <c r="C398" s="5" t="n">
        <v>38644855000</v>
      </c>
      <c r="D398" s="5" t="n">
        <v>18356973000</v>
      </c>
      <c r="E398" s="5" t="n">
        <v>20287882000</v>
      </c>
      <c r="F398" s="5" t="n">
        <v>21575695000</v>
      </c>
      <c r="G398" s="5" t="n">
        <v>4632094000</v>
      </c>
      <c r="H398" s="5" t="n">
        <v>20983952000</v>
      </c>
      <c r="I398" s="5" t="n">
        <v>3516165000</v>
      </c>
      <c r="J398" s="4" t="n">
        <v>1.105899930000305</v>
      </c>
      <c r="K398" s="4" t="n">
        <v>0.9047999978065491</v>
      </c>
      <c r="L398" s="4" t="n">
        <v>0.2146999835968018</v>
      </c>
      <c r="M398" t="inlineStr">
        <is>
          <t>최욱</t>
        </is>
      </c>
      <c r="N398" t="inlineStr">
        <is>
          <t>051-519-2075</t>
        </is>
      </c>
      <c r="O398" t="inlineStr">
        <is>
          <t>051-582-7176</t>
        </is>
      </c>
      <c r="P398" s="3">
        <f>HYPERLINK("http://www.bn-cosmo.com", "http://www.bn-cosmo.com")</f>
        <v/>
      </c>
      <c r="Q398" t="inlineStr">
        <is>
          <t>6218106834</t>
        </is>
      </c>
      <c r="R398" t="inlineStr">
        <is>
          <t>1801110124246</t>
        </is>
      </c>
      <c r="S398" t="inlineStr">
        <is>
          <t>대상아님</t>
        </is>
      </c>
      <c r="T398" t="inlineStr">
        <is>
          <t>일반법인</t>
        </is>
      </c>
      <c r="U398" t="inlineStr">
        <is>
          <t>중소기업</t>
        </is>
      </c>
      <c r="V398" t="inlineStr">
        <is>
          <t>외부감사대상</t>
        </is>
      </c>
      <c r="W398" s="6" t="inlineStr">
        <is>
          <t>1992-03-26</t>
        </is>
      </c>
      <c r="X398" t="inlineStr">
        <is>
          <t>KRI:10C3111400</t>
        </is>
      </c>
      <c r="Y398" t="inlineStr">
        <is>
          <t>선박 구성 부분품 제조업</t>
        </is>
      </c>
      <c r="Z398" t="inlineStr">
        <is>
          <t>선박용 문,기자재,육상용방화문 제조</t>
        </is>
      </c>
      <c r="AA398" t="inlineStr">
        <is>
          <t>부산 금정구 구서동 84-18번지 비아이피빌딩 내</t>
        </is>
      </c>
      <c r="AB398" t="inlineStr">
        <is>
          <t>부산 금정구 중앙대로 1817, 내 (구서동,비아이피빌딩)</t>
        </is>
      </c>
    </row>
    <row r="399" s="1">
      <c r="A399" t="inlineStr">
        <is>
          <t>NICE:I91543</t>
        </is>
      </c>
      <c r="B399" t="inlineStr">
        <is>
          <t>에스비아이아이에프</t>
        </is>
      </c>
      <c r="C399" s="5" t="n">
        <v>506452610000</v>
      </c>
      <c r="D399" s="5" t="n">
        <v>6554619000</v>
      </c>
      <c r="E399" s="5" t="n">
        <v>499897992000</v>
      </c>
      <c r="F399" s="5" t="n">
        <v>27414728000</v>
      </c>
      <c r="G399" s="5" t="n">
        <v>27315340000</v>
      </c>
      <c r="H399" s="5" t="n">
        <v>22171571000</v>
      </c>
      <c r="I399" s="5" t="n">
        <v>22066606000</v>
      </c>
      <c r="J399" s="4" t="n">
        <v>64.38999938964844</v>
      </c>
      <c r="K399" s="4" t="n">
        <v>0.01309999916702509</v>
      </c>
      <c r="L399" s="4" t="n">
        <v>0.996399998664856</v>
      </c>
      <c r="M399" t="inlineStr">
        <is>
          <t>고지은</t>
        </is>
      </c>
      <c r="N399" t="inlineStr">
        <is>
          <t>02-3416-4083</t>
        </is>
      </c>
      <c r="O399" t="inlineStr">
        <is>
          <t>02-2136-0428</t>
        </is>
      </c>
      <c r="Q399" t="inlineStr">
        <is>
          <t>2208852003</t>
        </is>
      </c>
      <c r="R399" t="inlineStr">
        <is>
          <t>1101115057090</t>
        </is>
      </c>
      <c r="S399" t="inlineStr">
        <is>
          <t>대상아님</t>
        </is>
      </c>
      <c r="T399" t="inlineStr">
        <is>
          <t>일반법인</t>
        </is>
      </c>
      <c r="U399" t="inlineStr">
        <is>
          <t>중소기업</t>
        </is>
      </c>
      <c r="V399" t="inlineStr">
        <is>
          <t>외부감사대상</t>
        </is>
      </c>
      <c r="W399" s="6" t="inlineStr">
        <is>
          <t>2013-01-29</t>
        </is>
      </c>
      <c r="X399" t="inlineStr">
        <is>
          <t>KRI:10M7153100</t>
        </is>
      </c>
      <c r="Y399" t="inlineStr">
        <is>
          <t>경영 컨설팅업</t>
        </is>
      </c>
      <c r="Z399" t="inlineStr">
        <is>
          <t>경영 컨설팅/기업 투자</t>
        </is>
      </c>
      <c r="AA399" t="inlineStr">
        <is>
          <t>서울 중구 수하동 67번지 미래에셋센터원빌딩 동관 9층</t>
        </is>
      </c>
      <c r="AB399" t="inlineStr">
        <is>
          <t>서울 중구 을지로5길 26, 동관 9층 (수하동,미래에셋센터원빌딩)</t>
        </is>
      </c>
    </row>
    <row r="400" ht="19.2" customHeight="1" s="1">
      <c r="A400" t="inlineStr">
        <is>
          <t>NICE:119024</t>
        </is>
      </c>
      <c r="B400" t="inlineStr">
        <is>
          <t>태화인더스트리</t>
        </is>
      </c>
      <c r="C400" s="5" t="n">
        <v>61000908000</v>
      </c>
      <c r="D400" s="5" t="n">
        <v>9856919000</v>
      </c>
      <c r="E400" s="5" t="n">
        <v>51143989000</v>
      </c>
      <c r="F400" s="5" t="n">
        <v>20313390000</v>
      </c>
      <c r="G400" s="5" t="n">
        <v>2319416000</v>
      </c>
      <c r="H400" s="5" t="n">
        <v>30739002000</v>
      </c>
      <c r="I400" s="5" t="n">
        <v>4213059000</v>
      </c>
      <c r="J400" s="4" t="n">
        <v>5.065100193023682</v>
      </c>
      <c r="K400" s="4" t="n">
        <v>0.1926999986171722</v>
      </c>
      <c r="L400" s="4" t="n">
        <v>0.1141999959945679</v>
      </c>
      <c r="M400" t="inlineStr">
        <is>
          <t>김성문</t>
        </is>
      </c>
      <c r="N400" t="inlineStr">
        <is>
          <t>02-598-1126</t>
        </is>
      </c>
      <c r="O400" t="inlineStr">
        <is>
          <t>02-598-1129</t>
        </is>
      </c>
      <c r="P400" s="3">
        <f>HYPERLINK("http://www.thi.co.kr", "http://www.thi.co.kr")</f>
        <v/>
      </c>
      <c r="Q400" t="inlineStr">
        <is>
          <t>2148154254</t>
        </is>
      </c>
      <c r="R400" t="inlineStr">
        <is>
          <t>1101110937164</t>
        </is>
      </c>
      <c r="S400" t="inlineStr">
        <is>
          <t>대상아님</t>
        </is>
      </c>
      <c r="T400" t="inlineStr">
        <is>
          <t>일반법인</t>
        </is>
      </c>
      <c r="U400" t="inlineStr">
        <is>
          <t>중소기업</t>
        </is>
      </c>
      <c r="V400" t="inlineStr">
        <is>
          <t>외부감사대상</t>
        </is>
      </c>
      <c r="W400" s="6" t="inlineStr">
        <is>
          <t>1993-04-22</t>
        </is>
      </c>
      <c r="X400" t="inlineStr">
        <is>
          <t>KRI:10C2917100</t>
        </is>
      </c>
      <c r="Y400" t="inlineStr">
        <is>
          <t>산업용 냉장 및 냉동 장비 제조업</t>
        </is>
      </c>
      <c r="Z400" t="inlineStr">
        <is>
          <t>산업냉동기,응축기,신재생에너지 제조,도매,오파/기계설비공사,냉동설비공사</t>
        </is>
      </c>
      <c r="AA400" t="inlineStr">
        <is>
          <t>서울 서초구 서초동 1449-12번지 한원빌딩 2층</t>
        </is>
      </c>
      <c r="AB400" t="inlineStr">
        <is>
          <t>서울 서초구 남부순환로 2423, 2층 (서초동,한원빌딩)</t>
        </is>
      </c>
    </row>
    <row r="401" ht="19.2" customHeight="1" s="1">
      <c r="A401" t="inlineStr">
        <is>
          <t>NICE:OY8545</t>
        </is>
      </c>
      <c r="B401" t="inlineStr">
        <is>
          <t>창조종합건설</t>
        </is>
      </c>
      <c r="C401" s="5" t="n">
        <v>27696692000</v>
      </c>
      <c r="D401" s="5" t="n">
        <v>10083961000</v>
      </c>
      <c r="E401" s="5" t="n">
        <v>17612731000</v>
      </c>
      <c r="F401" s="5" t="n">
        <v>68881274000</v>
      </c>
      <c r="G401" s="5" t="n">
        <v>17957685000</v>
      </c>
      <c r="H401" s="5" t="n">
        <v>79574054000</v>
      </c>
      <c r="I401" s="5" t="n">
        <v>35952794000</v>
      </c>
      <c r="J401" s="4" t="n">
        <v>2.680400133132935</v>
      </c>
      <c r="K401" s="4" t="n">
        <v>0.5724999904632568</v>
      </c>
      <c r="L401" s="4" t="n">
        <v>0.260699987411499</v>
      </c>
      <c r="M401" t="inlineStr">
        <is>
          <t>김규원</t>
        </is>
      </c>
      <c r="N401" t="inlineStr">
        <is>
          <t>043-229-2477</t>
        </is>
      </c>
      <c r="P401" s="3" t="n"/>
      <c r="Q401" t="inlineStr">
        <is>
          <t>2028702570</t>
        </is>
      </c>
      <c r="R401" t="inlineStr">
        <is>
          <t>1501110326806</t>
        </is>
      </c>
      <c r="S401" t="inlineStr">
        <is>
          <t>대상아님</t>
        </is>
      </c>
      <c r="T401" t="inlineStr">
        <is>
          <t>일반법인</t>
        </is>
      </c>
      <c r="U401" t="inlineStr">
        <is>
          <t>중소기업</t>
        </is>
      </c>
      <c r="V401" t="inlineStr">
        <is>
          <t>외부감사대상</t>
        </is>
      </c>
      <c r="W401" s="6" t="inlineStr">
        <is>
          <t>2022-03-24</t>
        </is>
      </c>
      <c r="X401" t="inlineStr">
        <is>
          <t>KRI:10F4122000</t>
        </is>
      </c>
      <c r="Y401" t="inlineStr">
        <is>
          <t>토목시설물 건설업</t>
        </is>
      </c>
      <c r="Z401" t="inlineStr">
        <is>
          <t>토목공사</t>
        </is>
      </c>
      <c r="AA401" t="inlineStr">
        <is>
          <t>충북 청주시 상당구 북문로2가 116-166번지</t>
        </is>
      </c>
      <c r="AB401" t="inlineStr">
        <is>
          <t>충북 청주시 상당구 상당로 127</t>
        </is>
      </c>
    </row>
    <row r="402" s="1">
      <c r="A402" t="inlineStr">
        <is>
          <t>NICE:G55710</t>
        </is>
      </c>
      <c r="B402" t="inlineStr">
        <is>
          <t>지에스아이</t>
        </is>
      </c>
      <c r="C402" s="5" t="n">
        <v>20871248000</v>
      </c>
      <c r="D402" s="5" t="n">
        <v>8353960000</v>
      </c>
      <c r="E402" s="5" t="n">
        <v>12517288000</v>
      </c>
      <c r="F402" s="5" t="n">
        <v>25439049000</v>
      </c>
      <c r="G402" s="5" t="n">
        <v>4116677000</v>
      </c>
      <c r="H402" s="5" t="n">
        <v>20044659000</v>
      </c>
      <c r="I402" s="5" t="n">
        <v>3368414000</v>
      </c>
      <c r="J402" s="4" t="n">
        <v>3.255299806594849</v>
      </c>
      <c r="K402" s="4" t="n">
        <v>0.6673999428749084</v>
      </c>
      <c r="L402" s="4" t="n">
        <v>0.1617999970912933</v>
      </c>
      <c r="M402" t="inlineStr">
        <is>
          <t>한성기</t>
        </is>
      </c>
      <c r="N402" t="inlineStr">
        <is>
          <t>031-421-2611</t>
        </is>
      </c>
      <c r="O402" t="inlineStr">
        <is>
          <t>031-421-2610</t>
        </is>
      </c>
      <c r="P402">
        <f>HYPERLINK("http://www.higsi.net", "http://www.higsi.net")</f>
        <v/>
      </c>
      <c r="Q402" t="inlineStr">
        <is>
          <t>2148854743</t>
        </is>
      </c>
      <c r="R402" t="inlineStr">
        <is>
          <t>1101114282242</t>
        </is>
      </c>
      <c r="S402" t="inlineStr">
        <is>
          <t>대상아님</t>
        </is>
      </c>
      <c r="T402" t="inlineStr">
        <is>
          <t>일반법인</t>
        </is>
      </c>
      <c r="U402" t="inlineStr">
        <is>
          <t>중소기업</t>
        </is>
      </c>
      <c r="V402" t="inlineStr">
        <is>
          <t>외부감사대상</t>
        </is>
      </c>
      <c r="W402" s="6" t="inlineStr">
        <is>
          <t>2010-02-10</t>
        </is>
      </c>
      <c r="X402" t="inlineStr">
        <is>
          <t>KRI:10C2812300</t>
        </is>
      </c>
      <c r="Y402" t="inlineStr">
        <is>
          <t>배전반 및 전기 자동제어반 제조업</t>
        </is>
      </c>
      <c r="Z402" t="inlineStr">
        <is>
          <t>배전용(기기용)전기회로개폐,보호,접속장치등 제조</t>
        </is>
      </c>
      <c r="AA402" t="inlineStr">
        <is>
          <t>경기 안양시 동안구 관양동 799번지 안양메가밸리 717호, 719호</t>
        </is>
      </c>
      <c r="AB402" t="inlineStr">
        <is>
          <t>경기 안양시 동안구 학의로 268, 717호, 719호 (관양동,안양메가밸리)</t>
        </is>
      </c>
    </row>
    <row r="403" ht="19.2" customHeight="1" s="1">
      <c r="A403" t="inlineStr">
        <is>
          <t>NICE:776939</t>
        </is>
      </c>
      <c r="B403" t="inlineStr">
        <is>
          <t>닛폰산소메티슨코리아</t>
        </is>
      </c>
      <c r="C403" s="5" t="n">
        <v>151148768000</v>
      </c>
      <c r="D403" s="5" t="n">
        <v>12561447000</v>
      </c>
      <c r="E403" s="5" t="n">
        <v>138587321000</v>
      </c>
      <c r="F403" s="5" t="n">
        <v>97684172000</v>
      </c>
      <c r="G403" s="5" t="n">
        <v>10930599000</v>
      </c>
      <c r="H403" s="5" t="n">
        <v>97907375000</v>
      </c>
      <c r="I403" s="5" t="n">
        <v>6972798000</v>
      </c>
      <c r="J403" s="4" t="n">
        <v>4.337199687957764</v>
      </c>
      <c r="K403" s="4" t="n">
        <v>0.09059999883174896</v>
      </c>
      <c r="L403" s="4" t="n">
        <v>0.1118999943137169</v>
      </c>
      <c r="M403" t="inlineStr">
        <is>
          <t>송상우</t>
        </is>
      </c>
      <c r="N403" t="inlineStr">
        <is>
          <t>041-539-7400</t>
        </is>
      </c>
      <c r="O403" t="inlineStr">
        <is>
          <t>041-539-7499</t>
        </is>
      </c>
      <c r="P403" s="3">
        <f>HYPERLINK("http://www.mgpk.co.kr", "http://www.mgpk.co.kr")</f>
        <v/>
      </c>
      <c r="Q403" t="inlineStr">
        <is>
          <t>1148167712</t>
        </is>
      </c>
      <c r="R403" t="inlineStr">
        <is>
          <t>1101111193228</t>
        </is>
      </c>
      <c r="S403" t="inlineStr">
        <is>
          <t>대상아님</t>
        </is>
      </c>
      <c r="T403" t="inlineStr">
        <is>
          <t>일반법인</t>
        </is>
      </c>
      <c r="U403" t="inlineStr">
        <is>
          <t>중소기업</t>
        </is>
      </c>
      <c r="V403" t="inlineStr">
        <is>
          <t>외부감사대상</t>
        </is>
      </c>
      <c r="W403" s="6" t="inlineStr">
        <is>
          <t>1995-09-01</t>
        </is>
      </c>
      <c r="X403" t="inlineStr">
        <is>
          <t>KRI:10G4673900</t>
        </is>
      </c>
      <c r="Y403" t="inlineStr">
        <is>
          <t>기타 화학물질 및 화학제품 도매업</t>
        </is>
      </c>
      <c r="Z403" t="inlineStr">
        <is>
          <t>반도체제조용 특수가스(헬륨,이산화질소) 도매,제조</t>
        </is>
      </c>
      <c r="AA403" t="inlineStr">
        <is>
          <t>충남 아산시 음봉면 삼거리 91-1번지</t>
        </is>
      </c>
      <c r="AB403" t="inlineStr">
        <is>
          <t>충남 아산시 음봉면 음봉면로 94</t>
        </is>
      </c>
    </row>
    <row r="404" ht="19.2" customHeight="1" s="1">
      <c r="A404" t="inlineStr">
        <is>
          <t>NICE:OX7522</t>
        </is>
      </c>
      <c r="B404" t="inlineStr">
        <is>
          <t>키움</t>
        </is>
      </c>
      <c r="C404" s="5" t="n">
        <v>24512256000</v>
      </c>
      <c r="D404" s="5" t="n">
        <v>18571881000</v>
      </c>
      <c r="E404" s="5" t="n">
        <v>5940375000</v>
      </c>
      <c r="F404" s="5" t="n">
        <v>39960009000</v>
      </c>
      <c r="G404" s="5" t="n">
        <v>4209940000</v>
      </c>
      <c r="H404" s="5" t="n">
        <v>21223316000</v>
      </c>
      <c r="I404" s="5" t="n">
        <v>1826992000</v>
      </c>
      <c r="J404" s="4" t="n">
        <v>1.99589991569519</v>
      </c>
      <c r="K404" s="4" t="n">
        <v>3.126399993896484</v>
      </c>
      <c r="L404" s="4" t="n">
        <v>0.1053999960422516</v>
      </c>
      <c r="M404" t="inlineStr">
        <is>
          <t>이주형</t>
        </is>
      </c>
      <c r="P404" s="3" t="n"/>
      <c r="Q404" t="inlineStr">
        <is>
          <t>8508102455</t>
        </is>
      </c>
      <c r="R404" t="inlineStr">
        <is>
          <t>1747110060511</t>
        </is>
      </c>
      <c r="S404" t="inlineStr">
        <is>
          <t>대상아님</t>
        </is>
      </c>
      <c r="T404" t="inlineStr">
        <is>
          <t>일반법인</t>
        </is>
      </c>
      <c r="U404" t="inlineStr">
        <is>
          <t>중소기업</t>
        </is>
      </c>
      <c r="V404" t="inlineStr">
        <is>
          <t>외부감사대상</t>
        </is>
      </c>
      <c r="W404" s="6" t="inlineStr">
        <is>
          <t>2022-02-28</t>
        </is>
      </c>
      <c r="X404" t="inlineStr">
        <is>
          <t>KRI:10F4213900</t>
        </is>
      </c>
      <c r="Y404" t="inlineStr">
        <is>
          <t>기타 옥외 시설물 축조 관련 전문공사업</t>
        </is>
      </c>
      <c r="Z404" t="inlineStr">
        <is>
          <t>태양광발전구조물시공,전기공사업,태양광발전구조물,태양광발전구조물,신재생에너지 연구개발업,건축 및 토목 엔지니어링 서비스업,발전사업관리 및 유지보수업,</t>
        </is>
      </c>
      <c r="AA404" t="inlineStr">
        <is>
          <t>경북 영천시 청통면 보성리 771-1번지</t>
        </is>
      </c>
      <c r="AB404" t="inlineStr">
        <is>
          <t>경북 영천시 청통면 봉수길 63</t>
        </is>
      </c>
    </row>
    <row r="405" ht="19.2" customHeight="1" s="1">
      <c r="A405" t="inlineStr">
        <is>
          <t>NICE:JV3465</t>
        </is>
      </c>
      <c r="B405" t="inlineStr">
        <is>
          <t>채운패키지</t>
        </is>
      </c>
      <c r="C405" s="5" t="n">
        <v>19390305000</v>
      </c>
      <c r="D405" s="5" t="n">
        <v>10097602000</v>
      </c>
      <c r="E405" s="5" t="n">
        <v>9292703000</v>
      </c>
      <c r="F405" s="5" t="n">
        <v>25393491000</v>
      </c>
      <c r="G405" s="5" t="n">
        <v>5357345000</v>
      </c>
      <c r="H405" s="5" t="n">
        <v>17243567000</v>
      </c>
      <c r="I405" s="5" t="n">
        <v>2191084000</v>
      </c>
      <c r="J405" s="4" t="n">
        <v>0.8262999653816223</v>
      </c>
      <c r="K405" s="4" t="n">
        <v>1.086600065231323</v>
      </c>
      <c r="L405" s="4" t="n">
        <v>0.210999995470047</v>
      </c>
      <c r="M405" t="inlineStr">
        <is>
          <t>임재민</t>
        </is>
      </c>
      <c r="N405" t="inlineStr">
        <is>
          <t>031-5183-4626</t>
        </is>
      </c>
      <c r="O405" t="inlineStr">
        <is>
          <t>031-5183-4627</t>
        </is>
      </c>
      <c r="P405" s="3">
        <f>HYPERLINK("http://www.chaeun.co.kr", "http://www.chaeun.co.kr")</f>
        <v/>
      </c>
      <c r="Q405" t="inlineStr">
        <is>
          <t>3568701655</t>
        </is>
      </c>
      <c r="R405" t="inlineStr">
        <is>
          <t>1346110101761</t>
        </is>
      </c>
      <c r="S405" t="inlineStr">
        <is>
          <t>대상아님</t>
        </is>
      </c>
      <c r="T405" t="inlineStr">
        <is>
          <t>일반법인</t>
        </is>
      </c>
      <c r="U405" t="inlineStr">
        <is>
          <t>중소기업</t>
        </is>
      </c>
      <c r="V405" t="inlineStr">
        <is>
          <t>외부감사대상</t>
        </is>
      </c>
      <c r="W405" s="6" t="inlineStr">
        <is>
          <t>2019-11-07</t>
        </is>
      </c>
      <c r="X405" t="inlineStr">
        <is>
          <t>KRI:10C2319100</t>
        </is>
      </c>
      <c r="Y405" t="inlineStr">
        <is>
          <t>가정용 유리제품 제조업</t>
        </is>
      </c>
      <c r="Z405" t="inlineStr">
        <is>
          <t>화장품부자재(유리용기) 제조,도소매/식품위생용종이상자,용기 제조/상품종합도매,무역</t>
        </is>
      </c>
      <c r="AA405" t="inlineStr">
        <is>
          <t>경기 화성시 동탄구 영천동 832-2번지 금강펜테리움아이티타워 201호</t>
        </is>
      </c>
      <c r="AB405" t="inlineStr">
        <is>
          <t>경기 화성시 동탄구 동탄기흥로 557, 201호 (영천동,금강펜테리움아이티타워)</t>
        </is>
      </c>
    </row>
    <row r="406" s="1">
      <c r="A406" t="inlineStr">
        <is>
          <t>NICE:L75720</t>
        </is>
      </c>
      <c r="B406" t="inlineStr">
        <is>
          <t>내포그린에너지</t>
        </is>
      </c>
      <c r="C406" s="5" t="n">
        <v>789235336000</v>
      </c>
      <c r="D406" s="5" t="n">
        <v>567920111000</v>
      </c>
      <c r="E406" s="5" t="n">
        <v>221315224000</v>
      </c>
      <c r="F406" s="5" t="n">
        <v>427179177000</v>
      </c>
      <c r="G406" s="5" t="n">
        <v>128304903000</v>
      </c>
      <c r="H406" s="5" t="n">
        <v>467296430000</v>
      </c>
      <c r="I406" s="5" t="n">
        <v>165524472000</v>
      </c>
      <c r="J406" s="4" t="n">
        <v>3.926599979400635</v>
      </c>
      <c r="K406" s="4" t="n">
        <v>2.566099882125854</v>
      </c>
      <c r="L406" s="4" t="n">
        <v>0.3003999888896942</v>
      </c>
      <c r="M406" t="inlineStr">
        <is>
          <t>김태완</t>
        </is>
      </c>
      <c r="N406" t="inlineStr">
        <is>
          <t>041-631-2901</t>
        </is>
      </c>
      <c r="O406" t="inlineStr">
        <is>
          <t>041-337-7327</t>
        </is>
      </c>
      <c r="P406">
        <f>HYPERLINK("http://www.npge.co.kr", "http://www.npge.co.kr")</f>
        <v/>
      </c>
      <c r="Q406" t="inlineStr">
        <is>
          <t>3118148427</t>
        </is>
      </c>
      <c r="R406" t="inlineStr">
        <is>
          <t>1649110020901</t>
        </is>
      </c>
      <c r="S406" t="inlineStr">
        <is>
          <t>대상아님</t>
        </is>
      </c>
      <c r="T406" t="inlineStr">
        <is>
          <t>일반법인</t>
        </is>
      </c>
      <c r="U406" t="inlineStr">
        <is>
          <t>중소기업</t>
        </is>
      </c>
      <c r="V406" t="inlineStr">
        <is>
          <t>외부감사대상</t>
        </is>
      </c>
      <c r="W406" s="6" t="inlineStr">
        <is>
          <t>2014-05-01</t>
        </is>
      </c>
      <c r="X406" t="inlineStr">
        <is>
          <t>KRI:10D3511900</t>
        </is>
      </c>
      <c r="Y406" t="inlineStr">
        <is>
          <t>기타 발전업</t>
        </is>
      </c>
      <c r="Z406" t="inlineStr">
        <is>
          <t>발전,전기,증기,냉,온수,공기조절공급</t>
        </is>
      </c>
      <c r="AA406" t="inlineStr">
        <is>
          <t>충남 예산군 삽교읍 목리 1257번지</t>
        </is>
      </c>
      <c r="AB406" t="inlineStr">
        <is>
          <t>충남 예산군 삽교읍 홍예로 390</t>
        </is>
      </c>
    </row>
    <row r="407" ht="19.2" customHeight="1" s="1">
      <c r="A407" t="inlineStr">
        <is>
          <t>NICE:133810</t>
        </is>
      </c>
      <c r="B407" t="inlineStr">
        <is>
          <t>삼보개발</t>
        </is>
      </c>
      <c r="C407" s="5" t="n">
        <v>198980949000</v>
      </c>
      <c r="D407" s="5" t="n">
        <v>42562565000</v>
      </c>
      <c r="E407" s="5" t="n">
        <v>156418384000</v>
      </c>
      <c r="F407" s="5" t="n">
        <v>40858666000</v>
      </c>
      <c r="G407" s="5" t="n">
        <v>12380946000</v>
      </c>
      <c r="H407" s="5" t="n">
        <v>44496197000</v>
      </c>
      <c r="I407" s="5" t="n">
        <v>15784109000</v>
      </c>
      <c r="J407" s="4" t="n">
        <v>0.04169999808073044</v>
      </c>
      <c r="K407" s="4" t="n">
        <v>0.2720999717712402</v>
      </c>
      <c r="L407" s="4" t="n">
        <v>0.3029999732971191</v>
      </c>
      <c r="M407" t="inlineStr">
        <is>
          <t>류경호</t>
        </is>
      </c>
      <c r="N407" t="inlineStr">
        <is>
          <t>031-539-5700</t>
        </is>
      </c>
      <c r="O407" t="inlineStr">
        <is>
          <t>031-539-5723</t>
        </is>
      </c>
      <c r="P407" s="3">
        <f>HYPERLINK("http://www.bearcreek.co.kr", "http://www.bearcreek.co.kr")</f>
        <v/>
      </c>
      <c r="Q407" t="inlineStr">
        <is>
          <t>1278127642</t>
        </is>
      </c>
      <c r="R407" t="inlineStr">
        <is>
          <t>1154110014733</t>
        </is>
      </c>
      <c r="S407" t="inlineStr">
        <is>
          <t>대상아님</t>
        </is>
      </c>
      <c r="T407" t="inlineStr">
        <is>
          <t>일반법인</t>
        </is>
      </c>
      <c r="U407" t="inlineStr">
        <is>
          <t>중소기업</t>
        </is>
      </c>
      <c r="V407" t="inlineStr">
        <is>
          <t>외부감사대상</t>
        </is>
      </c>
      <c r="W407" s="6" t="inlineStr">
        <is>
          <t>1999-09-30</t>
        </is>
      </c>
      <c r="X407" t="inlineStr">
        <is>
          <t>KRI:10R9112100</t>
        </is>
      </c>
      <c r="Y407" t="inlineStr">
        <is>
          <t>골프장 운영업</t>
        </is>
      </c>
      <c r="Z407" t="inlineStr">
        <is>
          <t>골프장 운영</t>
        </is>
      </c>
      <c r="AA407" t="inlineStr">
        <is>
          <t>경기 포천시 화현면 지현리 산2-1번지</t>
        </is>
      </c>
      <c r="AB407" t="inlineStr">
        <is>
          <t>경기 포천시 화현면 달인동로 35</t>
        </is>
      </c>
    </row>
    <row r="408" ht="19.2" customHeight="1" s="1">
      <c r="A408" t="inlineStr">
        <is>
          <t>NICE:C33238</t>
        </is>
      </c>
      <c r="B408" t="inlineStr">
        <is>
          <t>굿트러스트</t>
        </is>
      </c>
      <c r="C408" s="5" t="n">
        <v>86700762000</v>
      </c>
      <c r="D408" s="5" t="n">
        <v>20758600000</v>
      </c>
      <c r="E408" s="5" t="n">
        <v>65942162000</v>
      </c>
      <c r="F408" s="5" t="n">
        <v>111303383000</v>
      </c>
      <c r="G408" s="5" t="n">
        <v>24277864000</v>
      </c>
      <c r="H408" s="5" t="n">
        <v>88234785000</v>
      </c>
      <c r="I408" s="5" t="n">
        <v>13003173000</v>
      </c>
      <c r="J408" s="4" t="n">
        <v>4.320399761199951</v>
      </c>
      <c r="K408" s="4" t="n">
        <v>0.3147999942302704</v>
      </c>
      <c r="L408" s="4" t="n">
        <v>0.2180999964475632</v>
      </c>
      <c r="M408" t="inlineStr">
        <is>
          <t>박영근</t>
        </is>
      </c>
      <c r="N408" t="inlineStr">
        <is>
          <t>051-526-4018-9</t>
        </is>
      </c>
      <c r="O408" t="inlineStr">
        <is>
          <t>051-526-4028</t>
        </is>
      </c>
      <c r="P408" s="3" t="n"/>
      <c r="Q408" t="inlineStr">
        <is>
          <t>2418800104</t>
        </is>
      </c>
      <c r="R408" t="inlineStr">
        <is>
          <t>1801110983882</t>
        </is>
      </c>
      <c r="S408" t="inlineStr">
        <is>
          <t>대상아님</t>
        </is>
      </c>
      <c r="T408" t="inlineStr">
        <is>
          <t>일반법인</t>
        </is>
      </c>
      <c r="U408" t="inlineStr">
        <is>
          <t>중소기업</t>
        </is>
      </c>
      <c r="V408" t="inlineStr">
        <is>
          <t>외부감사대상</t>
        </is>
      </c>
      <c r="W408" s="6" t="inlineStr">
        <is>
          <t>2007-01-01</t>
        </is>
      </c>
      <c r="X408" t="inlineStr">
        <is>
          <t>KRI:10C1419100</t>
        </is>
      </c>
      <c r="Y408" t="inlineStr">
        <is>
          <t>셔츠 및 블라우스 제조업</t>
        </is>
      </c>
      <c r="Z408" t="inlineStr">
        <is>
          <t>의류(셔츠,블라우스) 제조</t>
        </is>
      </c>
      <c r="AA408" t="inlineStr">
        <is>
          <t>부산 동구 초량동 1162-9번지 지티빌딩 10층</t>
        </is>
      </c>
      <c r="AB408" t="inlineStr">
        <is>
          <t>부산 동구 중앙대로286번길 7, 10층 (초량동,지티빌딩)</t>
        </is>
      </c>
    </row>
    <row r="409" ht="19.2" customHeight="1" s="1">
      <c r="A409" t="inlineStr">
        <is>
          <t>NICE:096298</t>
        </is>
      </c>
      <c r="B409" t="inlineStr">
        <is>
          <t>에스제이피</t>
        </is>
      </c>
      <c r="C409" s="5" t="n">
        <v>84604049000</v>
      </c>
      <c r="D409" s="5" t="n">
        <v>21110026000</v>
      </c>
      <c r="E409" s="5" t="n">
        <v>63494023000</v>
      </c>
      <c r="F409" s="5" t="n">
        <v>105744134000</v>
      </c>
      <c r="G409" s="5" t="n">
        <v>11755091000</v>
      </c>
      <c r="H409" s="5" t="n">
        <v>82787579000</v>
      </c>
      <c r="I409" s="5" t="n">
        <v>8177987000</v>
      </c>
      <c r="J409" s="4" t="n">
        <v>1.690199971199036</v>
      </c>
      <c r="K409" s="4" t="n">
        <v>0.3324999809265137</v>
      </c>
      <c r="L409" s="4" t="n">
        <v>0.1111999973654747</v>
      </c>
      <c r="M409" t="inlineStr">
        <is>
          <t>송승민</t>
        </is>
      </c>
      <c r="N409" t="inlineStr">
        <is>
          <t>031-676-7481</t>
        </is>
      </c>
      <c r="O409" t="inlineStr">
        <is>
          <t>031-676-7474</t>
        </is>
      </c>
      <c r="P409" s="3" t="n"/>
      <c r="Q409" t="inlineStr">
        <is>
          <t>1268158614</t>
        </is>
      </c>
      <c r="R409" t="inlineStr">
        <is>
          <t>1342110047939</t>
        </is>
      </c>
      <c r="S409" t="inlineStr">
        <is>
          <t>대상아님</t>
        </is>
      </c>
      <c r="T409" t="inlineStr">
        <is>
          <t>일반법인</t>
        </is>
      </c>
      <c r="U409" t="inlineStr">
        <is>
          <t>중소기업</t>
        </is>
      </c>
      <c r="V409" t="inlineStr">
        <is>
          <t>외부감사대상</t>
        </is>
      </c>
      <c r="W409" s="6" t="inlineStr">
        <is>
          <t>2001-12-18</t>
        </is>
      </c>
      <c r="X409" t="inlineStr">
        <is>
          <t>KRI:10C1722300</t>
        </is>
      </c>
      <c r="Y409" t="inlineStr">
        <is>
          <t>식품 위생용 종이 상자 및 용기 제조업</t>
        </is>
      </c>
      <c r="Z409" t="inlineStr">
        <is>
          <t>종이컵(라면,빙과 용기),기타지기 제조,도매</t>
        </is>
      </c>
      <c r="AA409" t="inlineStr">
        <is>
          <t>경기 안성시 죽산면 두교리 944번지</t>
        </is>
      </c>
      <c r="AB409" t="inlineStr">
        <is>
          <t>경기 안성시 죽산면 용대길 38-10</t>
        </is>
      </c>
    </row>
    <row r="410" s="1">
      <c r="A410" t="inlineStr">
        <is>
          <t>NICE:160107</t>
        </is>
      </c>
      <c r="B410" t="inlineStr">
        <is>
          <t>아토웨이브</t>
        </is>
      </c>
      <c r="C410" s="5" t="n">
        <v>30687149000</v>
      </c>
      <c r="D410" s="5" t="n">
        <v>4947389000</v>
      </c>
      <c r="E410" s="5" t="n">
        <v>25739760000</v>
      </c>
      <c r="F410" s="5" t="n">
        <v>38349659000</v>
      </c>
      <c r="G410" s="5" t="n">
        <v>11893913000</v>
      </c>
      <c r="H410" s="5" t="n">
        <v>23640134000</v>
      </c>
      <c r="I410" s="5" t="n">
        <v>6502201000</v>
      </c>
      <c r="J410" s="4" t="n">
        <v>6.015999794006348</v>
      </c>
      <c r="K410" s="4" t="n">
        <v>0.1921999901533127</v>
      </c>
      <c r="L410" s="4" t="n">
        <v>0.3100999891757965</v>
      </c>
      <c r="M410" t="inlineStr">
        <is>
          <t>김성철</t>
        </is>
      </c>
      <c r="N410" t="inlineStr">
        <is>
          <t>02-2026-6500</t>
        </is>
      </c>
      <c r="O410" t="inlineStr">
        <is>
          <t>02-2026-6565</t>
        </is>
      </c>
      <c r="P410">
        <f>HYPERLINK("http://www.attowave.com", "http://www.attowave.com")</f>
        <v/>
      </c>
      <c r="Q410" t="inlineStr">
        <is>
          <t>1388117649</t>
        </is>
      </c>
      <c r="R410" t="inlineStr">
        <is>
          <t>1341110061949</t>
        </is>
      </c>
      <c r="S410" t="inlineStr">
        <is>
          <t>대상아님</t>
        </is>
      </c>
      <c r="T410" t="inlineStr">
        <is>
          <t>일반법인</t>
        </is>
      </c>
      <c r="U410" t="inlineStr">
        <is>
          <t>중소기업</t>
        </is>
      </c>
      <c r="V410" t="inlineStr">
        <is>
          <t>외부감사대상</t>
        </is>
      </c>
      <c r="W410" s="6" t="inlineStr">
        <is>
          <t>1998-09-10</t>
        </is>
      </c>
      <c r="X410" t="inlineStr">
        <is>
          <t>KRI:10C2642900</t>
        </is>
      </c>
      <c r="Y410" t="inlineStr">
        <is>
          <t>기타 무선 통신장비 제조업</t>
        </is>
      </c>
      <c r="Z410" t="inlineStr">
        <is>
          <t>통신단말기 제조/무역/소프트웨어 개발,공급</t>
        </is>
      </c>
      <c r="AA410" t="inlineStr">
        <is>
          <t>서울 금천구 가산동 60-15번지 삼성리더스타워 10층 1005호</t>
        </is>
      </c>
      <c r="AB410" t="inlineStr">
        <is>
          <t>서울 금천구 벚꽃로 286, 10층 1005호 (가산동,삼성리더스타워)</t>
        </is>
      </c>
    </row>
    <row r="411" s="1">
      <c r="A411" t="inlineStr">
        <is>
          <t>NICE:513130</t>
        </is>
      </c>
      <c r="B411" t="inlineStr">
        <is>
          <t>다올이앤씨</t>
        </is>
      </c>
      <c r="C411" s="5" t="n">
        <v>331932118000</v>
      </c>
      <c r="D411" s="5" t="n">
        <v>46740484000</v>
      </c>
      <c r="E411" s="5" t="n">
        <v>285191634000</v>
      </c>
      <c r="F411" s="5" t="n">
        <v>108184447000</v>
      </c>
      <c r="G411" s="5" t="n">
        <v>14714044000</v>
      </c>
      <c r="H411" s="5" t="n">
        <v>104946103000</v>
      </c>
      <c r="I411" s="5" t="n">
        <v>7042667000</v>
      </c>
      <c r="J411" s="4" t="n">
        <v>1.908500075340271</v>
      </c>
      <c r="K411" s="4" t="n">
        <v>0.1638999879360199</v>
      </c>
      <c r="L411" s="4" t="n">
        <v>0.136000007390976</v>
      </c>
      <c r="M411" t="inlineStr">
        <is>
          <t>손광수</t>
        </is>
      </c>
      <c r="N411" t="inlineStr">
        <is>
          <t>02-553-8200</t>
        </is>
      </c>
      <c r="O411" t="inlineStr">
        <is>
          <t>02-553-8255</t>
        </is>
      </c>
      <c r="P411">
        <f>HYPERLINK("http://www.daorenc.com", "http://www.daorenc.com")</f>
        <v/>
      </c>
      <c r="Q411" t="inlineStr">
        <is>
          <t>2298105191</t>
        </is>
      </c>
      <c r="R411" t="inlineStr">
        <is>
          <t>1101110325054</t>
        </is>
      </c>
      <c r="S411" t="inlineStr">
        <is>
          <t>대상아님</t>
        </is>
      </c>
      <c r="T411" t="inlineStr">
        <is>
          <t>일반법인</t>
        </is>
      </c>
      <c r="U411" t="inlineStr">
        <is>
          <t>중소기업</t>
        </is>
      </c>
      <c r="V411" t="inlineStr">
        <is>
          <t>외부감사대상</t>
        </is>
      </c>
      <c r="W411" s="6" t="inlineStr">
        <is>
          <t>1982-08-10</t>
        </is>
      </c>
      <c r="X411" t="inlineStr">
        <is>
          <t>KRI:10F4213200</t>
        </is>
      </c>
      <c r="Y411" t="inlineStr">
        <is>
          <t>콘크리트 및 철근 공사업</t>
        </is>
      </c>
      <c r="Z411" t="inlineStr">
        <is>
          <t>철근콘크리트전문건설용역,강구조물공사/유압기기 제조/건축자재,장비대여 도소매/해상화물운송/부동산 임대,개발,공급</t>
        </is>
      </c>
      <c r="AA411" t="inlineStr">
        <is>
          <t>서울 강동구 상일동 502-2번지 다올빌딩</t>
        </is>
      </c>
      <c r="AB411" t="inlineStr">
        <is>
          <t>서울 강동구 상일로6길 51 (상일동,다올빌딩)</t>
        </is>
      </c>
    </row>
    <row r="412" ht="19.2" customHeight="1" s="1">
      <c r="A412" t="inlineStr">
        <is>
          <t>NICE:983586</t>
        </is>
      </c>
      <c r="B412" t="inlineStr">
        <is>
          <t>로지스올</t>
        </is>
      </c>
      <c r="C412" s="5" t="n">
        <v>297876267000</v>
      </c>
      <c r="D412" s="5" t="n">
        <v>61466427000</v>
      </c>
      <c r="E412" s="5" t="n">
        <v>236409841000</v>
      </c>
      <c r="F412" s="5" t="n">
        <v>165115455000</v>
      </c>
      <c r="G412" s="5" t="n">
        <v>36350590000</v>
      </c>
      <c r="H412" s="5" t="n">
        <v>271019900000</v>
      </c>
      <c r="I412" s="5" t="n">
        <v>26426216000</v>
      </c>
      <c r="J412" s="4" t="n">
        <v>0.9983000159263611</v>
      </c>
      <c r="K412" s="4" t="n">
        <v>0.2599999904632568</v>
      </c>
      <c r="L412" s="4" t="n">
        <v>0.2202000021934509</v>
      </c>
      <c r="M412" t="inlineStr">
        <is>
          <t>서병륜</t>
        </is>
      </c>
      <c r="N412" t="inlineStr">
        <is>
          <t>02-3669-7030</t>
        </is>
      </c>
      <c r="O412" t="inlineStr">
        <is>
          <t>02-3669-7999</t>
        </is>
      </c>
      <c r="P412" s="3">
        <f>HYPERLINK("http://www.logisall.com", "http://www.logisall.com")</f>
        <v/>
      </c>
      <c r="Q412" t="inlineStr">
        <is>
          <t>1058154931</t>
        </is>
      </c>
      <c r="R412" t="inlineStr">
        <is>
          <t>1101110408727</t>
        </is>
      </c>
      <c r="S412" t="inlineStr">
        <is>
          <t>대상아님</t>
        </is>
      </c>
      <c r="T412" t="inlineStr">
        <is>
          <t>일반법인</t>
        </is>
      </c>
      <c r="U412" t="inlineStr">
        <is>
          <t>중견기업</t>
        </is>
      </c>
      <c r="V412" t="inlineStr">
        <is>
          <t>외부감사대상</t>
        </is>
      </c>
      <c r="W412" s="6" t="inlineStr">
        <is>
          <t>1985-10-17</t>
        </is>
      </c>
      <c r="X412" t="inlineStr">
        <is>
          <t>KRI:10K6499200</t>
        </is>
      </c>
      <c r="Y412" t="inlineStr">
        <is>
          <t>지주회사</t>
        </is>
      </c>
      <c r="Z412" t="inlineStr">
        <is>
          <t>지주회사/무형자산 임대/경영 컨설팅,시장 조사</t>
        </is>
      </c>
      <c r="AA412" t="inlineStr">
        <is>
          <t>서울 마포구 도화동 173번지</t>
        </is>
      </c>
      <c r="AB412" t="inlineStr">
        <is>
          <t>서울 마포구 마포대로 63-8</t>
        </is>
      </c>
    </row>
    <row r="413" s="1">
      <c r="A413" t="inlineStr">
        <is>
          <t>NICE:JH6929</t>
        </is>
      </c>
      <c r="B413" t="inlineStr">
        <is>
          <t>광양알루미늄</t>
        </is>
      </c>
      <c r="C413" s="5" t="n">
        <v>246591145000</v>
      </c>
      <c r="D413" s="5" t="n">
        <v>142721905000</v>
      </c>
      <c r="E413" s="5" t="n">
        <v>103869240000</v>
      </c>
      <c r="F413" s="5" t="n">
        <v>455826824000</v>
      </c>
      <c r="G413" s="5" t="n">
        <v>50455050000</v>
      </c>
      <c r="H413" s="5" t="n">
        <v>192806691000</v>
      </c>
      <c r="I413" s="5" t="n">
        <v>6798325000</v>
      </c>
      <c r="J413" s="4" t="n">
        <v>1.133000016212463</v>
      </c>
      <c r="K413" s="4" t="n">
        <v>1.374099969863892</v>
      </c>
      <c r="L413" s="4" t="n">
        <v>0.1106999963521957</v>
      </c>
      <c r="M413" t="inlineStr">
        <is>
          <t>왕자자</t>
        </is>
      </c>
      <c r="N413" t="inlineStr">
        <is>
          <t>061-762-6699</t>
        </is>
      </c>
      <c r="O413" t="inlineStr">
        <is>
          <t>061-762-6799</t>
        </is>
      </c>
      <c r="Q413" t="inlineStr">
        <is>
          <t>6988801143</t>
        </is>
      </c>
      <c r="R413" t="inlineStr">
        <is>
          <t>2046110057232</t>
        </is>
      </c>
      <c r="S413" t="inlineStr">
        <is>
          <t>대상아님</t>
        </is>
      </c>
      <c r="T413" t="inlineStr">
        <is>
          <t>일반법인</t>
        </is>
      </c>
      <c r="U413" t="inlineStr">
        <is>
          <t>중소기업</t>
        </is>
      </c>
      <c r="V413" t="inlineStr">
        <is>
          <t>외부감사대상</t>
        </is>
      </c>
      <c r="W413" s="6" t="inlineStr">
        <is>
          <t>2018-10-17</t>
        </is>
      </c>
      <c r="X413" t="inlineStr">
        <is>
          <t>KRI:10C2422200</t>
        </is>
      </c>
      <c r="Y413" t="inlineStr">
        <is>
          <t>알루미늄 압연, 압출 및 연신제품 제조업</t>
        </is>
      </c>
      <c r="Z413" t="inlineStr">
        <is>
          <t>알루미늄 제조,비철금속가공,판매</t>
        </is>
      </c>
      <c r="AA413" t="inlineStr">
        <is>
          <t>전남 광양시 광양읍 세풍리 2237-3번지</t>
        </is>
      </c>
      <c r="AB413" t="inlineStr">
        <is>
          <t>전남 광양시 광양읍 세풍산단로 266</t>
        </is>
      </c>
    </row>
    <row r="414" ht="19.2" customHeight="1" s="1">
      <c r="A414" t="inlineStr">
        <is>
          <t>NICE:367256</t>
        </is>
      </c>
      <c r="B414" t="inlineStr">
        <is>
          <t>평화이엔지</t>
        </is>
      </c>
      <c r="C414" s="5" t="n">
        <v>51553789000</v>
      </c>
      <c r="D414" s="5" t="n">
        <v>34207959000</v>
      </c>
      <c r="E414" s="5" t="n">
        <v>17345830000</v>
      </c>
      <c r="F414" s="5" t="n">
        <v>41368568000</v>
      </c>
      <c r="G414" s="5" t="n">
        <v>4506039000</v>
      </c>
      <c r="H414" s="5" t="n">
        <v>31750562000</v>
      </c>
      <c r="I414" s="5" t="n">
        <v>1827671000</v>
      </c>
      <c r="J414" s="4" t="n">
        <v>0.910099983215332</v>
      </c>
      <c r="K414" s="4" t="n">
        <v>1.972100019454956</v>
      </c>
      <c r="L414" s="4" t="n">
        <v>0.1089000031352043</v>
      </c>
      <c r="M414" t="inlineStr">
        <is>
          <t>김주영/한동학</t>
        </is>
      </c>
      <c r="N414" t="inlineStr">
        <is>
          <t>053-610-6200</t>
        </is>
      </c>
      <c r="O414" t="inlineStr">
        <is>
          <t>053-615-5458</t>
        </is>
      </c>
      <c r="P414" s="3">
        <f>HYPERLINK("http://www.ph.co.kr", "http://www.ph.co.kr")</f>
        <v/>
      </c>
      <c r="Q414" t="inlineStr">
        <is>
          <t>5148152933</t>
        </is>
      </c>
      <c r="R414" t="inlineStr">
        <is>
          <t>1701110274613</t>
        </is>
      </c>
      <c r="S414" t="inlineStr">
        <is>
          <t>대상아님</t>
        </is>
      </c>
      <c r="T414" t="inlineStr">
        <is>
          <t>일반법인</t>
        </is>
      </c>
      <c r="U414" t="inlineStr">
        <is>
          <t>중소기업</t>
        </is>
      </c>
      <c r="V414" t="inlineStr">
        <is>
          <t>외부감사대상</t>
        </is>
      </c>
      <c r="W414" s="6" t="inlineStr">
        <is>
          <t>2004-10-14</t>
        </is>
      </c>
      <c r="X414" t="inlineStr">
        <is>
          <t>KRI:10C2929400</t>
        </is>
      </c>
      <c r="Y414" t="inlineStr">
        <is>
          <t>주형 및 금형 제조업</t>
        </is>
      </c>
      <c r="Z414" t="inlineStr">
        <is>
          <t>금형,각종가공기계치공구 제조</t>
        </is>
      </c>
      <c r="AA414" t="inlineStr">
        <is>
          <t>대구 달성군 논공읍 본리리 29-108번지</t>
        </is>
      </c>
      <c r="AB414" t="inlineStr">
        <is>
          <t>대구 달성군 논공읍 논공로 511</t>
        </is>
      </c>
    </row>
    <row r="415" ht="19.2" customHeight="1" s="1">
      <c r="A415" t="inlineStr">
        <is>
          <t>NICE:JV6319</t>
        </is>
      </c>
      <c r="B415" t="inlineStr">
        <is>
          <t>명동교자</t>
        </is>
      </c>
      <c r="C415" s="5" t="n">
        <v>105091254000</v>
      </c>
      <c r="D415" s="5" t="n">
        <v>25621247000</v>
      </c>
      <c r="E415" s="5" t="n">
        <v>79470007000</v>
      </c>
      <c r="F415" s="5" t="n">
        <v>35173209000</v>
      </c>
      <c r="G415" s="5" t="n">
        <v>12704752000</v>
      </c>
      <c r="H415" s="5" t="n">
        <v>32078795000</v>
      </c>
      <c r="I415" s="5" t="n">
        <v>12276094000</v>
      </c>
      <c r="J415" s="4" t="n">
        <v>0.3015999794006348</v>
      </c>
      <c r="K415" s="4" t="n">
        <v>0.3224000036716461</v>
      </c>
      <c r="L415" s="4" t="n">
        <v>0.3611999750137329</v>
      </c>
      <c r="M415" t="inlineStr">
        <is>
          <t>박제임스휘준</t>
        </is>
      </c>
      <c r="N415" t="inlineStr">
        <is>
          <t>02-776-5348</t>
        </is>
      </c>
      <c r="O415" t="inlineStr">
        <is>
          <t>02-776-7384</t>
        </is>
      </c>
      <c r="P415" s="3">
        <f>HYPERLINK("http://www.mdkj.co.kr", "http://www.mdkj.co.kr")</f>
        <v/>
      </c>
      <c r="Q415" t="inlineStr">
        <is>
          <t>4158158192</t>
        </is>
      </c>
      <c r="R415" t="inlineStr">
        <is>
          <t>1101117290424</t>
        </is>
      </c>
      <c r="S415" t="inlineStr">
        <is>
          <t>대상아님</t>
        </is>
      </c>
      <c r="T415" t="inlineStr">
        <is>
          <t>일반법인</t>
        </is>
      </c>
      <c r="U415" t="inlineStr">
        <is>
          <t>중소기업</t>
        </is>
      </c>
      <c r="V415" t="inlineStr">
        <is>
          <t>외부감사대상</t>
        </is>
      </c>
      <c r="W415" s="6" t="inlineStr">
        <is>
          <t>2019-11-13</t>
        </is>
      </c>
      <c r="X415" t="inlineStr">
        <is>
          <t>KRI:10I5611200</t>
        </is>
      </c>
      <c r="Y415" t="inlineStr">
        <is>
          <t>한식 면요리 전문점</t>
        </is>
      </c>
      <c r="Z415" t="inlineStr">
        <is>
          <t>음식점</t>
        </is>
      </c>
      <c r="AA415" t="inlineStr">
        <is>
          <t>서울 중구 명동2가 25-2번지</t>
        </is>
      </c>
      <c r="AB415" t="inlineStr">
        <is>
          <t>서울 중구 명동10길 29</t>
        </is>
      </c>
    </row>
    <row r="416" ht="19.2" customHeight="1" s="1">
      <c r="A416" t="inlineStr">
        <is>
          <t>NICE:197332</t>
        </is>
      </c>
      <c r="B416" t="inlineStr">
        <is>
          <t>디티에스</t>
        </is>
      </c>
      <c r="C416" s="5" t="n">
        <v>167871407000</v>
      </c>
      <c r="D416" s="5" t="n">
        <v>67340163000</v>
      </c>
      <c r="E416" s="5" t="n">
        <v>100531245000</v>
      </c>
      <c r="F416" s="5" t="n">
        <v>142717598000</v>
      </c>
      <c r="G416" s="5" t="n">
        <v>25082015000</v>
      </c>
      <c r="H416" s="5" t="n">
        <v>111593050000</v>
      </c>
      <c r="I416" s="5" t="n">
        <v>24063621000</v>
      </c>
      <c r="J416" s="4" t="n">
        <v>2.102999925613403</v>
      </c>
      <c r="K416" s="4" t="n">
        <v>0.6698000431060791</v>
      </c>
      <c r="L416" s="4" t="n">
        <v>0.1756999939680099</v>
      </c>
      <c r="M416" t="inlineStr">
        <is>
          <t>김중일</t>
        </is>
      </c>
      <c r="N416" t="inlineStr">
        <is>
          <t>070-4943-8501</t>
        </is>
      </c>
      <c r="O416" t="inlineStr">
        <is>
          <t>063-471-8066</t>
        </is>
      </c>
      <c r="P416" s="3">
        <f>HYPERLINK("http://www.dasants.com", "http://www.dasants.com")</f>
        <v/>
      </c>
      <c r="Q416" t="inlineStr">
        <is>
          <t>3128143522</t>
        </is>
      </c>
      <c r="R416" t="inlineStr">
        <is>
          <t>1615110037981</t>
        </is>
      </c>
      <c r="S416" t="inlineStr">
        <is>
          <t>대상아님</t>
        </is>
      </c>
      <c r="T416" t="inlineStr">
        <is>
          <t>일반법인</t>
        </is>
      </c>
      <c r="U416" t="inlineStr">
        <is>
          <t>중견기업</t>
        </is>
      </c>
      <c r="V416" t="inlineStr">
        <is>
          <t>외부감사대상</t>
        </is>
      </c>
      <c r="W416" s="6" t="inlineStr">
        <is>
          <t>2000-07-31</t>
        </is>
      </c>
      <c r="X416" t="inlineStr">
        <is>
          <t>KRI:10C2917600</t>
        </is>
      </c>
      <c r="Y416" t="inlineStr">
        <is>
          <t>증류기, 열교환기 및 가스발생기 제조업</t>
        </is>
      </c>
      <c r="Z416" t="inlineStr">
        <is>
          <t>특수열교환기 제조,설계</t>
        </is>
      </c>
      <c r="AA416" t="inlineStr">
        <is>
          <t>전북 군산시 오식도동 512-2번지</t>
        </is>
      </c>
      <c r="AB416" t="inlineStr">
        <is>
          <t>전북 군산시 자유무역2길 45</t>
        </is>
      </c>
    </row>
    <row r="417" ht="19.2" customHeight="1" s="1">
      <c r="A417" t="inlineStr">
        <is>
          <t>NICE:358349</t>
        </is>
      </c>
      <c r="B417" t="inlineStr">
        <is>
          <t>에스피엘</t>
        </is>
      </c>
      <c r="C417" s="5" t="n">
        <v>88447803000</v>
      </c>
      <c r="D417" s="5" t="n">
        <v>7381070000</v>
      </c>
      <c r="E417" s="5" t="n">
        <v>81066733000</v>
      </c>
      <c r="F417" s="5" t="n">
        <v>59617180000</v>
      </c>
      <c r="G417" s="5" t="n">
        <v>11465588000</v>
      </c>
      <c r="H417" s="5" t="n">
        <v>57215116000</v>
      </c>
      <c r="I417" s="5" t="n">
        <v>11018491000</v>
      </c>
      <c r="J417" s="4" t="n">
        <v>8.354199409484863</v>
      </c>
      <c r="K417" s="4" t="n">
        <v>0.09099999815225601</v>
      </c>
      <c r="L417" s="4" t="n">
        <v>0.1922999918460846</v>
      </c>
      <c r="M417" t="inlineStr">
        <is>
          <t>허상오</t>
        </is>
      </c>
      <c r="N417" t="inlineStr">
        <is>
          <t>031-533-4800</t>
        </is>
      </c>
      <c r="O417" t="inlineStr">
        <is>
          <t>031-533-1430</t>
        </is>
      </c>
      <c r="P417" s="3">
        <f>HYPERLINK("http://www.ispl.co.kr", "http://www.ispl.co.kr")</f>
        <v/>
      </c>
      <c r="Q417" t="inlineStr">
        <is>
          <t>1278198282</t>
        </is>
      </c>
      <c r="R417" t="inlineStr">
        <is>
          <t>2844110043114</t>
        </is>
      </c>
      <c r="S417" t="inlineStr">
        <is>
          <t>대상아님</t>
        </is>
      </c>
      <c r="T417" t="inlineStr">
        <is>
          <t>일반법인</t>
        </is>
      </c>
      <c r="U417" t="inlineStr">
        <is>
          <t>중소기업</t>
        </is>
      </c>
      <c r="V417" t="inlineStr">
        <is>
          <t>외부감사대상</t>
        </is>
      </c>
      <c r="W417" s="6" t="inlineStr">
        <is>
          <t>1987-05-25</t>
        </is>
      </c>
      <c r="X417" t="inlineStr">
        <is>
          <t>KRI:10C2721900</t>
        </is>
      </c>
      <c r="Y417" t="inlineStr">
        <is>
          <t>기타 측정, 시험, 항해, 제어 및 정밀기기 제조업</t>
        </is>
      </c>
      <c r="Z417" t="inlineStr">
        <is>
          <t>생명과학기자재 제조</t>
        </is>
      </c>
      <c r="AA417" t="inlineStr">
        <is>
          <t>경기 포천시 내촌면 음현리 807번지</t>
        </is>
      </c>
      <c r="AB417" t="inlineStr">
        <is>
          <t>경기 포천시 내촌면 금강로2047번길 48</t>
        </is>
      </c>
    </row>
    <row r="418" ht="19.2" customHeight="1" s="1">
      <c r="A418" t="inlineStr">
        <is>
          <t>NICE:C90061</t>
        </is>
      </c>
      <c r="B418" t="inlineStr">
        <is>
          <t>신송산업</t>
        </is>
      </c>
      <c r="C418" s="5" t="n">
        <v>63165078000</v>
      </c>
      <c r="D418" s="5" t="n">
        <v>26708644000</v>
      </c>
      <c r="E418" s="5" t="n">
        <v>36456433000</v>
      </c>
      <c r="F418" s="5" t="n">
        <v>23135701000</v>
      </c>
      <c r="G418" s="5" t="n">
        <v>5835616000</v>
      </c>
      <c r="H418" s="5" t="n">
        <v>23257283000</v>
      </c>
      <c r="I418" s="5" t="n">
        <v>3880543000</v>
      </c>
      <c r="J418" s="4" t="n">
        <v>0.8125</v>
      </c>
      <c r="K418" s="4" t="n">
        <v>0.7326000332832336</v>
      </c>
      <c r="L418" s="4" t="n">
        <v>0.2521999776363373</v>
      </c>
      <c r="M418" t="inlineStr">
        <is>
          <t>조승우/조승현/탁성봉</t>
        </is>
      </c>
      <c r="N418" t="inlineStr">
        <is>
          <t>02-6265-7789</t>
        </is>
      </c>
      <c r="O418" t="inlineStr">
        <is>
          <t>02-784-3216</t>
        </is>
      </c>
      <c r="P418" s="3">
        <f>HYPERLINK("http://www.singsongindustry.com/", "http://www.singsongindustry.com/")</f>
        <v/>
      </c>
      <c r="Q418" t="inlineStr">
        <is>
          <t>1078723080</t>
        </is>
      </c>
      <c r="R418" t="inlineStr">
        <is>
          <t>1101114151348</t>
        </is>
      </c>
      <c r="S418" t="inlineStr">
        <is>
          <t>대상아님</t>
        </is>
      </c>
      <c r="T418" t="inlineStr">
        <is>
          <t>일반법인</t>
        </is>
      </c>
      <c r="U418" t="inlineStr">
        <is>
          <t>중소기업</t>
        </is>
      </c>
      <c r="V418" t="inlineStr">
        <is>
          <t>외부감사대상</t>
        </is>
      </c>
      <c r="W418" s="6" t="inlineStr">
        <is>
          <t>2009-08-03</t>
        </is>
      </c>
      <c r="X418" t="inlineStr">
        <is>
          <t>KRI:10C1062000</t>
        </is>
      </c>
      <c r="Y418" t="inlineStr">
        <is>
          <t>전분제품 및 당류 제조업</t>
        </is>
      </c>
      <c r="Z418" t="inlineStr">
        <is>
          <t>전분,글루텐,아미노산 제조,도매/부동산 임대</t>
        </is>
      </c>
      <c r="AA418" t="inlineStr">
        <is>
          <t>서울 영등포구 여의도동 26-5번지</t>
        </is>
      </c>
      <c r="AB418" t="inlineStr">
        <is>
          <t>서울 영등포구 여의나루로 53-1</t>
        </is>
      </c>
    </row>
    <row r="419" ht="19.2" customHeight="1" s="1">
      <c r="A419" t="inlineStr">
        <is>
          <t>NICE:OK4222</t>
        </is>
      </c>
      <c r="B419" t="inlineStr">
        <is>
          <t>비엔세라</t>
        </is>
      </c>
      <c r="C419" s="5" t="n">
        <v>47848457000</v>
      </c>
      <c r="D419" s="5" t="n">
        <v>29433597000</v>
      </c>
      <c r="E419" s="5" t="n">
        <v>18414860000</v>
      </c>
      <c r="F419" s="5" t="n">
        <v>77974907000</v>
      </c>
      <c r="G419" s="5" t="n">
        <v>9851342000</v>
      </c>
      <c r="H419" s="5" t="n">
        <v>61731836000</v>
      </c>
      <c r="I419" s="5" t="n">
        <v>6221422000</v>
      </c>
      <c r="J419" s="4" t="n">
        <v>0.6973999738693237</v>
      </c>
      <c r="K419" s="4" t="n">
        <v>1.598399877548218</v>
      </c>
      <c r="L419" s="4" t="n">
        <v>0.1262999922037125</v>
      </c>
      <c r="M419" t="inlineStr">
        <is>
          <t>라흐맛조다자혼기르/파르비즈라흐맛조다</t>
        </is>
      </c>
      <c r="N419" t="inlineStr">
        <is>
          <t>032-822-9958</t>
        </is>
      </c>
      <c r="O419" t="inlineStr">
        <is>
          <t>032-822-9959</t>
        </is>
      </c>
      <c r="P419" s="3">
        <f>HYPERLINK("http://www.mybncglobal.com/", "http://www.mybncglobal.com/")</f>
        <v/>
      </c>
      <c r="Q419" t="inlineStr">
        <is>
          <t>1378802104</t>
        </is>
      </c>
      <c r="R419" t="inlineStr">
        <is>
          <t>1201111152636</t>
        </is>
      </c>
      <c r="S419" t="inlineStr">
        <is>
          <t>대상아님</t>
        </is>
      </c>
      <c r="T419" t="inlineStr">
        <is>
          <t>일반법인</t>
        </is>
      </c>
      <c r="U419" t="inlineStr">
        <is>
          <t>중소기업</t>
        </is>
      </c>
      <c r="V419" t="inlineStr">
        <is>
          <t>외부감사대상</t>
        </is>
      </c>
      <c r="W419" s="6" t="inlineStr">
        <is>
          <t>2021-05-25</t>
        </is>
      </c>
      <c r="X419" t="inlineStr">
        <is>
          <t>KRI:10G4644100</t>
        </is>
      </c>
      <c r="Y419" t="inlineStr">
        <is>
          <t>의약품 도매업</t>
        </is>
      </c>
      <c r="Z419" t="inlineStr">
        <is>
          <t>의약품,의료기기,화장품 도소매,무역/부동산 임대/포장,충전</t>
        </is>
      </c>
      <c r="AA419" t="inlineStr">
        <is>
          <t>인천 연수구 송도동 172-1번지 송도테크노파크아이티센터 M동 2804호</t>
        </is>
      </c>
      <c r="AB419" t="inlineStr">
        <is>
          <t>인천 연수구 송도과학로 32, M동 2804호 (송도동,송도테크노파크아이티센터)</t>
        </is>
      </c>
    </row>
    <row r="420" ht="19.2" customHeight="1" s="1">
      <c r="A420" t="inlineStr">
        <is>
          <t>NICE:G74006</t>
        </is>
      </c>
      <c r="B420" t="inlineStr">
        <is>
          <t>슈올즈</t>
        </is>
      </c>
      <c r="C420" s="5" t="n">
        <v>41271197000</v>
      </c>
      <c r="D420" s="5" t="n">
        <v>25018118000</v>
      </c>
      <c r="E420" s="5" t="n">
        <v>16253079000</v>
      </c>
      <c r="F420" s="5" t="n">
        <v>35280975000</v>
      </c>
      <c r="G420" s="5" t="n">
        <v>5160653000</v>
      </c>
      <c r="H420" s="5" t="n">
        <v>30271019000</v>
      </c>
      <c r="I420" s="5" t="n">
        <v>4501250000</v>
      </c>
      <c r="J420" s="4" t="n">
        <v>0.8086000084877014</v>
      </c>
      <c r="K420" s="4" t="n">
        <v>1.539299845695496</v>
      </c>
      <c r="L420" s="4" t="n">
        <v>0.1463000029325485</v>
      </c>
      <c r="M420" t="inlineStr">
        <is>
          <t>이청근</t>
        </is>
      </c>
      <c r="N420" t="inlineStr">
        <is>
          <t>1800-9449</t>
        </is>
      </c>
      <c r="O420" t="inlineStr">
        <is>
          <t>041-569-8064</t>
        </is>
      </c>
      <c r="P420" s="3">
        <f>HYPERLINK("http://shoealls.com", "http://shoealls.com")</f>
        <v/>
      </c>
      <c r="Q420" t="inlineStr">
        <is>
          <t>2148869872</t>
        </is>
      </c>
      <c r="R420" t="inlineStr">
        <is>
          <t>1101114493493</t>
        </is>
      </c>
      <c r="S420" t="inlineStr">
        <is>
          <t>대상아님</t>
        </is>
      </c>
      <c r="T420" t="inlineStr">
        <is>
          <t>일반법인</t>
        </is>
      </c>
      <c r="U420" t="inlineStr">
        <is>
          <t>중소기업</t>
        </is>
      </c>
      <c r="V420" t="inlineStr">
        <is>
          <t>외부감사대상</t>
        </is>
      </c>
      <c r="W420" s="6" t="inlineStr">
        <is>
          <t>2010-12-16</t>
        </is>
      </c>
      <c r="X420" t="inlineStr">
        <is>
          <t>KRI:10C1521900</t>
        </is>
      </c>
      <c r="Y420" t="inlineStr">
        <is>
          <t>기타 신발 제조업</t>
        </is>
      </c>
      <c r="Z420" t="inlineStr">
        <is>
          <t>신발 제조</t>
        </is>
      </c>
      <c r="AA420" t="inlineStr">
        <is>
          <t>충남 천안시 서북구 성거읍 석교리 190-1번지</t>
        </is>
      </c>
      <c r="AB420" t="inlineStr">
        <is>
          <t>충남 천안시 서북구 성거읍 석문길 178</t>
        </is>
      </c>
    </row>
    <row r="421" ht="19.2" customHeight="1" s="1">
      <c r="A421" t="inlineStr">
        <is>
          <t>NICE:121216</t>
        </is>
      </c>
      <c r="B421" t="inlineStr">
        <is>
          <t>일진종합건설</t>
        </is>
      </c>
      <c r="C421" s="5" t="n">
        <v>41071928000</v>
      </c>
      <c r="D421" s="5" t="n">
        <v>14022736000</v>
      </c>
      <c r="E421" s="5" t="n">
        <v>27049192000</v>
      </c>
      <c r="F421" s="5" t="n">
        <v>50465089000</v>
      </c>
      <c r="G421" s="5" t="n">
        <v>6675212000</v>
      </c>
      <c r="H421" s="5" t="n">
        <v>61898714000</v>
      </c>
      <c r="I421" s="5" t="n">
        <v>1779590000</v>
      </c>
      <c r="J421" s="4" t="n">
        <v>2.328000068664551</v>
      </c>
      <c r="K421" s="4" t="n">
        <v>0.5184000134468079</v>
      </c>
      <c r="L421" s="4" t="n">
        <v>0.1322999894618988</v>
      </c>
      <c r="M421" t="inlineStr">
        <is>
          <t>강규철/강기용</t>
        </is>
      </c>
      <c r="N421" t="inlineStr">
        <is>
          <t>055-714-7695</t>
        </is>
      </c>
      <c r="O421" t="inlineStr">
        <is>
          <t>055-713-6364</t>
        </is>
      </c>
      <c r="P421" s="3">
        <f>HYPERLINK("http://www.ijcco.co.kr", "http://www.ijcco.co.kr")</f>
        <v/>
      </c>
      <c r="Q421" t="inlineStr">
        <is>
          <t>6098120078</t>
        </is>
      </c>
      <c r="R421" t="inlineStr">
        <is>
          <t>1942110016718</t>
        </is>
      </c>
      <c r="S421" t="inlineStr">
        <is>
          <t>대상아님</t>
        </is>
      </c>
      <c r="T421" t="inlineStr">
        <is>
          <t>일반법인</t>
        </is>
      </c>
      <c r="U421" t="inlineStr">
        <is>
          <t>중소기업</t>
        </is>
      </c>
      <c r="V421" t="inlineStr">
        <is>
          <t>외부감사대상</t>
        </is>
      </c>
      <c r="W421" s="6" t="inlineStr">
        <is>
          <t>1988-08-01</t>
        </is>
      </c>
      <c r="X421" t="inlineStr">
        <is>
          <t>KRI:10F4110000</t>
        </is>
      </c>
      <c r="Y421" t="inlineStr">
        <is>
          <t>건물 건설업</t>
        </is>
      </c>
      <c r="Z421" t="inlineStr">
        <is>
          <t>건축공사,철근콘크리트공사,토목건축공사,조경공사/철구조물 제조/부동산 임대/시설물유지보수</t>
        </is>
      </c>
      <c r="AA421" t="inlineStr">
        <is>
          <t>경남 창원시 성산구 용호동 7-2번지 오피스프라자 303호</t>
        </is>
      </c>
      <c r="AB421" t="inlineStr">
        <is>
          <t>경남 창원시 성산구 중앙대로 263, 303호 (용호동,오피스프라자)</t>
        </is>
      </c>
    </row>
    <row r="422" ht="19.2" customHeight="1" s="1">
      <c r="A422" t="inlineStr">
        <is>
          <t>NICE:F24775</t>
        </is>
      </c>
      <c r="B422" t="inlineStr">
        <is>
          <t>바이와이제이</t>
        </is>
      </c>
      <c r="C422" s="5" t="n">
        <v>32940477000</v>
      </c>
      <c r="D422" s="5" t="n">
        <v>11948650000</v>
      </c>
      <c r="E422" s="5" t="n">
        <v>20991827000</v>
      </c>
      <c r="F422" s="5" t="n">
        <v>64759836000</v>
      </c>
      <c r="G422" s="5" t="n">
        <v>8071025000</v>
      </c>
      <c r="H422" s="5" t="n">
        <v>57068300000</v>
      </c>
      <c r="I422" s="5" t="n">
        <v>1888643000</v>
      </c>
      <c r="J422" s="4" t="n">
        <v>2.850600004196167</v>
      </c>
      <c r="K422" s="4" t="n">
        <v>0.5691999793052673</v>
      </c>
      <c r="L422" s="4" t="n">
        <v>0.124600000679493</v>
      </c>
      <c r="M422" t="inlineStr">
        <is>
          <t>전혜진</t>
        </is>
      </c>
      <c r="N422" t="inlineStr">
        <is>
          <t>02-2139-9026</t>
        </is>
      </c>
      <c r="O422" t="inlineStr">
        <is>
          <t>070-8280-8219</t>
        </is>
      </c>
      <c r="P422" s="3">
        <f>HYPERLINK("http://www.nain.co.kr", "http://www.nain.co.kr")</f>
        <v/>
      </c>
      <c r="Q422" t="inlineStr">
        <is>
          <t>2018610124</t>
        </is>
      </c>
      <c r="R422" t="inlineStr">
        <is>
          <t>1101114061844</t>
        </is>
      </c>
      <c r="S422" t="inlineStr">
        <is>
          <t>대상아님</t>
        </is>
      </c>
      <c r="T422" t="inlineStr">
        <is>
          <t>일반법인</t>
        </is>
      </c>
      <c r="U422" t="inlineStr">
        <is>
          <t>중소기업</t>
        </is>
      </c>
      <c r="V422" t="inlineStr">
        <is>
          <t>외부감사대상</t>
        </is>
      </c>
      <c r="W422" s="6" t="inlineStr">
        <is>
          <t>2009-03-18</t>
        </is>
      </c>
      <c r="X422" t="inlineStr">
        <is>
          <t>KRI:10C1411200</t>
        </is>
      </c>
      <c r="Y422" t="inlineStr">
        <is>
          <t>여자용 겉옷 제조업</t>
        </is>
      </c>
      <c r="Z422" t="inlineStr">
        <is>
          <t>의류(여자용겉옷),잡화,신발 제조/신문,정기간행물 발행/화장품 도매,전자상거래(의류),상품연쇄화 사업</t>
        </is>
      </c>
      <c r="AA422" t="inlineStr">
        <is>
          <t>서울 강남구 역삼동 721-27번지</t>
        </is>
      </c>
      <c r="AB422" t="inlineStr">
        <is>
          <t>서울 강남구 언주로81길 5</t>
        </is>
      </c>
    </row>
    <row r="423" s="1">
      <c r="A423" t="inlineStr">
        <is>
          <t>NICE:C37644</t>
        </is>
      </c>
      <c r="B423" t="inlineStr">
        <is>
          <t>자라리테일코리아</t>
        </is>
      </c>
      <c r="C423" s="5" t="n">
        <v>328529532000</v>
      </c>
      <c r="D423" s="5" t="n">
        <v>203703863000</v>
      </c>
      <c r="E423" s="5" t="n">
        <v>124825669000</v>
      </c>
      <c r="F423" s="5" t="n">
        <v>459770776000</v>
      </c>
      <c r="G423" s="5" t="n">
        <v>51976577000</v>
      </c>
      <c r="H423" s="5" t="n">
        <v>444257701000</v>
      </c>
      <c r="I423" s="5" t="n">
        <v>52506662000</v>
      </c>
      <c r="J423" s="4" t="n">
        <v>0.964199960231781</v>
      </c>
      <c r="K423" s="4" t="n">
        <v>1.631899952888489</v>
      </c>
      <c r="L423" s="4" t="n">
        <v>0.1129999980330467</v>
      </c>
      <c r="M423" t="inlineStr">
        <is>
          <t>이반바베라뜨라스뿌에스또</t>
        </is>
      </c>
      <c r="N423" t="inlineStr">
        <is>
          <t>02-3413-9800</t>
        </is>
      </c>
      <c r="O423" t="inlineStr">
        <is>
          <t>02-3413-9899</t>
        </is>
      </c>
      <c r="Q423" t="inlineStr">
        <is>
          <t>1018635543</t>
        </is>
      </c>
      <c r="R423" t="inlineStr">
        <is>
          <t>1101113777343</t>
        </is>
      </c>
      <c r="S423" t="inlineStr">
        <is>
          <t>대상아님</t>
        </is>
      </c>
      <c r="T423" t="inlineStr">
        <is>
          <t>일반법인</t>
        </is>
      </c>
      <c r="U423" t="inlineStr">
        <is>
          <t>중견기업</t>
        </is>
      </c>
      <c r="V423" t="inlineStr">
        <is>
          <t>외부감사대상</t>
        </is>
      </c>
      <c r="W423" s="6" t="inlineStr">
        <is>
          <t>2007-10-29</t>
        </is>
      </c>
      <c r="X423" t="inlineStr">
        <is>
          <t>KRI:10G4641300</t>
        </is>
      </c>
      <c r="Y423" t="inlineStr">
        <is>
          <t>남녀용 겉옷 및 셔츠 도매업</t>
        </is>
      </c>
      <c r="Z423" t="inlineStr">
        <is>
          <t>의류(남녀용정장),신발,악세사리 도소매,무역</t>
        </is>
      </c>
      <c r="AA423" t="inlineStr">
        <is>
          <t>서울 강남구 삼성동 159-1번지 20층</t>
        </is>
      </c>
      <c r="AB423" t="inlineStr">
        <is>
          <t>서울 강남구 영동대로 511, 20층</t>
        </is>
      </c>
    </row>
    <row r="424" s="1">
      <c r="A424" t="inlineStr">
        <is>
          <t>NICE:G44080</t>
        </is>
      </c>
      <c r="B424" t="inlineStr">
        <is>
          <t>엠지씨글로벌</t>
        </is>
      </c>
      <c r="C424" s="5" t="n">
        <v>318775310000</v>
      </c>
      <c r="D424" s="5" t="n">
        <v>183092523000</v>
      </c>
      <c r="E424" s="5" t="n">
        <v>135682787000</v>
      </c>
      <c r="F424" s="5" t="n">
        <v>646935915000</v>
      </c>
      <c r="G424" s="5" t="n">
        <v>111399079000</v>
      </c>
      <c r="H424" s="5" t="n">
        <v>495993067000</v>
      </c>
      <c r="I424" s="5" t="n">
        <v>107606069000</v>
      </c>
      <c r="J424" s="4" t="n">
        <v>1.296999931335449</v>
      </c>
      <c r="K424" s="4" t="n">
        <v>1.349400043487549</v>
      </c>
      <c r="L424" s="4" t="n">
        <v>0.1721999943256378</v>
      </c>
      <c r="M424" t="inlineStr">
        <is>
          <t>김대영</t>
        </is>
      </c>
      <c r="N424" t="inlineStr">
        <is>
          <t>02-335-0656</t>
        </is>
      </c>
      <c r="O424" t="inlineStr">
        <is>
          <t>02-325-5199</t>
        </is>
      </c>
      <c r="P424">
        <f>HYPERLINK("https://www.mega-mgccoffee.com", "https://www.mega-mgccoffee.com")</f>
        <v/>
      </c>
      <c r="Q424" t="inlineStr">
        <is>
          <t>1058751367</t>
        </is>
      </c>
      <c r="R424" t="inlineStr">
        <is>
          <t>1101114481836</t>
        </is>
      </c>
      <c r="S424" t="inlineStr">
        <is>
          <t>대상아님</t>
        </is>
      </c>
      <c r="T424" t="inlineStr">
        <is>
          <t>일반법인</t>
        </is>
      </c>
      <c r="U424" t="inlineStr">
        <is>
          <t>중소기업</t>
        </is>
      </c>
      <c r="V424" t="inlineStr">
        <is>
          <t>외부감사대상</t>
        </is>
      </c>
      <c r="W424" s="6" t="inlineStr">
        <is>
          <t>2010-11-30</t>
        </is>
      </c>
      <c r="X424" t="inlineStr">
        <is>
          <t>KRI:10G4632500</t>
        </is>
      </c>
      <c r="Y424" t="inlineStr">
        <is>
          <t>커피 및 차류 도매업</t>
        </is>
      </c>
      <c r="Z424" t="inlineStr">
        <is>
          <t>커피,커피관련용품,식료품 도매,제조/인테리어공사/커피프랜차이즈</t>
        </is>
      </c>
      <c r="AA424" t="inlineStr">
        <is>
          <t>서울 강남구 논현동 164-1번지 화이트518빌딩 11층</t>
        </is>
      </c>
      <c r="AB424" t="inlineStr">
        <is>
          <t>서울 강남구 강남대로 518, 11층 (논현동,화이트518빌딩)</t>
        </is>
      </c>
    </row>
    <row r="425" ht="19.2" customHeight="1" s="1">
      <c r="A425" t="inlineStr">
        <is>
          <t>NICE:360368</t>
        </is>
      </c>
      <c r="B425" t="inlineStr">
        <is>
          <t>디어포스</t>
        </is>
      </c>
      <c r="C425" s="5" t="n">
        <v>202948124000</v>
      </c>
      <c r="D425" s="5" t="n">
        <v>65824056000</v>
      </c>
      <c r="E425" s="5" t="n">
        <v>137124068000</v>
      </c>
      <c r="F425" s="5" t="n">
        <v>138798249000</v>
      </c>
      <c r="G425" s="5" t="n">
        <v>22064138000</v>
      </c>
      <c r="H425" s="5" t="n">
        <v>183033485000</v>
      </c>
      <c r="I425" s="5" t="n">
        <v>18652102000</v>
      </c>
      <c r="J425" s="4" t="n">
        <v>1.924900054931641</v>
      </c>
      <c r="K425" s="4" t="n">
        <v>0.4799999892711639</v>
      </c>
      <c r="L425" s="4" t="n">
        <v>0.1589999943971634</v>
      </c>
      <c r="M425" t="inlineStr">
        <is>
          <t>윤호철</t>
        </is>
      </c>
      <c r="N425" t="inlineStr">
        <is>
          <t>032-580-4100</t>
        </is>
      </c>
      <c r="O425" t="inlineStr">
        <is>
          <t>032-580-4198</t>
        </is>
      </c>
      <c r="P425" s="3">
        <f>HYPERLINK("http://www.deerfos.com", "http://www.deerfos.com")</f>
        <v/>
      </c>
      <c r="Q425" t="inlineStr">
        <is>
          <t>1378107570</t>
        </is>
      </c>
      <c r="R425" t="inlineStr">
        <is>
          <t>1201110016156</t>
        </is>
      </c>
      <c r="S425" t="inlineStr">
        <is>
          <t>대상아님</t>
        </is>
      </c>
      <c r="T425" t="inlineStr">
        <is>
          <t>일반법인</t>
        </is>
      </c>
      <c r="U425" t="inlineStr">
        <is>
          <t>중견기업</t>
        </is>
      </c>
      <c r="V425" t="inlineStr">
        <is>
          <t>외부감사대상</t>
        </is>
      </c>
      <c r="W425" s="6" t="inlineStr">
        <is>
          <t>1963-04-23</t>
        </is>
      </c>
      <c r="X425" t="inlineStr">
        <is>
          <t>KRI:10C2399200</t>
        </is>
      </c>
      <c r="Y425" t="inlineStr">
        <is>
          <t>연마재 제조업</t>
        </is>
      </c>
      <c r="Z425" t="inlineStr">
        <is>
          <t>연마지,연마포,연마공구,연마재료 제조,판매,수출/플라스틱가공/부동산 임대</t>
        </is>
      </c>
      <c r="AA425" t="inlineStr">
        <is>
          <t>인천 서구 가좌동 290번지</t>
        </is>
      </c>
      <c r="AB425" t="inlineStr">
        <is>
          <t>인천 서구 가좌로83번길 52</t>
        </is>
      </c>
    </row>
    <row r="426" ht="19.2" customHeight="1" s="1">
      <c r="A426" t="inlineStr">
        <is>
          <t>NICE:JI0306</t>
        </is>
      </c>
      <c r="B426" t="inlineStr">
        <is>
          <t>의정부경량전철</t>
        </is>
      </c>
      <c r="C426" s="5" t="n">
        <v>144253585000</v>
      </c>
      <c r="D426" s="5" t="n">
        <v>130402686000</v>
      </c>
      <c r="E426" s="5" t="n">
        <v>13850899000</v>
      </c>
      <c r="F426" s="5" t="n">
        <v>34173985000</v>
      </c>
      <c r="G426" s="5" t="n">
        <v>4730561000</v>
      </c>
      <c r="H426" s="5" t="n">
        <v>34125609000</v>
      </c>
      <c r="I426" s="5" t="n">
        <v>3309152000</v>
      </c>
      <c r="J426" s="4" t="n">
        <v>0.3813999891281128</v>
      </c>
      <c r="K426" s="4" t="n">
        <v>9.414699554443359</v>
      </c>
      <c r="L426" s="4" t="n">
        <v>0.1384000033140182</v>
      </c>
      <c r="M426" t="inlineStr">
        <is>
          <t>강연기</t>
        </is>
      </c>
      <c r="N426" t="inlineStr">
        <is>
          <t>031-820-1098</t>
        </is>
      </c>
      <c r="O426" t="inlineStr">
        <is>
          <t>031-820-1090</t>
        </is>
      </c>
      <c r="P426" s="3">
        <f>HYPERLINK("http://www.ulrt.co.kr/", "http://www.ulrt.co.kr/")</f>
        <v/>
      </c>
      <c r="Q426" t="inlineStr">
        <is>
          <t>8828701227</t>
        </is>
      </c>
      <c r="R426" t="inlineStr">
        <is>
          <t>1101116906684</t>
        </is>
      </c>
      <c r="S426" t="inlineStr">
        <is>
          <t>대상아님</t>
        </is>
      </c>
      <c r="T426" t="inlineStr">
        <is>
          <t>일반법인</t>
        </is>
      </c>
      <c r="U426" t="inlineStr">
        <is>
          <t>중소기업</t>
        </is>
      </c>
      <c r="V426" t="inlineStr">
        <is>
          <t>외부감사대상</t>
        </is>
      </c>
      <c r="W426" s="6" t="inlineStr">
        <is>
          <t>2018-10-25</t>
        </is>
      </c>
      <c r="X426" t="inlineStr">
        <is>
          <t>KRI:10H4921100</t>
        </is>
      </c>
      <c r="Y426" t="inlineStr">
        <is>
          <t>도시철도 운송업</t>
        </is>
      </c>
      <c r="Z426" t="inlineStr">
        <is>
          <t>도시철도 관리운영</t>
        </is>
      </c>
      <c r="AA426" t="inlineStr">
        <is>
          <t>경기 의정부시 고산동 656-6번지</t>
        </is>
      </c>
      <c r="AB426" t="inlineStr">
        <is>
          <t>경기 의정부시 고산로 27</t>
        </is>
      </c>
    </row>
    <row r="427" ht="19.2" customHeight="1" s="1">
      <c r="A427" t="inlineStr">
        <is>
          <t>NICE:720631</t>
        </is>
      </c>
      <c r="B427" t="inlineStr">
        <is>
          <t>삼부해운</t>
        </is>
      </c>
      <c r="C427" s="5" t="n">
        <v>84608980000</v>
      </c>
      <c r="D427" s="5" t="n">
        <v>40649978000</v>
      </c>
      <c r="E427" s="5" t="n">
        <v>43959002000</v>
      </c>
      <c r="F427" s="5" t="n">
        <v>59423091000</v>
      </c>
      <c r="G427" s="5" t="n">
        <v>6440310000</v>
      </c>
      <c r="H427" s="5" t="n">
        <v>59228794000</v>
      </c>
      <c r="I427" s="5" t="n">
        <v>5408513000</v>
      </c>
      <c r="J427" s="4" t="n">
        <v>1.052199959754944</v>
      </c>
      <c r="K427" s="4" t="n">
        <v>0.9246999621391296</v>
      </c>
      <c r="L427" s="4" t="n">
        <v>0.1084000021219254</v>
      </c>
      <c r="M427" t="inlineStr">
        <is>
          <t>허영환</t>
        </is>
      </c>
      <c r="N427" t="inlineStr">
        <is>
          <t>051-465-6501</t>
        </is>
      </c>
      <c r="O427" t="inlineStr">
        <is>
          <t>051-464-0525</t>
        </is>
      </c>
      <c r="P427" s="3" t="n"/>
      <c r="Q427" t="inlineStr">
        <is>
          <t>6018101970</t>
        </is>
      </c>
      <c r="R427" t="inlineStr">
        <is>
          <t>1801110007260</t>
        </is>
      </c>
      <c r="S427" t="inlineStr">
        <is>
          <t>대상아님</t>
        </is>
      </c>
      <c r="T427" t="inlineStr">
        <is>
          <t>일반법인</t>
        </is>
      </c>
      <c r="U427" t="inlineStr">
        <is>
          <t>중소기업</t>
        </is>
      </c>
      <c r="V427" t="inlineStr">
        <is>
          <t>외부감사대상</t>
        </is>
      </c>
      <c r="W427" s="6" t="inlineStr">
        <is>
          <t>1967-10-02</t>
        </is>
      </c>
      <c r="X427" t="inlineStr">
        <is>
          <t>KRI:10H5011200</t>
        </is>
      </c>
      <c r="Y427" t="inlineStr">
        <is>
          <t>외항 화물 운송업</t>
        </is>
      </c>
      <c r="Z427" t="inlineStr">
        <is>
          <t>해상화물(석유화학제품)외항,내항운송</t>
        </is>
      </c>
      <c r="AA427" t="inlineStr">
        <is>
          <t>서울 영등포구 여의도동 25-5번지 동화빌딩 1306호</t>
        </is>
      </c>
      <c r="AB427" t="inlineStr">
        <is>
          <t>서울 영등포구 여의나루로 71, 1306호 (여의도동,동화빌딩)</t>
        </is>
      </c>
    </row>
    <row r="428" ht="19.2" customHeight="1" s="1">
      <c r="A428" t="inlineStr">
        <is>
          <t>NICE:385413</t>
        </is>
      </c>
      <c r="B428" t="inlineStr">
        <is>
          <t>프라임방재</t>
        </is>
      </c>
      <c r="C428" s="5" t="n">
        <v>17223542000</v>
      </c>
      <c r="D428" s="5" t="n">
        <v>4056158000</v>
      </c>
      <c r="E428" s="5" t="n">
        <v>13167384000</v>
      </c>
      <c r="F428" s="5" t="n">
        <v>20125959000</v>
      </c>
      <c r="G428" s="5" t="n">
        <v>2343442000</v>
      </c>
      <c r="H428" s="5" t="n">
        <v>22508761000</v>
      </c>
      <c r="I428" s="5" t="n">
        <v>1716558000</v>
      </c>
      <c r="J428" s="4" t="n">
        <v>3.052199840545654</v>
      </c>
      <c r="K428" s="4" t="n">
        <v>0.3079999983310699</v>
      </c>
      <c r="L428" s="4" t="n">
        <v>0.1164000034332275</v>
      </c>
      <c r="M428" t="inlineStr">
        <is>
          <t>김회택</t>
        </is>
      </c>
      <c r="N428" t="inlineStr">
        <is>
          <t>031-631-9469</t>
        </is>
      </c>
      <c r="O428" t="inlineStr">
        <is>
          <t>02-2692-5475</t>
        </is>
      </c>
      <c r="P428" s="3">
        <f>HYPERLINK("http://www.prime-enc.co.kr", "http://www.prime-enc.co.kr")</f>
        <v/>
      </c>
      <c r="Q428" t="inlineStr">
        <is>
          <t>1098195477</t>
        </is>
      </c>
      <c r="R428" t="inlineStr">
        <is>
          <t>1101113145475</t>
        </is>
      </c>
      <c r="S428" t="inlineStr">
        <is>
          <t>대상아님</t>
        </is>
      </c>
      <c r="T428" t="inlineStr">
        <is>
          <t>일반법인</t>
        </is>
      </c>
      <c r="U428" t="inlineStr">
        <is>
          <t>중소기업</t>
        </is>
      </c>
      <c r="V428" t="inlineStr">
        <is>
          <t>외부감사대상</t>
        </is>
      </c>
      <c r="W428" s="6" t="inlineStr">
        <is>
          <t>2005-01-06</t>
        </is>
      </c>
      <c r="X428" t="inlineStr">
        <is>
          <t>KRI:10F4220100</t>
        </is>
      </c>
      <c r="Y428" t="inlineStr">
        <is>
          <t>배관 및 냉ㆍ난방 공사업</t>
        </is>
      </c>
      <c r="Z428" t="inlineStr">
        <is>
          <t>소방시설공사,기계가스설비공사,전기공사,건축공사,시설물유지관리공사,소방시설공사,기계가스설비공사,전기공사/소방시설관리/소방기구 제조</t>
        </is>
      </c>
      <c r="AA428" t="inlineStr">
        <is>
          <t>서울 강서구 가양동 1487번지 가양테크노타운 503호,507호,508호,509호</t>
        </is>
      </c>
      <c r="AB428" t="inlineStr">
        <is>
          <t>서울 강서구 허준로 217, 503호,507호,508호,509호 (가양동,가양테크노타운)</t>
        </is>
      </c>
    </row>
    <row r="429" s="1">
      <c r="A429" t="inlineStr">
        <is>
          <t>NICE:I54832</t>
        </is>
      </c>
      <c r="B429" t="inlineStr">
        <is>
          <t>신흥농약</t>
        </is>
      </c>
      <c r="C429" s="5" t="n">
        <v>22646572000</v>
      </c>
      <c r="D429" s="5" t="n">
        <v>7287467000</v>
      </c>
      <c r="E429" s="5" t="n">
        <v>15359105000</v>
      </c>
      <c r="F429" s="5" t="n">
        <v>30836349000</v>
      </c>
      <c r="G429" s="5" t="n">
        <v>4983274000</v>
      </c>
      <c r="H429" s="5" t="n">
        <v>31698196000</v>
      </c>
      <c r="I429" s="5" t="n">
        <v>1077893000</v>
      </c>
      <c r="J429" s="4" t="n">
        <v>3.442799806594849</v>
      </c>
      <c r="K429" s="4" t="n">
        <v>0.4745000004768372</v>
      </c>
      <c r="L429" s="4" t="n">
        <v>0.1615999937057495</v>
      </c>
      <c r="M429" t="inlineStr">
        <is>
          <t>서호석</t>
        </is>
      </c>
      <c r="N429" t="inlineStr">
        <is>
          <t>063-855-9065</t>
        </is>
      </c>
      <c r="Q429" t="inlineStr">
        <is>
          <t>4038106712</t>
        </is>
      </c>
      <c r="R429" t="inlineStr">
        <is>
          <t>2149110005762</t>
        </is>
      </c>
      <c r="S429" t="inlineStr">
        <is>
          <t>대상아님</t>
        </is>
      </c>
      <c r="T429" t="inlineStr">
        <is>
          <t>일반법인</t>
        </is>
      </c>
      <c r="U429" t="inlineStr">
        <is>
          <t>중소기업</t>
        </is>
      </c>
      <c r="V429" t="inlineStr">
        <is>
          <t>외부감사대상</t>
        </is>
      </c>
      <c r="W429" s="6" t="inlineStr">
        <is>
          <t>1991-11-26</t>
        </is>
      </c>
      <c r="X429" t="inlineStr">
        <is>
          <t>KRI:10G4673200</t>
        </is>
      </c>
      <c r="Y429" t="inlineStr">
        <is>
          <t>비료 및 농약 도매업</t>
        </is>
      </c>
      <c r="Z429" t="inlineStr">
        <is>
          <t>농약 도소매</t>
        </is>
      </c>
      <c r="AA429" t="inlineStr">
        <is>
          <t>전북 익산시 황등면 죽촌리 651-3번지</t>
        </is>
      </c>
      <c r="AB429" t="inlineStr">
        <is>
          <t>전북 익산시 황등면 시와로 183</t>
        </is>
      </c>
    </row>
    <row r="430" ht="19.2" customHeight="1" s="1">
      <c r="A430" t="inlineStr">
        <is>
          <t>NICE:910660</t>
        </is>
      </c>
      <c r="B430" t="inlineStr">
        <is>
          <t>양산컨트리클럽</t>
        </is>
      </c>
      <c r="C430" s="5" t="n">
        <v>168009517000</v>
      </c>
      <c r="D430" s="5" t="n">
        <v>4336452000</v>
      </c>
      <c r="E430" s="5" t="n">
        <v>163673066000</v>
      </c>
      <c r="F430" s="5" t="n">
        <v>24338285000</v>
      </c>
      <c r="G430" s="5" t="n">
        <v>12811127000</v>
      </c>
      <c r="H430" s="5" t="n">
        <v>21066695000</v>
      </c>
      <c r="I430" s="5" t="n">
        <v>7829073000</v>
      </c>
      <c r="J430" s="4" t="n">
        <v>4.838699817657471</v>
      </c>
      <c r="K430" s="4" t="n">
        <v>0.02649999968707561</v>
      </c>
      <c r="L430" s="4" t="n">
        <v>0.5263999700546265</v>
      </c>
      <c r="M430" t="inlineStr">
        <is>
          <t>윤선재</t>
        </is>
      </c>
      <c r="N430" t="inlineStr">
        <is>
          <t>055-379-0000</t>
        </is>
      </c>
      <c r="O430" t="inlineStr">
        <is>
          <t>055-379-0098</t>
        </is>
      </c>
      <c r="P430" s="3">
        <f>HYPERLINK("http://www.yangsancc.co.kr", "http://www.yangsancc.co.kr")</f>
        <v/>
      </c>
      <c r="Q430" t="inlineStr">
        <is>
          <t>6218103711</t>
        </is>
      </c>
      <c r="R430" t="inlineStr">
        <is>
          <t>1845110004579</t>
        </is>
      </c>
      <c r="S430" t="inlineStr">
        <is>
          <t>대상아님</t>
        </is>
      </c>
      <c r="T430" t="inlineStr">
        <is>
          <t>일반법인</t>
        </is>
      </c>
      <c r="U430" t="inlineStr">
        <is>
          <t>중소기업</t>
        </is>
      </c>
      <c r="V430" t="inlineStr">
        <is>
          <t>외부감사대상</t>
        </is>
      </c>
      <c r="W430" s="6" t="inlineStr">
        <is>
          <t>1989-06-05</t>
        </is>
      </c>
      <c r="X430" t="inlineStr">
        <is>
          <t>KRI:10R9112100</t>
        </is>
      </c>
      <c r="Y430" t="inlineStr">
        <is>
          <t>골프장 운영업</t>
        </is>
      </c>
      <c r="Z430" t="inlineStr">
        <is>
          <t>골프장 운영</t>
        </is>
      </c>
      <c r="AA430" t="inlineStr">
        <is>
          <t>경남 양산시 상북면 소토리 1059-3번지</t>
        </is>
      </c>
      <c r="AB430" t="inlineStr">
        <is>
          <t>경남 양산시 상북면 충렬로 687</t>
        </is>
      </c>
    </row>
    <row r="431" ht="19.2" customHeight="1" s="1">
      <c r="A431" t="inlineStr">
        <is>
          <t>NICE:C89492</t>
        </is>
      </c>
      <c r="B431" t="inlineStr">
        <is>
          <t>이성당</t>
        </is>
      </c>
      <c r="C431" s="5" t="n">
        <v>38080797000</v>
      </c>
      <c r="D431" s="5" t="n">
        <v>8811824000</v>
      </c>
      <c r="E431" s="5" t="n">
        <v>29268974000</v>
      </c>
      <c r="F431" s="5" t="n">
        <v>29804677000</v>
      </c>
      <c r="G431" s="5" t="n">
        <v>4068085000</v>
      </c>
      <c r="H431" s="5" t="n">
        <v>28423632000</v>
      </c>
      <c r="I431" s="5" t="n">
        <v>4229871000</v>
      </c>
      <c r="J431" s="4" t="n">
        <v>2.177899837493896</v>
      </c>
      <c r="K431" s="4" t="n">
        <v>0.3010999858379364</v>
      </c>
      <c r="L431" s="4" t="n">
        <v>0.1364999860525131</v>
      </c>
      <c r="M431" t="inlineStr">
        <is>
          <t>김현주</t>
        </is>
      </c>
      <c r="N431" t="inlineStr">
        <is>
          <t>063-730-2701</t>
        </is>
      </c>
      <c r="O431" t="inlineStr">
        <is>
          <t>063-730-2701</t>
        </is>
      </c>
      <c r="P431" s="3" t="n"/>
      <c r="Q431" t="inlineStr">
        <is>
          <t>4018123812</t>
        </is>
      </c>
      <c r="R431" t="inlineStr">
        <is>
          <t>2111110016528</t>
        </is>
      </c>
      <c r="S431" t="inlineStr">
        <is>
          <t>대상아님</t>
        </is>
      </c>
      <c r="T431" t="inlineStr">
        <is>
          <t>일반법인</t>
        </is>
      </c>
      <c r="U431" t="inlineStr">
        <is>
          <t>중소기업</t>
        </is>
      </c>
      <c r="V431" t="inlineStr">
        <is>
          <t>외부감사대상</t>
        </is>
      </c>
      <c r="W431" s="6" t="inlineStr">
        <is>
          <t>2003-04-12</t>
        </is>
      </c>
      <c r="X431" t="inlineStr">
        <is>
          <t>KRI:10C1071200</t>
        </is>
      </c>
      <c r="Y431" t="inlineStr">
        <is>
          <t>빵류 제조업</t>
        </is>
      </c>
      <c r="Z431" t="inlineStr">
        <is>
          <t>제과제빵 제조,도소매/제과점</t>
        </is>
      </c>
      <c r="AA431" t="inlineStr">
        <is>
          <t>전북 군산시 중앙로1가 12-2번지</t>
        </is>
      </c>
      <c r="AB431" t="inlineStr">
        <is>
          <t>전북 군산시 중앙로 177</t>
        </is>
      </c>
    </row>
    <row r="432" ht="19.2" customHeight="1" s="1">
      <c r="A432" t="inlineStr">
        <is>
          <t>NICE:145688</t>
        </is>
      </c>
      <c r="B432" t="inlineStr">
        <is>
          <t>마리오쇼핑</t>
        </is>
      </c>
      <c r="C432" s="5" t="n">
        <v>328978272000</v>
      </c>
      <c r="D432" s="5" t="n">
        <v>195397827000</v>
      </c>
      <c r="E432" s="5" t="n">
        <v>133580445000</v>
      </c>
      <c r="F432" s="5" t="n">
        <v>40091110000</v>
      </c>
      <c r="G432" s="5" t="n">
        <v>4927061000</v>
      </c>
      <c r="H432" s="5" t="n">
        <v>41031562000</v>
      </c>
      <c r="I432" s="5" t="n">
        <v>5224670000</v>
      </c>
      <c r="J432" s="4" t="n">
        <v>0.152199998497963</v>
      </c>
      <c r="K432" s="4" t="n">
        <v>1.462799906730652</v>
      </c>
      <c r="L432" s="4" t="n">
        <v>0.1228999942541122</v>
      </c>
      <c r="M432" t="inlineStr">
        <is>
          <t>홍성열</t>
        </is>
      </c>
      <c r="N432" t="inlineStr">
        <is>
          <t>02-2109-7000</t>
        </is>
      </c>
      <c r="O432" t="inlineStr">
        <is>
          <t>02-869-1185</t>
        </is>
      </c>
      <c r="P432" s="3">
        <f>HYPERLINK("http://www.mario.co.kr", "http://www.mario.co.kr")</f>
        <v/>
      </c>
      <c r="Q432" t="inlineStr">
        <is>
          <t>1128115877</t>
        </is>
      </c>
      <c r="R432" t="inlineStr">
        <is>
          <t>1101110534340</t>
        </is>
      </c>
      <c r="S432" t="inlineStr">
        <is>
          <t>대상아님</t>
        </is>
      </c>
      <c r="T432" t="inlineStr">
        <is>
          <t>일반법인</t>
        </is>
      </c>
      <c r="U432" t="inlineStr">
        <is>
          <t>중소기업</t>
        </is>
      </c>
      <c r="V432" t="inlineStr">
        <is>
          <t>외부감사대상</t>
        </is>
      </c>
      <c r="W432" s="6" t="inlineStr">
        <is>
          <t>1987-07-16</t>
        </is>
      </c>
      <c r="X432" t="inlineStr">
        <is>
          <t>KRI:10G4711900</t>
        </is>
      </c>
      <c r="Y432" t="inlineStr">
        <is>
          <t>기타 대형 종합 소매업</t>
        </is>
      </c>
      <c r="Z432" t="inlineStr">
        <is>
          <t>대형할인점/의류 도소매,무역,전자상거래/일반음식점/부동산 임대,공급</t>
        </is>
      </c>
      <c r="AA432" t="inlineStr">
        <is>
          <t>서울 금천구 가산동 60-22번지</t>
        </is>
      </c>
      <c r="AB432" t="inlineStr">
        <is>
          <t>서울 금천구 디지털로 185</t>
        </is>
      </c>
    </row>
    <row r="433" s="1">
      <c r="A433" t="inlineStr">
        <is>
          <t>NICE:094839</t>
        </is>
      </c>
      <c r="B433" t="inlineStr">
        <is>
          <t>동화뉴텍</t>
        </is>
      </c>
      <c r="C433" s="5" t="n">
        <v>81168966000</v>
      </c>
      <c r="D433" s="5" t="n">
        <v>23158593000</v>
      </c>
      <c r="E433" s="5" t="n">
        <v>58010373000</v>
      </c>
      <c r="F433" s="5" t="n">
        <v>94422050000</v>
      </c>
      <c r="G433" s="5" t="n">
        <v>19898448000</v>
      </c>
      <c r="H433" s="5" t="n">
        <v>92118947000</v>
      </c>
      <c r="I433" s="5" t="n">
        <v>17762187000</v>
      </c>
      <c r="J433" s="4" t="n">
        <v>2.440299987792969</v>
      </c>
      <c r="K433" s="4" t="n">
        <v>0.3991999626159668</v>
      </c>
      <c r="L433" s="4" t="n">
        <v>0.2106999903917313</v>
      </c>
      <c r="M433" t="inlineStr">
        <is>
          <t>김동건/권영우</t>
        </is>
      </c>
      <c r="N433" t="inlineStr">
        <is>
          <t>051-974-4805</t>
        </is>
      </c>
      <c r="O433" t="inlineStr">
        <is>
          <t>051-974-4899</t>
        </is>
      </c>
      <c r="P433">
        <f>HYPERLINK("http://www.dhkomp.co.kr", "http://www.dhkomp.co.kr")</f>
        <v/>
      </c>
      <c r="Q433" t="inlineStr">
        <is>
          <t>6068177801</t>
        </is>
      </c>
      <c r="R433" t="inlineStr">
        <is>
          <t>1801110427880</t>
        </is>
      </c>
      <c r="S433" t="inlineStr">
        <is>
          <t>대상아님</t>
        </is>
      </c>
      <c r="T433" t="inlineStr">
        <is>
          <t>일반법인</t>
        </is>
      </c>
      <c r="U433" t="inlineStr">
        <is>
          <t>중견기업</t>
        </is>
      </c>
      <c r="V433" t="inlineStr">
        <is>
          <t>외부감사대상</t>
        </is>
      </c>
      <c r="W433" s="6" t="inlineStr">
        <is>
          <t>2002-11-05</t>
        </is>
      </c>
      <c r="X433" t="inlineStr">
        <is>
          <t>KRI:10C2913200</t>
        </is>
      </c>
      <c r="Y433" t="inlineStr">
        <is>
          <t>기체 펌프 및 압축기 제조업</t>
        </is>
      </c>
      <c r="Z433" t="inlineStr">
        <is>
          <t>공기압축기,열교환기,공조기기,산업설비,선박구성부분품 제조/태양광발전</t>
        </is>
      </c>
      <c r="AA433" t="inlineStr">
        <is>
          <t>부산 강서구 구랑동 1192-4번지</t>
        </is>
      </c>
      <c r="AB433" t="inlineStr">
        <is>
          <t>부산 강서구 미음산단로8번길 75</t>
        </is>
      </c>
    </row>
    <row r="434" ht="19.2" customHeight="1" s="1">
      <c r="A434" t="inlineStr">
        <is>
          <t>NICE:LC0688</t>
        </is>
      </c>
      <c r="B434" t="inlineStr">
        <is>
          <t>코크레인에스피씨</t>
        </is>
      </c>
      <c r="C434" s="5" t="n">
        <v>129632056000</v>
      </c>
      <c r="D434" s="5" t="n">
        <v>19849750000</v>
      </c>
      <c r="E434" s="5" t="n">
        <v>109782306000</v>
      </c>
      <c r="F434" s="5" t="n">
        <v>108923693000</v>
      </c>
      <c r="G434" s="5" t="n">
        <v>108695629000</v>
      </c>
      <c r="H434" s="5" t="n">
        <v>30879674000</v>
      </c>
      <c r="I434" s="5" t="n">
        <v>30609435000</v>
      </c>
      <c r="J434" s="4" t="n">
        <v>4.670400142669678</v>
      </c>
      <c r="K434" s="4" t="n">
        <v>0.1807999908924103</v>
      </c>
      <c r="L434" s="4" t="n">
        <v>0.9979000091552734</v>
      </c>
      <c r="M434" t="inlineStr">
        <is>
          <t>함종범</t>
        </is>
      </c>
      <c r="N434" t="inlineStr">
        <is>
          <t>02-6711-4955</t>
        </is>
      </c>
      <c r="O434" t="inlineStr">
        <is>
          <t>02-6711-4901</t>
        </is>
      </c>
      <c r="P434" s="3">
        <f>HYPERLINK("http://www.dlenergy.co.kr", "http://www.dlenergy.co.kr")</f>
        <v/>
      </c>
      <c r="Q434" t="inlineStr">
        <is>
          <t>5068601893</t>
        </is>
      </c>
      <c r="R434" t="inlineStr">
        <is>
          <t>2844110113024</t>
        </is>
      </c>
      <c r="S434" t="inlineStr">
        <is>
          <t>대상아님</t>
        </is>
      </c>
      <c r="T434" t="inlineStr">
        <is>
          <t>일반법인</t>
        </is>
      </c>
      <c r="U434" t="inlineStr">
        <is>
          <t>대기업</t>
        </is>
      </c>
      <c r="V434" t="inlineStr">
        <is>
          <t>외부감사대상</t>
        </is>
      </c>
      <c r="W434" s="6" t="inlineStr">
        <is>
          <t>2020-03-10</t>
        </is>
      </c>
      <c r="X434" t="inlineStr">
        <is>
          <t>KRI:10K6420900</t>
        </is>
      </c>
      <c r="Y434" t="inlineStr">
        <is>
          <t>기타 금융 투자업</t>
        </is>
      </c>
      <c r="Z434" t="inlineStr">
        <is>
          <t>금융 투자,경영지원컨설팅</t>
        </is>
      </c>
      <c r="AA434" t="inlineStr">
        <is>
          <t>경기 포천시 창수면 추동리 992번지</t>
        </is>
      </c>
      <c r="AB434" t="inlineStr">
        <is>
          <t>경기 포천시 창수면 포천로2797번길 17</t>
        </is>
      </c>
    </row>
    <row r="435" ht="19.2" customHeight="1" s="1">
      <c r="A435" t="inlineStr">
        <is>
          <t>NICE:E39535</t>
        </is>
      </c>
      <c r="B435" t="inlineStr">
        <is>
          <t>아시아에너지</t>
        </is>
      </c>
      <c r="C435" s="5" t="n">
        <v>118546912000</v>
      </c>
      <c r="D435" s="5" t="n">
        <v>59072487000</v>
      </c>
      <c r="E435" s="5" t="n">
        <v>59474425000</v>
      </c>
      <c r="F435" s="5" t="n">
        <v>179416027000</v>
      </c>
      <c r="G435" s="5" t="n">
        <v>18566048000</v>
      </c>
      <c r="H435" s="5" t="n">
        <v>110667063000</v>
      </c>
      <c r="I435" s="5" t="n">
        <v>8320842000</v>
      </c>
      <c r="J435" s="4" t="n">
        <v>1.858399868011475</v>
      </c>
      <c r="K435" s="4" t="n">
        <v>0.9932000041007996</v>
      </c>
      <c r="L435" s="4" t="n">
        <v>0.1035000011324883</v>
      </c>
      <c r="M435" t="inlineStr">
        <is>
          <t>김영미</t>
        </is>
      </c>
      <c r="N435" t="inlineStr">
        <is>
          <t>051-741-6220</t>
        </is>
      </c>
      <c r="O435" t="inlineStr">
        <is>
          <t>051-741-6222</t>
        </is>
      </c>
      <c r="P435" s="3">
        <f>HYPERLINK("http://www.asiaenergy.kr", "http://www.asiaenergy.kr")</f>
        <v/>
      </c>
      <c r="Q435" t="inlineStr">
        <is>
          <t>6218197126</t>
        </is>
      </c>
      <c r="R435" t="inlineStr">
        <is>
          <t>2341110066485</t>
        </is>
      </c>
      <c r="S435" t="inlineStr">
        <is>
          <t>대상아님</t>
        </is>
      </c>
      <c r="T435" t="inlineStr">
        <is>
          <t>일반법인</t>
        </is>
      </c>
      <c r="U435" t="inlineStr">
        <is>
          <t>중소기업</t>
        </is>
      </c>
      <c r="V435" t="inlineStr">
        <is>
          <t>외부감사대상</t>
        </is>
      </c>
      <c r="W435" s="6" t="inlineStr">
        <is>
          <t>2012-08-03</t>
        </is>
      </c>
      <c r="X435" t="inlineStr">
        <is>
          <t>KRI:10C1921000</t>
        </is>
      </c>
      <c r="Y435" t="inlineStr">
        <is>
          <t>원유 정제처리업</t>
        </is>
      </c>
      <c r="Z435" t="inlineStr">
        <is>
          <t>석유화학(바이오중유,정제유) 가공/알루미늄 제조/우드펠렛 도소매/무역/엔지니어링,대체에너지 연구개발</t>
        </is>
      </c>
      <c r="AA435" t="inlineStr">
        <is>
          <t>부산 해운대구 우동 1454번지 벽산이센텀클래스원2차 1309호, 1310호</t>
        </is>
      </c>
      <c r="AB435" t="inlineStr">
        <is>
          <t>부산 해운대구 센텀동로 71, 1309호, 1310호 (우동,벽산이센텀클래스원2차)</t>
        </is>
      </c>
    </row>
    <row r="436" ht="19.2" customHeight="1" s="1">
      <c r="A436" t="inlineStr">
        <is>
          <t>NICE:LY4098</t>
        </is>
      </c>
      <c r="B436" t="inlineStr">
        <is>
          <t>이엔비에어</t>
        </is>
      </c>
      <c r="C436" s="5" t="n">
        <v>41787490000</v>
      </c>
      <c r="D436" s="5" t="n">
        <v>26668452000</v>
      </c>
      <c r="E436" s="5" t="n">
        <v>15119039000</v>
      </c>
      <c r="F436" s="5" t="n">
        <v>25242368000</v>
      </c>
      <c r="G436" s="5" t="n">
        <v>7992247000</v>
      </c>
      <c r="H436" s="5" t="n">
        <v>13428962000</v>
      </c>
      <c r="I436" s="5" t="n">
        <v>3437168000</v>
      </c>
      <c r="J436" s="4" t="n">
        <v>0.6039999723434448</v>
      </c>
      <c r="K436" s="4" t="n">
        <v>1.763899922370911</v>
      </c>
      <c r="L436" s="4" t="n">
        <v>0.3165999948978424</v>
      </c>
      <c r="M436" t="inlineStr">
        <is>
          <t>김창원</t>
        </is>
      </c>
      <c r="N436" t="inlineStr">
        <is>
          <t>043-421-3312</t>
        </is>
      </c>
      <c r="O436" t="inlineStr">
        <is>
          <t>043-422-3312</t>
        </is>
      </c>
      <c r="P436" s="3">
        <f>HYPERLINK("http://www.enbair.co.kr", "http://www.enbair.co.kr")</f>
        <v/>
      </c>
      <c r="Q436" t="inlineStr">
        <is>
          <t>7808701824</t>
        </is>
      </c>
      <c r="R436" t="inlineStr">
        <is>
          <t>1101117689156</t>
        </is>
      </c>
      <c r="S436" t="inlineStr">
        <is>
          <t>대상아님</t>
        </is>
      </c>
      <c r="T436" t="inlineStr">
        <is>
          <t>일반법인</t>
        </is>
      </c>
      <c r="U436" t="inlineStr">
        <is>
          <t>중소기업</t>
        </is>
      </c>
      <c r="V436" t="inlineStr">
        <is>
          <t>외부감사대상</t>
        </is>
      </c>
      <c r="W436" s="6" t="inlineStr">
        <is>
          <t>2020-11-19</t>
        </is>
      </c>
      <c r="X436" t="inlineStr">
        <is>
          <t>KRI:10H5120000</t>
        </is>
      </c>
      <c r="Y436" t="inlineStr">
        <is>
          <t>항공 화물 운송업</t>
        </is>
      </c>
      <c r="Z436" t="inlineStr">
        <is>
          <t>항공기 화물운송,사용,정비/항공기부품 도소매/헬기,헬기부품 도매</t>
        </is>
      </c>
      <c r="AA436" t="inlineStr">
        <is>
          <t>충북 단양군 매포읍 우덕리 897번지</t>
        </is>
      </c>
      <c r="AB436" t="inlineStr">
        <is>
          <t>충북 단양군 매포읍 단양산업단지2로 88-23</t>
        </is>
      </c>
    </row>
    <row r="437" ht="19.2" customHeight="1" s="1">
      <c r="A437" t="inlineStr">
        <is>
          <t>NICE:E76732</t>
        </is>
      </c>
      <c r="B437" t="inlineStr">
        <is>
          <t>케이더블유기우산업</t>
        </is>
      </c>
      <c r="C437" s="5" t="n">
        <v>23299078000</v>
      </c>
      <c r="D437" s="5" t="n">
        <v>17400150000</v>
      </c>
      <c r="E437" s="5" t="n">
        <v>5898927000</v>
      </c>
      <c r="F437" s="5" t="n">
        <v>25940487000</v>
      </c>
      <c r="G437" s="5" t="n">
        <v>2957884000</v>
      </c>
      <c r="H437" s="5" t="n">
        <v>25158417000</v>
      </c>
      <c r="I437" s="5" t="n">
        <v>2588544000</v>
      </c>
      <c r="J437" s="4" t="n">
        <v>0.7203999757766724</v>
      </c>
      <c r="K437" s="4" t="n">
        <v>2.949699878692627</v>
      </c>
      <c r="L437" s="4" t="n">
        <v>0.113999992609024</v>
      </c>
      <c r="M437" t="inlineStr">
        <is>
          <t>이창순</t>
        </is>
      </c>
      <c r="N437" t="inlineStr">
        <is>
          <t>041-556-8090</t>
        </is>
      </c>
      <c r="O437" t="inlineStr">
        <is>
          <t>041-556-8091</t>
        </is>
      </c>
      <c r="P437" s="3" t="n"/>
      <c r="Q437" t="inlineStr">
        <is>
          <t>1238613234</t>
        </is>
      </c>
      <c r="R437" t="inlineStr">
        <is>
          <t>1341110163274</t>
        </is>
      </c>
      <c r="S437" t="inlineStr">
        <is>
          <t>대상아님</t>
        </is>
      </c>
      <c r="T437" t="inlineStr">
        <is>
          <t>일반법인</t>
        </is>
      </c>
      <c r="U437" t="inlineStr">
        <is>
          <t>중소기업</t>
        </is>
      </c>
      <c r="V437" t="inlineStr">
        <is>
          <t>외부감사대상</t>
        </is>
      </c>
      <c r="W437" s="6" t="inlineStr">
        <is>
          <t>2008-02-13</t>
        </is>
      </c>
      <c r="X437" t="inlineStr">
        <is>
          <t>KRI:10C3039300</t>
        </is>
      </c>
      <c r="Y437" t="inlineStr">
        <is>
          <t>자동차용 신품 의자 제조업</t>
        </is>
      </c>
      <c r="Z437" t="inlineStr">
        <is>
          <t>자동차시트 제조,도매,무역/부동산 임대</t>
        </is>
      </c>
      <c r="AA437" t="inlineStr">
        <is>
          <t>충남 천안시 동남구 수신면 신풍리 372-7번지</t>
        </is>
      </c>
      <c r="AB437" t="inlineStr">
        <is>
          <t>충남 천안시 동남구 수신면 신풍1길 11-26</t>
        </is>
      </c>
    </row>
    <row r="438" ht="19.2" customHeight="1" s="1">
      <c r="A438" t="inlineStr">
        <is>
          <t>NICE:QH3637</t>
        </is>
      </c>
      <c r="B438" t="inlineStr">
        <is>
          <t>더편한샵</t>
        </is>
      </c>
      <c r="C438" s="5" t="n">
        <v>42963969000</v>
      </c>
      <c r="D438" s="5" t="n">
        <v>28921863000</v>
      </c>
      <c r="E438" s="5" t="n">
        <v>14042106000</v>
      </c>
      <c r="F438" s="5" t="n">
        <v>28901448000</v>
      </c>
      <c r="G438" s="5" t="n">
        <v>5583209000</v>
      </c>
      <c r="H438" s="5" t="n">
        <v>30933843000</v>
      </c>
      <c r="I438" s="5" t="n">
        <v>6049203000</v>
      </c>
      <c r="J438" s="4" t="n">
        <v>1.468800067901611</v>
      </c>
      <c r="K438" s="4" t="n">
        <v>2.059700012207031</v>
      </c>
      <c r="L438" s="4" t="n">
        <v>0.1931999921798706</v>
      </c>
      <c r="M438" t="inlineStr">
        <is>
          <t>박은경</t>
        </is>
      </c>
      <c r="N438" t="inlineStr">
        <is>
          <t>02-550-8700</t>
        </is>
      </c>
      <c r="P438" s="3">
        <f>HYPERLINK("http://www.shop.co.kr/front/intro/login", "http://www.shop.co.kr/front/intro/login")</f>
        <v/>
      </c>
      <c r="Q438" t="inlineStr">
        <is>
          <t>4908103043</t>
        </is>
      </c>
      <c r="R438" t="inlineStr">
        <is>
          <t>1101118679437</t>
        </is>
      </c>
      <c r="S438" t="inlineStr">
        <is>
          <t>대상아님</t>
        </is>
      </c>
      <c r="T438" t="inlineStr">
        <is>
          <t>일반법인</t>
        </is>
      </c>
      <c r="U438" t="inlineStr">
        <is>
          <t>중소기업</t>
        </is>
      </c>
      <c r="V438" t="inlineStr">
        <is>
          <t>외부감사대상</t>
        </is>
      </c>
      <c r="W438" s="6" t="inlineStr">
        <is>
          <t>2023-07-03</t>
        </is>
      </c>
      <c r="X438" t="inlineStr">
        <is>
          <t>KRI:10G4791100</t>
        </is>
      </c>
      <c r="Y438" t="inlineStr">
        <is>
          <t>전자상거래 소매 중개업</t>
        </is>
      </c>
      <c r="Z438" t="inlineStr">
        <is>
          <t>전자상거래</t>
        </is>
      </c>
      <c r="AA438" t="inlineStr">
        <is>
          <t>서울 강남구 삼성동 163-3번지 지하 1층, 6층</t>
        </is>
      </c>
      <c r="AB438" t="inlineStr">
        <is>
          <t>서울 강남구 봉은사로114길 12, 지하 1층, 6층</t>
        </is>
      </c>
    </row>
    <row r="439" ht="19.2" customHeight="1" s="1">
      <c r="A439" t="inlineStr">
        <is>
          <t>NICE:494543</t>
        </is>
      </c>
      <c r="B439" t="inlineStr">
        <is>
          <t>거명파워</t>
        </is>
      </c>
      <c r="C439" s="5" t="n">
        <v>34276770000</v>
      </c>
      <c r="D439" s="5" t="n">
        <v>9232747000</v>
      </c>
      <c r="E439" s="5" t="n">
        <v>25044023000</v>
      </c>
      <c r="F439" s="5" t="n">
        <v>27403579000</v>
      </c>
      <c r="G439" s="5" t="n">
        <v>6952044000</v>
      </c>
      <c r="H439" s="5" t="n">
        <v>18817114000</v>
      </c>
      <c r="I439" s="5" t="n">
        <v>4240561000</v>
      </c>
      <c r="J439" s="4" t="n">
        <v>2.650399923324585</v>
      </c>
      <c r="K439" s="4" t="n">
        <v>0.3686999678611755</v>
      </c>
      <c r="L439" s="4" t="n">
        <v>0.2536999881267548</v>
      </c>
      <c r="M439" t="inlineStr">
        <is>
          <t>박재철</t>
        </is>
      </c>
      <c r="N439" t="inlineStr">
        <is>
          <t>055-345-5500</t>
        </is>
      </c>
      <c r="O439" t="inlineStr">
        <is>
          <t>055-346-1185</t>
        </is>
      </c>
      <c r="P439" s="3">
        <f>HYPERLINK("http://www.gmpowerplant.com", "http://www.gmpowerplant.com")</f>
        <v/>
      </c>
      <c r="Q439" t="inlineStr">
        <is>
          <t>6098167850</t>
        </is>
      </c>
      <c r="R439" t="inlineStr">
        <is>
          <t>1942110072950</t>
        </is>
      </c>
      <c r="S439" t="inlineStr">
        <is>
          <t>대상아님</t>
        </is>
      </c>
      <c r="T439" t="inlineStr">
        <is>
          <t>일반법인</t>
        </is>
      </c>
      <c r="U439" t="inlineStr">
        <is>
          <t>중소기업</t>
        </is>
      </c>
      <c r="V439" t="inlineStr">
        <is>
          <t>외부감사대상</t>
        </is>
      </c>
      <c r="W439" s="6" t="inlineStr">
        <is>
          <t>2005-04-11</t>
        </is>
      </c>
      <c r="X439" t="inlineStr">
        <is>
          <t>KRI:10C2911900</t>
        </is>
      </c>
      <c r="Y439" t="inlineStr">
        <is>
          <t>기타 기관 및 터빈 제조업</t>
        </is>
      </c>
      <c r="Z439" t="inlineStr">
        <is>
          <t>기관,터빈 제조</t>
        </is>
      </c>
      <c r="AA439" t="inlineStr">
        <is>
          <t>경남 김해시 진영읍 본산리 1691번지</t>
        </is>
      </c>
      <c r="AB439" t="inlineStr">
        <is>
          <t>경남 김해시 진영읍 본산로269번길 65</t>
        </is>
      </c>
    </row>
    <row r="440" s="1">
      <c r="A440" t="inlineStr">
        <is>
          <t>NICE:910651</t>
        </is>
      </c>
      <c r="B440" t="inlineStr">
        <is>
          <t>해강개발</t>
        </is>
      </c>
      <c r="C440" s="5" t="n">
        <v>153897545000</v>
      </c>
      <c r="D440" s="5" t="n">
        <v>96805634000</v>
      </c>
      <c r="E440" s="5" t="n">
        <v>57091911000</v>
      </c>
      <c r="F440" s="5" t="n">
        <v>21358150000</v>
      </c>
      <c r="G440" s="5" t="n">
        <v>4461967000</v>
      </c>
      <c r="H440" s="5" t="n">
        <v>23990855000</v>
      </c>
      <c r="I440" s="5" t="n">
        <v>6473528000</v>
      </c>
      <c r="J440" s="4" t="n">
        <v>0.5271999835968018</v>
      </c>
      <c r="K440" s="4" t="n">
        <v>1.695599913597107</v>
      </c>
      <c r="L440" s="4" t="n">
        <v>0.2088999897241592</v>
      </c>
      <c r="M440" t="inlineStr">
        <is>
          <t>임종수</t>
        </is>
      </c>
      <c r="N440" t="inlineStr">
        <is>
          <t>031-987-9992</t>
        </is>
      </c>
      <c r="O440" t="inlineStr">
        <is>
          <t>031-987-9994</t>
        </is>
      </c>
      <c r="P440">
        <f>HYPERLINK("http://www.gimpocc.co.kr", "http://www.gimpocc.co.kr")</f>
        <v/>
      </c>
      <c r="Q440" t="inlineStr">
        <is>
          <t>1368105531</t>
        </is>
      </c>
      <c r="R440" t="inlineStr">
        <is>
          <t>1244110008989</t>
        </is>
      </c>
      <c r="S440" t="inlineStr">
        <is>
          <t>대상아님</t>
        </is>
      </c>
      <c r="T440" t="inlineStr">
        <is>
          <t>일반법인</t>
        </is>
      </c>
      <c r="U440" t="inlineStr">
        <is>
          <t>중소기업</t>
        </is>
      </c>
      <c r="V440" t="inlineStr">
        <is>
          <t>외부감사대상</t>
        </is>
      </c>
      <c r="W440" s="6" t="inlineStr">
        <is>
          <t>1989-11-13</t>
        </is>
      </c>
      <c r="X440" t="inlineStr">
        <is>
          <t>KRI:10R9112100</t>
        </is>
      </c>
      <c r="Y440" t="inlineStr">
        <is>
          <t>골프장 운영업</t>
        </is>
      </c>
      <c r="Z440" t="inlineStr">
        <is>
          <t>골프장 운영</t>
        </is>
      </c>
      <c r="AA440" t="inlineStr">
        <is>
          <t>경기 김포시 월곶면 포내리 220-4번지</t>
        </is>
      </c>
      <c r="AB440" t="inlineStr">
        <is>
          <t>경기 김포시 월곶면 김포대로2801번길 219</t>
        </is>
      </c>
    </row>
    <row r="441" ht="19.2" customHeight="1" s="1">
      <c r="A441" t="inlineStr">
        <is>
          <t>NICE:155783</t>
        </is>
      </c>
      <c r="B441" t="inlineStr">
        <is>
          <t>이지스엔터프라이즈</t>
        </is>
      </c>
      <c r="C441" s="5" t="n">
        <v>121868823000</v>
      </c>
      <c r="D441" s="5" t="n">
        <v>14776217000</v>
      </c>
      <c r="E441" s="5" t="n">
        <v>107092606000</v>
      </c>
      <c r="F441" s="5" t="n">
        <v>45889290000</v>
      </c>
      <c r="G441" s="5" t="n">
        <v>17248623000</v>
      </c>
      <c r="H441" s="5" t="n">
        <v>41008437000</v>
      </c>
      <c r="I441" s="5" t="n">
        <v>13714229000</v>
      </c>
      <c r="J441" s="4" t="n">
        <v>0.8855000138282776</v>
      </c>
      <c r="K441" s="4" t="n">
        <v>0.1379999965429306</v>
      </c>
      <c r="L441" s="4" t="n">
        <v>0.375900000333786</v>
      </c>
      <c r="M441" t="inlineStr">
        <is>
          <t>최병인</t>
        </is>
      </c>
      <c r="N441" t="inlineStr">
        <is>
          <t>02-2082-7200</t>
        </is>
      </c>
      <c r="O441" t="inlineStr">
        <is>
          <t>02-2082-7299</t>
        </is>
      </c>
      <c r="P441" s="3">
        <f>HYPERLINK("http://www.aegisep.com", "http://www.aegisep.com")</f>
        <v/>
      </c>
      <c r="Q441" t="inlineStr">
        <is>
          <t>1208614122</t>
        </is>
      </c>
      <c r="R441" t="inlineStr">
        <is>
          <t>1101112109034</t>
        </is>
      </c>
      <c r="S441" t="inlineStr">
        <is>
          <t>대상아님</t>
        </is>
      </c>
      <c r="T441" t="inlineStr">
        <is>
          <t>일반법인</t>
        </is>
      </c>
      <c r="U441" t="inlineStr">
        <is>
          <t>중소기업</t>
        </is>
      </c>
      <c r="V441" t="inlineStr">
        <is>
          <t>외부감사대상</t>
        </is>
      </c>
      <c r="W441" s="6" t="inlineStr">
        <is>
          <t>2000-11-13</t>
        </is>
      </c>
      <c r="X441" t="inlineStr">
        <is>
          <t>KRI:10K6619900</t>
        </is>
      </c>
      <c r="Y441" t="inlineStr">
        <is>
          <t>그 외 기타 금융 지원 서비스업</t>
        </is>
      </c>
      <c r="Z441" t="inlineStr">
        <is>
          <t>전자지급대행,공동주택관리인터넷,컨설팅/출판/태양광발전/서적 도소매</t>
        </is>
      </c>
      <c r="AA441" t="inlineStr">
        <is>
          <t>서울 금천구 가산동 550-1번지 아이티캐슬 2동 714호</t>
        </is>
      </c>
      <c r="AB441" t="inlineStr">
        <is>
          <t>서울 금천구 가산디지털2로 98, 2동 714호 (가산동,아이티캐슬)</t>
        </is>
      </c>
    </row>
    <row r="442" ht="19.2" customHeight="1" s="1">
      <c r="A442" t="inlineStr">
        <is>
          <t>NICE:177320</t>
        </is>
      </c>
      <c r="B442" t="inlineStr">
        <is>
          <t>윌테크놀러지</t>
        </is>
      </c>
      <c r="C442" s="5" t="n">
        <v>88166087000</v>
      </c>
      <c r="D442" s="5" t="n">
        <v>23585181000</v>
      </c>
      <c r="E442" s="5" t="n">
        <v>64580906000</v>
      </c>
      <c r="F442" s="5" t="n">
        <v>67403754000</v>
      </c>
      <c r="G442" s="5" t="n">
        <v>9576425000</v>
      </c>
      <c r="H442" s="5" t="n">
        <v>66740332000</v>
      </c>
      <c r="I442" s="5" t="n">
        <v>9226785000</v>
      </c>
      <c r="J442" s="4" t="n">
        <v>2.350199937820435</v>
      </c>
      <c r="K442" s="4" t="n">
        <v>0.3651999831199646</v>
      </c>
      <c r="L442" s="4" t="n">
        <v>0.142099991440773</v>
      </c>
      <c r="M442" t="inlineStr">
        <is>
          <t>이윤정</t>
        </is>
      </c>
      <c r="N442" t="inlineStr">
        <is>
          <t>031-240-5500</t>
        </is>
      </c>
      <c r="O442" t="inlineStr">
        <is>
          <t>031-240-5501</t>
        </is>
      </c>
      <c r="P442" s="3">
        <f>HYPERLINK("http://www.willtechnology.co.kr", "http://www.willtechnology.co.kr")</f>
        <v/>
      </c>
      <c r="Q442" t="inlineStr">
        <is>
          <t>1198144301</t>
        </is>
      </c>
      <c r="R442" t="inlineStr">
        <is>
          <t>1101112143800</t>
        </is>
      </c>
      <c r="S442" t="inlineStr">
        <is>
          <t>대상아님</t>
        </is>
      </c>
      <c r="T442" t="inlineStr">
        <is>
          <t>일반법인</t>
        </is>
      </c>
      <c r="U442" t="inlineStr">
        <is>
          <t>중소기업</t>
        </is>
      </c>
      <c r="V442" t="inlineStr">
        <is>
          <t>외부감사대상</t>
        </is>
      </c>
      <c r="W442" s="6" t="inlineStr">
        <is>
          <t>2001-01-05</t>
        </is>
      </c>
      <c r="X442" t="inlineStr">
        <is>
          <t>KRI:10C2721300</t>
        </is>
      </c>
      <c r="Y442" t="inlineStr">
        <is>
          <t>물질 검사, 측정 및 분석기구 제조업</t>
        </is>
      </c>
      <c r="Z442" t="inlineStr">
        <is>
          <t>반도체검사장치 제조/부동산 임대</t>
        </is>
      </c>
      <c r="AA442" t="inlineStr">
        <is>
          <t>경기 수원시 장안구 이목동 216번지</t>
        </is>
      </c>
      <c r="AB442" t="inlineStr">
        <is>
          <t>경기 수원시 장안구 장안로448번길 10</t>
        </is>
      </c>
    </row>
    <row r="443" ht="19.2" customHeight="1" s="1">
      <c r="A443" t="inlineStr">
        <is>
          <t>NICE:360520</t>
        </is>
      </c>
      <c r="B443" t="inlineStr">
        <is>
          <t>청림실업</t>
        </is>
      </c>
      <c r="C443" s="5" t="n">
        <v>76961275000</v>
      </c>
      <c r="D443" s="5" t="n">
        <v>26615144000</v>
      </c>
      <c r="E443" s="5" t="n">
        <v>50346131000</v>
      </c>
      <c r="F443" s="5" t="n">
        <v>26355234000</v>
      </c>
      <c r="G443" s="5" t="n">
        <v>6045375000</v>
      </c>
      <c r="H443" s="5" t="n">
        <v>27321707000</v>
      </c>
      <c r="I443" s="5" t="n">
        <v>5769206000</v>
      </c>
      <c r="J443" s="4" t="n">
        <v>0.5859000086784363</v>
      </c>
      <c r="K443" s="4" t="n">
        <v>0.5285999774932861</v>
      </c>
      <c r="L443" s="4" t="n">
        <v>0.2293999940156937</v>
      </c>
      <c r="M443" t="inlineStr">
        <is>
          <t>손우환/손주섭</t>
        </is>
      </c>
      <c r="N443" t="inlineStr">
        <is>
          <t>02-2212-2968</t>
        </is>
      </c>
      <c r="O443" t="inlineStr">
        <is>
          <t>02-2212-5102</t>
        </is>
      </c>
      <c r="P443" s="3" t="n"/>
      <c r="Q443" t="inlineStr">
        <is>
          <t>2048126353</t>
        </is>
      </c>
      <c r="R443" t="inlineStr">
        <is>
          <t>1101110158364</t>
        </is>
      </c>
      <c r="S443" t="inlineStr">
        <is>
          <t>대상아님</t>
        </is>
      </c>
      <c r="T443" t="inlineStr">
        <is>
          <t>일반법인</t>
        </is>
      </c>
      <c r="U443" t="inlineStr">
        <is>
          <t>중소기업</t>
        </is>
      </c>
      <c r="V443" t="inlineStr">
        <is>
          <t>외부감사대상</t>
        </is>
      </c>
      <c r="W443" s="6" t="inlineStr">
        <is>
          <t>1974-01-14</t>
        </is>
      </c>
      <c r="X443" t="inlineStr">
        <is>
          <t>KRI:10B0711000</t>
        </is>
      </c>
      <c r="Y443" t="inlineStr">
        <is>
          <t>석회석 및 점토 광업</t>
        </is>
      </c>
      <c r="Z443" t="inlineStr">
        <is>
          <t>석고,석회석 광업,도소매/비금속광물 제조/무역(광물자원)/부동산 임대/무형재산권 임대</t>
        </is>
      </c>
      <c r="AA443" t="inlineStr">
        <is>
          <t>서울 송파구 삼전동 180-2번지 8층</t>
        </is>
      </c>
      <c r="AB443" t="inlineStr">
        <is>
          <t>서울 송파구 백제고분로 266, 8층</t>
        </is>
      </c>
    </row>
    <row r="444" ht="19.2" customHeight="1" s="1">
      <c r="A444" t="inlineStr">
        <is>
          <t>NICE:PV0737</t>
        </is>
      </c>
      <c r="B444" t="inlineStr">
        <is>
          <t>썬텍</t>
        </is>
      </c>
      <c r="C444" s="5" t="n">
        <v>57390640000</v>
      </c>
      <c r="D444" s="5" t="n">
        <v>9809333000</v>
      </c>
      <c r="E444" s="5" t="n">
        <v>47581307000</v>
      </c>
      <c r="F444" s="5" t="n">
        <v>51551145000</v>
      </c>
      <c r="G444" s="5" t="n">
        <v>7896298000</v>
      </c>
      <c r="H444" s="5" t="n">
        <v>56562026000</v>
      </c>
      <c r="I444" s="5" t="n">
        <v>9260342000</v>
      </c>
      <c r="J444" s="4" t="n">
        <v>3.044800043106079</v>
      </c>
      <c r="K444" s="4" t="n">
        <v>0.2062000036239624</v>
      </c>
      <c r="L444" s="4" t="n">
        <v>0.1532000005245209</v>
      </c>
      <c r="M444" t="inlineStr">
        <is>
          <t>김경태</t>
        </is>
      </c>
      <c r="N444" t="inlineStr">
        <is>
          <t>02-2627-3300</t>
        </is>
      </c>
      <c r="P444" s="3" t="n"/>
      <c r="Q444" t="inlineStr">
        <is>
          <t>4268103076</t>
        </is>
      </c>
      <c r="R444" t="inlineStr">
        <is>
          <t>1101118587052</t>
        </is>
      </c>
      <c r="S444" t="inlineStr">
        <is>
          <t>대상아님</t>
        </is>
      </c>
      <c r="T444" t="inlineStr">
        <is>
          <t>일반법인</t>
        </is>
      </c>
      <c r="U444" t="inlineStr">
        <is>
          <t>중소기업</t>
        </is>
      </c>
      <c r="V444" t="inlineStr">
        <is>
          <t>외부감사대상</t>
        </is>
      </c>
      <c r="W444" s="6" t="inlineStr">
        <is>
          <t>2023-03-20</t>
        </is>
      </c>
      <c r="X444" t="inlineStr">
        <is>
          <t>KRI:10C3039900</t>
        </is>
      </c>
      <c r="Y444" t="inlineStr">
        <is>
          <t>그 외 자동차용 신품 부품 제조업</t>
        </is>
      </c>
      <c r="Z444" t="inlineStr">
        <is>
          <t>자동차부품 제조</t>
        </is>
      </c>
      <c r="AA444" t="inlineStr">
        <is>
          <t>서울 금천구 가산동 481-4번지 벽산디지털밸리6차 1010호</t>
        </is>
      </c>
      <c r="AB444" t="inlineStr">
        <is>
          <t>서울 금천구 가산디지털1로 219, 1010호 (가산동,벽산디지털밸리6차)</t>
        </is>
      </c>
    </row>
    <row r="445" ht="19.2" customHeight="1" s="1">
      <c r="A445" t="inlineStr">
        <is>
          <t>NICE:158197</t>
        </is>
      </c>
      <c r="B445" t="inlineStr">
        <is>
          <t>미래와도전</t>
        </is>
      </c>
      <c r="C445" s="5" t="n">
        <v>46400296000</v>
      </c>
      <c r="D445" s="5" t="n">
        <v>11276935000</v>
      </c>
      <c r="E445" s="5" t="n">
        <v>35123361000</v>
      </c>
      <c r="F445" s="5" t="n">
        <v>27777206000</v>
      </c>
      <c r="G445" s="5" t="n">
        <v>6701897000</v>
      </c>
      <c r="H445" s="5" t="n">
        <v>22691932000</v>
      </c>
      <c r="I445" s="5" t="n">
        <v>4733955000</v>
      </c>
      <c r="J445" s="4" t="n">
        <v>3.738800048828125</v>
      </c>
      <c r="K445" s="4" t="n">
        <v>0.3210999965667725</v>
      </c>
      <c r="L445" s="4" t="n">
        <v>0.2412999868392944</v>
      </c>
      <c r="M445" t="inlineStr">
        <is>
          <t>이병철</t>
        </is>
      </c>
      <c r="N445" t="inlineStr">
        <is>
          <t>031-8065-5114</t>
        </is>
      </c>
      <c r="O445" t="inlineStr">
        <is>
          <t>031-8065-5111</t>
        </is>
      </c>
      <c r="P445" s="3">
        <f>HYPERLINK("http://www.fnctech.com", "http://www.fnctech.com")</f>
        <v/>
      </c>
      <c r="Q445" t="inlineStr">
        <is>
          <t>1198139996</t>
        </is>
      </c>
      <c r="R445" t="inlineStr">
        <is>
          <t>1101112013532</t>
        </is>
      </c>
      <c r="S445" t="inlineStr">
        <is>
          <t>대상아님</t>
        </is>
      </c>
      <c r="T445" t="inlineStr">
        <is>
          <t>일반법인</t>
        </is>
      </c>
      <c r="U445" t="inlineStr">
        <is>
          <t>중소기업</t>
        </is>
      </c>
      <c r="V445" t="inlineStr">
        <is>
          <t>외부감사대상</t>
        </is>
      </c>
      <c r="W445" s="6" t="inlineStr">
        <is>
          <t>2000-07-01</t>
        </is>
      </c>
      <c r="X445" t="inlineStr">
        <is>
          <t>KRI:10M7212900</t>
        </is>
      </c>
      <c r="Y445" t="inlineStr">
        <is>
          <t>기타 엔지니어링 서비스업</t>
        </is>
      </c>
      <c r="Z445" t="inlineStr">
        <is>
          <t>엔지니어링,소프트웨어 개발/학술연구 용역,연구 개발,교육 지원</t>
        </is>
      </c>
      <c r="AA445" t="inlineStr">
        <is>
          <t>경기 용인시 기흥구 영덕동 1005번지 흥덕아이티밸리 32층 타워동</t>
        </is>
      </c>
      <c r="AB445" t="inlineStr">
        <is>
          <t>경기 용인시 기흥구 흥덕1로 13, 32층 (영덕동,흥덕아이티밸리 타워동)</t>
        </is>
      </c>
    </row>
    <row r="446" ht="19.2" customHeight="1" s="1">
      <c r="A446" t="inlineStr">
        <is>
          <t>NICE:243496</t>
        </is>
      </c>
      <c r="B446" t="inlineStr">
        <is>
          <t>베리콤</t>
        </is>
      </c>
      <c r="C446" s="5" t="n">
        <v>44757758000</v>
      </c>
      <c r="D446" s="5" t="n">
        <v>25273624000</v>
      </c>
      <c r="E446" s="5" t="n">
        <v>19484134000</v>
      </c>
      <c r="F446" s="5" t="n">
        <v>32658899000</v>
      </c>
      <c r="G446" s="5" t="n">
        <v>4959246000</v>
      </c>
      <c r="H446" s="5" t="n">
        <v>31594393000</v>
      </c>
      <c r="I446" s="5" t="n">
        <v>4458779000</v>
      </c>
      <c r="J446" s="4" t="n">
        <v>1.344799876213074</v>
      </c>
      <c r="K446" s="4" t="n">
        <v>1.297100067138672</v>
      </c>
      <c r="L446" s="4" t="n">
        <v>0.1518000066280365</v>
      </c>
      <c r="M446" t="inlineStr">
        <is>
          <t>김윤기</t>
        </is>
      </c>
      <c r="N446" t="inlineStr">
        <is>
          <t>033-254-2881</t>
        </is>
      </c>
      <c r="O446" t="inlineStr">
        <is>
          <t>033-254-2883</t>
        </is>
      </c>
      <c r="P446" s="3">
        <f>HYPERLINK("http://www.vericom.co.kr", "http://www.vericom.co.kr")</f>
        <v/>
      </c>
      <c r="Q446" t="inlineStr">
        <is>
          <t>1288133093</t>
        </is>
      </c>
      <c r="R446" t="inlineStr">
        <is>
          <t>1159110018377</t>
        </is>
      </c>
      <c r="S446" t="inlineStr">
        <is>
          <t>대상아님</t>
        </is>
      </c>
      <c r="T446" t="inlineStr">
        <is>
          <t>일반법인</t>
        </is>
      </c>
      <c r="U446" t="inlineStr">
        <is>
          <t>중소기업</t>
        </is>
      </c>
      <c r="V446" t="inlineStr">
        <is>
          <t>외부감사대상</t>
        </is>
      </c>
      <c r="W446" s="6" t="inlineStr">
        <is>
          <t>1998-03-11</t>
        </is>
      </c>
      <c r="X446" t="inlineStr">
        <is>
          <t>KRI:10C2719100</t>
        </is>
      </c>
      <c r="Y446" t="inlineStr">
        <is>
          <t>치과용 기기 제조업</t>
        </is>
      </c>
      <c r="Z446" t="inlineStr">
        <is>
          <t>치과용의료용구,의약품 제조/의약품 도소매,전자상거래</t>
        </is>
      </c>
      <c r="AA446" t="inlineStr">
        <is>
          <t>강원 춘천시 퇴계동 861-8번지</t>
        </is>
      </c>
      <c r="AB446" t="inlineStr">
        <is>
          <t>강원 춘천시 퇴계공단1길 48</t>
        </is>
      </c>
    </row>
    <row r="447" ht="19.2" customHeight="1" s="1">
      <c r="A447" t="inlineStr">
        <is>
          <t>NICE:186062</t>
        </is>
      </c>
      <c r="B447" t="inlineStr">
        <is>
          <t>휴먼텍코리아엔지니어링건축사사무소</t>
        </is>
      </c>
      <c r="C447" s="5" t="n">
        <v>42311097000</v>
      </c>
      <c r="D447" s="5" t="n">
        <v>9648161000</v>
      </c>
      <c r="E447" s="5" t="n">
        <v>32662936000</v>
      </c>
      <c r="F447" s="5" t="n">
        <v>42369973000</v>
      </c>
      <c r="G447" s="5" t="n">
        <v>6486672000</v>
      </c>
      <c r="H447" s="5" t="n">
        <v>42300597000</v>
      </c>
      <c r="I447" s="5" t="n">
        <v>7608859000</v>
      </c>
      <c r="J447" s="4" t="n">
        <v>3.89739990234375</v>
      </c>
      <c r="K447" s="4" t="n">
        <v>0.2953999936580658</v>
      </c>
      <c r="L447" s="4" t="n">
        <v>0.153099998831749</v>
      </c>
      <c r="M447" t="inlineStr">
        <is>
          <t>이충기</t>
        </is>
      </c>
      <c r="N447" t="inlineStr">
        <is>
          <t>02-474-6002</t>
        </is>
      </c>
      <c r="O447" t="inlineStr">
        <is>
          <t>02-474-6004</t>
        </is>
      </c>
      <c r="P447" s="3">
        <f>HYPERLINK("http://www.humanteceng.co.kr", "http://www.humanteceng.co.kr")</f>
        <v/>
      </c>
      <c r="Q447" t="inlineStr">
        <is>
          <t>2158173365</t>
        </is>
      </c>
      <c r="R447" t="inlineStr">
        <is>
          <t>1101111612525</t>
        </is>
      </c>
      <c r="S447" t="inlineStr">
        <is>
          <t>대상아님</t>
        </is>
      </c>
      <c r="T447" t="inlineStr">
        <is>
          <t>일반법인</t>
        </is>
      </c>
      <c r="U447" t="inlineStr">
        <is>
          <t>중소기업</t>
        </is>
      </c>
      <c r="V447" t="inlineStr">
        <is>
          <t>외부감사대상</t>
        </is>
      </c>
      <c r="W447" s="6" t="inlineStr">
        <is>
          <t>1998-11-25</t>
        </is>
      </c>
      <c r="X447" t="inlineStr">
        <is>
          <t>KRI:10M7211100</t>
        </is>
      </c>
      <c r="Y447" t="inlineStr">
        <is>
          <t>건축설계 및 관련 서비스업</t>
        </is>
      </c>
      <c r="Z447" t="inlineStr">
        <is>
          <t>건축 설계,감리</t>
        </is>
      </c>
      <c r="AA447" t="inlineStr">
        <is>
          <t>서울 송파구 문정동 641-4번지 문정대명벨리온 708호, 709호, 710호</t>
        </is>
      </c>
      <c r="AB447" t="inlineStr">
        <is>
          <t>서울 송파구 법원로 127, 708호, 709호, 710호 (문정동,문정대명벨리온)</t>
        </is>
      </c>
    </row>
    <row r="448" ht="19.2" customHeight="1" s="1">
      <c r="A448" t="inlineStr">
        <is>
          <t>NICE:169082</t>
        </is>
      </c>
      <c r="B448" t="inlineStr">
        <is>
          <t>지이에이코리아</t>
        </is>
      </c>
      <c r="C448" s="5" t="n">
        <v>34559209000</v>
      </c>
      <c r="D448" s="5" t="n">
        <v>25792385000</v>
      </c>
      <c r="E448" s="5" t="n">
        <v>8766824000</v>
      </c>
      <c r="F448" s="5" t="n">
        <v>47813714000</v>
      </c>
      <c r="G448" s="5" t="n">
        <v>6109145000</v>
      </c>
      <c r="H448" s="5" t="n">
        <v>57801275000</v>
      </c>
      <c r="I448" s="5" t="n">
        <v>5311326000</v>
      </c>
      <c r="J448" s="4" t="n">
        <v>1.301100015640259</v>
      </c>
      <c r="K448" s="4" t="n">
        <v>2.942000150680542</v>
      </c>
      <c r="L448" s="4" t="n">
        <v>0.1277999877929688</v>
      </c>
      <c r="M448" t="inlineStr">
        <is>
          <t>전석배</t>
        </is>
      </c>
      <c r="N448" t="inlineStr">
        <is>
          <t>02-514-0291</t>
        </is>
      </c>
      <c r="O448" t="inlineStr">
        <is>
          <t>02-514-0294</t>
        </is>
      </c>
      <c r="P448" s="3">
        <f>HYPERLINK("http://gea.com", "http://gea.com")</f>
        <v/>
      </c>
      <c r="Q448" t="inlineStr">
        <is>
          <t>2118617269</t>
        </is>
      </c>
      <c r="R448" t="inlineStr">
        <is>
          <t>1101110665046</t>
        </is>
      </c>
      <c r="S448" t="inlineStr">
        <is>
          <t>대상아님</t>
        </is>
      </c>
      <c r="T448" t="inlineStr">
        <is>
          <t>일반법인</t>
        </is>
      </c>
      <c r="U448" t="inlineStr">
        <is>
          <t>중견기업</t>
        </is>
      </c>
      <c r="V448" t="inlineStr">
        <is>
          <t>외부감사대상</t>
        </is>
      </c>
      <c r="W448" s="6" t="inlineStr">
        <is>
          <t>1989-12-20</t>
        </is>
      </c>
      <c r="X448" t="inlineStr">
        <is>
          <t>KRI:10G4610900</t>
        </is>
      </c>
      <c r="Y448" t="inlineStr">
        <is>
          <t>상품 종합 중개업</t>
        </is>
      </c>
      <c r="Z448" t="inlineStr">
        <is>
          <t>오퍼/기계설비공사/기계장비 제조,도소매</t>
        </is>
      </c>
      <c r="AA448" t="inlineStr">
        <is>
          <t>서울 서초구 서초동 1337-31번지 산학재단빌딩 6층</t>
        </is>
      </c>
      <c r="AB448" t="inlineStr">
        <is>
          <t>서울 서초구 강남대로 329, 6층 (서초동,산학재단빌딩)</t>
        </is>
      </c>
    </row>
    <row r="449" ht="19.2" customHeight="1" s="1">
      <c r="A449" t="inlineStr">
        <is>
          <t>NICE:111761</t>
        </is>
      </c>
      <c r="B449" t="inlineStr">
        <is>
          <t>툴리스러쎌코터스코리아</t>
        </is>
      </c>
      <c r="C449" s="5" t="n">
        <v>31167358000</v>
      </c>
      <c r="D449" s="5" t="n">
        <v>5546420000</v>
      </c>
      <c r="E449" s="5" t="n">
        <v>25620938000</v>
      </c>
      <c r="F449" s="5" t="n">
        <v>28214279000</v>
      </c>
      <c r="G449" s="5" t="n">
        <v>3184422000</v>
      </c>
      <c r="H449" s="5" t="n">
        <v>26386542000</v>
      </c>
      <c r="I449" s="5" t="n">
        <v>3729472000</v>
      </c>
      <c r="J449" s="4" t="n">
        <v>4.293499946594238</v>
      </c>
      <c r="K449" s="4" t="n">
        <v>0.2164999842643738</v>
      </c>
      <c r="L449" s="4" t="n">
        <v>0.1128999963402748</v>
      </c>
      <c r="M449" t="inlineStr">
        <is>
          <t>공성도</t>
        </is>
      </c>
      <c r="N449" t="inlineStr">
        <is>
          <t>031-499-1151</t>
        </is>
      </c>
      <c r="O449" t="inlineStr">
        <is>
          <t>031-499-1153</t>
        </is>
      </c>
      <c r="P449" s="3">
        <f>HYPERLINK("http://www.trcoaters.co.kr", "http://www.trcoaters.co.kr")</f>
        <v/>
      </c>
      <c r="Q449" t="inlineStr">
        <is>
          <t>1348142369</t>
        </is>
      </c>
      <c r="R449" t="inlineStr">
        <is>
          <t>1350110085073</t>
        </is>
      </c>
      <c r="S449" t="inlineStr">
        <is>
          <t>대상아님</t>
        </is>
      </c>
      <c r="T449" t="inlineStr">
        <is>
          <t>일반법인</t>
        </is>
      </c>
      <c r="U449" t="inlineStr">
        <is>
          <t>중소기업</t>
        </is>
      </c>
      <c r="V449" t="inlineStr">
        <is>
          <t>외부감사대상</t>
        </is>
      </c>
      <c r="W449" s="6" t="inlineStr">
        <is>
          <t>1998-12-18</t>
        </is>
      </c>
      <c r="X449" t="inlineStr">
        <is>
          <t>KRI:10C1790900</t>
        </is>
      </c>
      <c r="Y449" t="inlineStr">
        <is>
          <t>그 외 기타 종이 및 판지 제품 제조업</t>
        </is>
      </c>
      <c r="Z449" t="inlineStr">
        <is>
          <t>종이,판지,펄프 제조,도소매,무역</t>
        </is>
      </c>
      <c r="AA449" t="inlineStr">
        <is>
          <t>경기 안산시 단원구 성곡동 689-1번지 ,6,7 시화공업단지 5바 802,820,821</t>
        </is>
      </c>
      <c r="AB449" t="inlineStr">
        <is>
          <t>경기 안산시 단원구 진흥로38번길 8, ,6,7 시화공업단지 5바 802,820,821</t>
        </is>
      </c>
    </row>
    <row r="450" ht="19.2" customHeight="1" s="1">
      <c r="A450" t="inlineStr">
        <is>
          <t>NICE:243299</t>
        </is>
      </c>
      <c r="B450" t="inlineStr">
        <is>
          <t>대우선재</t>
        </is>
      </c>
      <c r="C450" s="5" t="n">
        <v>26898064000</v>
      </c>
      <c r="D450" s="5" t="n">
        <v>12675818000</v>
      </c>
      <c r="E450" s="5" t="n">
        <v>14222246000</v>
      </c>
      <c r="F450" s="5" t="n">
        <v>45809085000</v>
      </c>
      <c r="G450" s="5" t="n">
        <v>4826123000</v>
      </c>
      <c r="H450" s="5" t="n">
        <v>50471556000</v>
      </c>
      <c r="I450" s="5" t="n">
        <v>3975371000</v>
      </c>
      <c r="J450" s="4" t="n">
        <v>2.276099920272827</v>
      </c>
      <c r="K450" s="4" t="n">
        <v>0.8912999629974365</v>
      </c>
      <c r="L450" s="4" t="n">
        <v>0.1053999960422516</v>
      </c>
      <c r="M450" t="inlineStr">
        <is>
          <t>신설아/신현구</t>
        </is>
      </c>
      <c r="N450" t="inlineStr">
        <is>
          <t>043-845-6661</t>
        </is>
      </c>
      <c r="O450" t="inlineStr">
        <is>
          <t>043-845-6670</t>
        </is>
      </c>
      <c r="P450" s="3">
        <f>HYPERLINK("http://daewoosteelwire.co.kr", "http://daewoosteelwire.co.kr")</f>
        <v/>
      </c>
      <c r="Q450" t="inlineStr">
        <is>
          <t>1278157772</t>
        </is>
      </c>
      <c r="R450" t="inlineStr">
        <is>
          <t>1101110531784</t>
        </is>
      </c>
      <c r="S450" t="inlineStr">
        <is>
          <t>대상아님</t>
        </is>
      </c>
      <c r="T450" t="inlineStr">
        <is>
          <t>일반법인</t>
        </is>
      </c>
      <c r="U450" t="inlineStr">
        <is>
          <t>중소기업</t>
        </is>
      </c>
      <c r="V450" t="inlineStr">
        <is>
          <t>외부감사대상</t>
        </is>
      </c>
      <c r="W450" s="6" t="inlineStr">
        <is>
          <t>1987-05-26</t>
        </is>
      </c>
      <c r="X450" t="inlineStr">
        <is>
          <t>KRI:10C2412300</t>
        </is>
      </c>
      <c r="Y450" t="inlineStr">
        <is>
          <t>철강선 제조업</t>
        </is>
      </c>
      <c r="Z450" t="inlineStr">
        <is>
          <t>철선 제조,도소매</t>
        </is>
      </c>
      <c r="AA450" t="inlineStr">
        <is>
          <t>충북 충주시 주덕읍 당우리 1513번지</t>
        </is>
      </c>
      <c r="AB450" t="inlineStr">
        <is>
          <t>충북 충주시 주덕읍 중원산업로 129</t>
        </is>
      </c>
    </row>
    <row r="451" ht="19.2" customHeight="1" s="1">
      <c r="A451" t="inlineStr">
        <is>
          <t>NICE:690840</t>
        </is>
      </c>
      <c r="B451" t="inlineStr">
        <is>
          <t>에스엠아이</t>
        </is>
      </c>
      <c r="C451" s="5" t="n">
        <v>21196606000</v>
      </c>
      <c r="D451" s="5" t="n">
        <v>4456612000</v>
      </c>
      <c r="E451" s="5" t="n">
        <v>16739994000</v>
      </c>
      <c r="F451" s="5" t="n">
        <v>25256016000</v>
      </c>
      <c r="G451" s="5" t="n">
        <v>2885909000</v>
      </c>
      <c r="H451" s="5" t="n">
        <v>25867077000</v>
      </c>
      <c r="I451" s="5" t="n">
        <v>1519490000</v>
      </c>
      <c r="J451" s="4" t="n">
        <v>2.874699831008911</v>
      </c>
      <c r="K451" s="4" t="n">
        <v>0.2662000060081482</v>
      </c>
      <c r="L451" s="4" t="n">
        <v>0.1142999976873398</v>
      </c>
      <c r="M451" t="inlineStr">
        <is>
          <t>하관호</t>
        </is>
      </c>
      <c r="N451" t="inlineStr">
        <is>
          <t>043-267-7651</t>
        </is>
      </c>
      <c r="O451" t="inlineStr">
        <is>
          <t>043-267-7652</t>
        </is>
      </c>
      <c r="P451" s="3" t="n"/>
      <c r="Q451" t="inlineStr">
        <is>
          <t>3018193212</t>
        </is>
      </c>
      <c r="R451" t="inlineStr">
        <is>
          <t>1501110103907</t>
        </is>
      </c>
      <c r="S451" t="inlineStr">
        <is>
          <t>대상아님</t>
        </is>
      </c>
      <c r="T451" t="inlineStr">
        <is>
          <t>일반법인</t>
        </is>
      </c>
      <c r="U451" t="inlineStr">
        <is>
          <t>중소기업</t>
        </is>
      </c>
      <c r="V451" t="inlineStr">
        <is>
          <t>외부감사대상</t>
        </is>
      </c>
      <c r="W451" s="6" t="inlineStr">
        <is>
          <t>2004-07-01</t>
        </is>
      </c>
      <c r="X451" t="inlineStr">
        <is>
          <t>KRI:10C2927100</t>
        </is>
      </c>
      <c r="Y451" t="inlineStr">
        <is>
          <t>반도체 제조용 기계 제조업</t>
        </is>
      </c>
      <c r="Z451" t="inlineStr">
        <is>
          <t>반도체장비,반도체부품,컴퓨터부품 제조</t>
        </is>
      </c>
      <c r="AA451" t="inlineStr">
        <is>
          <t>충북 청주시 흥덕구 옥산면 국사리 551-1번지</t>
        </is>
      </c>
      <c r="AB451" t="inlineStr">
        <is>
          <t>충북 청주시 흥덕구 옥산면 국사길 241</t>
        </is>
      </c>
    </row>
    <row r="452" ht="19.2" customHeight="1" s="1">
      <c r="A452" t="inlineStr">
        <is>
          <t>NICE:006894</t>
        </is>
      </c>
      <c r="B452" t="inlineStr">
        <is>
          <t>한국유화</t>
        </is>
      </c>
      <c r="C452" s="5" t="n">
        <v>20898834000</v>
      </c>
      <c r="D452" s="5" t="n">
        <v>6544143000</v>
      </c>
      <c r="E452" s="5" t="n">
        <v>14354690000</v>
      </c>
      <c r="F452" s="5" t="n">
        <v>27551021000</v>
      </c>
      <c r="G452" s="5" t="n">
        <v>2834978000</v>
      </c>
      <c r="H452" s="5" t="n">
        <v>28093887000</v>
      </c>
      <c r="I452" s="5" t="n">
        <v>2386828000</v>
      </c>
      <c r="J452" s="4" t="n">
        <v>4.785399913787842</v>
      </c>
      <c r="K452" s="4" t="n">
        <v>0.4558999836444855</v>
      </c>
      <c r="L452" s="4" t="n">
        <v>0.1028999984264374</v>
      </c>
      <c r="M452" t="inlineStr">
        <is>
          <t>신구봉</t>
        </is>
      </c>
      <c r="N452" t="inlineStr">
        <is>
          <t>051-831-0901</t>
        </is>
      </c>
      <c r="O452" t="inlineStr">
        <is>
          <t>051-831-0900</t>
        </is>
      </c>
      <c r="P452" s="3">
        <f>HYPERLINK("http://www.kfcchem.com", "http://www.kfcchem.com")</f>
        <v/>
      </c>
      <c r="Q452" t="inlineStr">
        <is>
          <t>6038117954</t>
        </is>
      </c>
      <c r="R452" t="inlineStr">
        <is>
          <t>1801110134831</t>
        </is>
      </c>
      <c r="S452" t="inlineStr">
        <is>
          <t>대상아님</t>
        </is>
      </c>
      <c r="T452" t="inlineStr">
        <is>
          <t>일반법인</t>
        </is>
      </c>
      <c r="U452" t="inlineStr">
        <is>
          <t>중소기업</t>
        </is>
      </c>
      <c r="V452" t="inlineStr">
        <is>
          <t>외부감사대상</t>
        </is>
      </c>
      <c r="W452" s="6" t="inlineStr">
        <is>
          <t>1992-11-16</t>
        </is>
      </c>
      <c r="X452" t="inlineStr">
        <is>
          <t>KRI:10C2219900</t>
        </is>
      </c>
      <c r="Y452" t="inlineStr">
        <is>
          <t>그 외 기타 고무제품 제조업</t>
        </is>
      </c>
      <c r="Z452" t="inlineStr">
        <is>
          <t>고무배합제,산업용특수필름,시트 제조</t>
        </is>
      </c>
      <c r="AA452" t="inlineStr">
        <is>
          <t>부산 강서구 송정동 1530-1번지</t>
        </is>
      </c>
      <c r="AB452" t="inlineStr">
        <is>
          <t>부산 강서구 녹산산단165로 36-20</t>
        </is>
      </c>
    </row>
    <row r="453" ht="19.2" customHeight="1" s="1">
      <c r="A453" t="inlineStr">
        <is>
          <t>NICE:J00321</t>
        </is>
      </c>
      <c r="B453" t="inlineStr">
        <is>
          <t>에피드게임즈</t>
        </is>
      </c>
      <c r="C453" s="5" t="n">
        <v>11882864000</v>
      </c>
      <c r="D453" s="5" t="n">
        <v>3407584000</v>
      </c>
      <c r="E453" s="5" t="n">
        <v>8475280000</v>
      </c>
      <c r="F453" s="5" t="n">
        <v>46820364000</v>
      </c>
      <c r="G453" s="5" t="n">
        <v>8878696000</v>
      </c>
      <c r="H453" s="5" t="n">
        <v>21649356000</v>
      </c>
      <c r="I453" s="5" t="n">
        <v>3761089000</v>
      </c>
      <c r="J453" s="4" t="n">
        <v>2.594500064849854</v>
      </c>
      <c r="K453" s="4" t="n">
        <v>0.4020999670028687</v>
      </c>
      <c r="L453" s="4" t="n">
        <v>0.1895999908447266</v>
      </c>
      <c r="M453" t="inlineStr">
        <is>
          <t>한정현</t>
        </is>
      </c>
      <c r="P453" s="3" t="n"/>
      <c r="Q453" t="inlineStr">
        <is>
          <t>2208853701</t>
        </is>
      </c>
      <c r="R453" t="inlineStr">
        <is>
          <t>1101115078509</t>
        </is>
      </c>
      <c r="S453" t="inlineStr">
        <is>
          <t>대상아님</t>
        </is>
      </c>
      <c r="T453" t="inlineStr">
        <is>
          <t>일반법인</t>
        </is>
      </c>
      <c r="U453" t="inlineStr">
        <is>
          <t>중소기업</t>
        </is>
      </c>
      <c r="V453" t="inlineStr">
        <is>
          <t>외부감사비대상</t>
        </is>
      </c>
      <c r="W453" s="6" t="inlineStr">
        <is>
          <t>2013-02-28</t>
        </is>
      </c>
      <c r="X453" t="inlineStr">
        <is>
          <t>KRI:10J5821900</t>
        </is>
      </c>
      <c r="Y453" t="inlineStr">
        <is>
          <t>기타 게임 소프트웨어 개발 및 공급업</t>
        </is>
      </c>
      <c r="Z453" t="inlineStr">
        <is>
          <t>게임소프트웨어개발　및　공급업,전자상거래 소매업,전자상거래 소매 중개업,피시(PC)방 관리 및 자문</t>
        </is>
      </c>
      <c r="AA453" t="inlineStr">
        <is>
          <t>서울 강남구 논현동 50-1번지 이투데이빌딩 4층</t>
        </is>
      </c>
      <c r="AB453" t="inlineStr">
        <is>
          <t>서울 강남구 강남대로 556, 4층 (논현동,이투데이빌딩)</t>
        </is>
      </c>
    </row>
    <row r="454" s="1">
      <c r="A454" t="inlineStr">
        <is>
          <t>NICE:112012</t>
        </is>
      </c>
      <c r="B454" t="inlineStr">
        <is>
          <t>웰템</t>
        </is>
      </c>
      <c r="C454" s="5" t="n">
        <v>39912040000</v>
      </c>
      <c r="D454" s="5" t="n">
        <v>15099472000</v>
      </c>
      <c r="E454" s="5" t="n">
        <v>24812568000</v>
      </c>
      <c r="F454" s="5" t="n">
        <v>56996523000</v>
      </c>
      <c r="G454" s="5" t="n">
        <v>5976506000</v>
      </c>
      <c r="H454" s="5" t="n">
        <v>41838436000</v>
      </c>
      <c r="I454" s="5" t="n">
        <v>5483725000</v>
      </c>
      <c r="J454" s="4" t="n">
        <v>2.468800067901611</v>
      </c>
      <c r="K454" s="4" t="n">
        <v>0.6084999442100525</v>
      </c>
      <c r="L454" s="4" t="n">
        <v>0.1048999950289726</v>
      </c>
      <c r="M454" t="inlineStr">
        <is>
          <t>박정우</t>
        </is>
      </c>
      <c r="N454" t="inlineStr">
        <is>
          <t>055-294-9200</t>
        </is>
      </c>
      <c r="O454" t="inlineStr">
        <is>
          <t>055-294-9220</t>
        </is>
      </c>
      <c r="P454">
        <f>HYPERLINK("http://www.weltem.com/", "http://www.weltem.com/")</f>
        <v/>
      </c>
      <c r="Q454" t="inlineStr">
        <is>
          <t>6088122961</t>
        </is>
      </c>
      <c r="R454" t="inlineStr">
        <is>
          <t>1901110022258</t>
        </is>
      </c>
      <c r="S454" t="inlineStr">
        <is>
          <t>대상아님</t>
        </is>
      </c>
      <c r="T454" t="inlineStr">
        <is>
          <t>일반법인</t>
        </is>
      </c>
      <c r="U454" t="inlineStr">
        <is>
          <t>중소기업</t>
        </is>
      </c>
      <c r="V454" t="inlineStr">
        <is>
          <t>외부감사대상</t>
        </is>
      </c>
      <c r="W454" s="6" t="inlineStr">
        <is>
          <t>1989-05-21</t>
        </is>
      </c>
      <c r="X454" t="inlineStr">
        <is>
          <t>KRI:10C2917200</t>
        </is>
      </c>
      <c r="Y454" t="inlineStr">
        <is>
          <t>공기 조화장치 제조업</t>
        </is>
      </c>
      <c r="Z454" t="inlineStr">
        <is>
          <t>공기조화장치,에어컨디셔너,공기청정기,연소기기 제조,판매/태양광 발전/전기공사</t>
        </is>
      </c>
      <c r="AA454" t="inlineStr">
        <is>
          <t>경남 창원시 마산회원구 양덕동 973-4번지</t>
        </is>
      </c>
      <c r="AB454" t="inlineStr">
        <is>
          <t>경남 창원시 마산회원구 자유무역3길 154</t>
        </is>
      </c>
    </row>
    <row r="455" s="1">
      <c r="A455" t="inlineStr">
        <is>
          <t>NICE:I65762</t>
        </is>
      </c>
      <c r="B455" t="inlineStr">
        <is>
          <t>내츄럴스푸드</t>
        </is>
      </c>
      <c r="C455" s="5" t="n">
        <v>37869382000</v>
      </c>
      <c r="D455" s="5" t="n">
        <v>12196888000</v>
      </c>
      <c r="E455" s="5" t="n">
        <v>25672494000</v>
      </c>
      <c r="F455" s="5" t="n">
        <v>33806164000</v>
      </c>
      <c r="G455" s="5" t="n">
        <v>5899002000</v>
      </c>
      <c r="H455" s="5" t="n">
        <v>25533665000</v>
      </c>
      <c r="I455" s="5" t="n">
        <v>3701047000</v>
      </c>
      <c r="J455" s="4" t="n">
        <v>3.112099885940552</v>
      </c>
      <c r="K455" s="4" t="n">
        <v>0.4750999808311462</v>
      </c>
      <c r="L455" s="4" t="n">
        <v>0.1745000034570694</v>
      </c>
      <c r="M455" t="inlineStr">
        <is>
          <t>송용진</t>
        </is>
      </c>
      <c r="N455" t="inlineStr">
        <is>
          <t>043-534-6999</t>
        </is>
      </c>
      <c r="O455" t="inlineStr">
        <is>
          <t>043-4367-2500</t>
        </is>
      </c>
      <c r="P455">
        <f>HYPERLINK("http://www.naturalsfood.co.kr", "http://www.naturalsfood.co.kr")</f>
        <v/>
      </c>
      <c r="Q455" t="inlineStr">
        <is>
          <t>3038164047</t>
        </is>
      </c>
      <c r="R455" t="inlineStr">
        <is>
          <t>1545110050263</t>
        </is>
      </c>
      <c r="S455" t="inlineStr">
        <is>
          <t>대상아님</t>
        </is>
      </c>
      <c r="T455" t="inlineStr">
        <is>
          <t>일반법인</t>
        </is>
      </c>
      <c r="U455" t="inlineStr">
        <is>
          <t>중소기업</t>
        </is>
      </c>
      <c r="V455" t="inlineStr">
        <is>
          <t>외부감사대상</t>
        </is>
      </c>
      <c r="W455" s="6" t="inlineStr">
        <is>
          <t>2011-11-22</t>
        </is>
      </c>
      <c r="X455" t="inlineStr">
        <is>
          <t>KRI:10C1074200</t>
        </is>
      </c>
      <c r="Y455" t="inlineStr">
        <is>
          <t>천연 및 혼합조제 조미료 제조업</t>
        </is>
      </c>
      <c r="Z455" t="inlineStr">
        <is>
          <t>식품첨가물,천연조미제품,혼합조제조미료 제조,도소매/부동산 임대</t>
        </is>
      </c>
      <c r="AA455" t="inlineStr">
        <is>
          <t>충북 진천군 덕산읍 신척리 988번지</t>
        </is>
      </c>
      <c r="AB455" t="inlineStr">
        <is>
          <t>충북 진천군 덕산읍 신척산단3로 10</t>
        </is>
      </c>
    </row>
    <row r="456" s="1">
      <c r="A456" t="inlineStr">
        <is>
          <t>NICE:QG9827</t>
        </is>
      </c>
      <c r="B456" t="inlineStr">
        <is>
          <t>코지하우스코리아</t>
        </is>
      </c>
      <c r="C456" s="5" t="n">
        <v>15895138000</v>
      </c>
      <c r="D456" s="5" t="n">
        <v>7189178000</v>
      </c>
      <c r="E456" s="5" t="n">
        <v>8705961000</v>
      </c>
      <c r="F456" s="5" t="n">
        <v>40609770000</v>
      </c>
      <c r="G456" s="5" t="n">
        <v>4982575000</v>
      </c>
      <c r="H456" s="5" t="n">
        <v>21642655000</v>
      </c>
      <c r="I456" s="5" t="n">
        <v>1846807000</v>
      </c>
      <c r="J456" s="4" t="n">
        <v>1.858299970626831</v>
      </c>
      <c r="K456" s="4" t="n">
        <v>0.8258000016212463</v>
      </c>
      <c r="L456" s="4" t="n">
        <v>0.122699998319149</v>
      </c>
      <c r="M456" t="inlineStr">
        <is>
          <t>안병대</t>
        </is>
      </c>
      <c r="Q456" t="inlineStr">
        <is>
          <t>4968102979</t>
        </is>
      </c>
      <c r="R456" t="inlineStr">
        <is>
          <t>1801111511088</t>
        </is>
      </c>
      <c r="S456" t="inlineStr">
        <is>
          <t>대상아님</t>
        </is>
      </c>
      <c r="T456" t="inlineStr">
        <is>
          <t>일반법인</t>
        </is>
      </c>
      <c r="U456" t="inlineStr">
        <is>
          <t>중소기업</t>
        </is>
      </c>
      <c r="V456" t="inlineStr">
        <is>
          <t>외부감사대상</t>
        </is>
      </c>
      <c r="W456" s="6" t="inlineStr">
        <is>
          <t>2023-06-21</t>
        </is>
      </c>
      <c r="X456" t="inlineStr">
        <is>
          <t>KRI:10M7153100</t>
        </is>
      </c>
      <c r="Y456" t="inlineStr">
        <is>
          <t>경영 컨설팅업</t>
        </is>
      </c>
      <c r="Z456" t="inlineStr">
        <is>
          <t>프랜차이즈, 경영컨설팅업,식품,도배, 실내 장식 및 내장 목공사업,축산물유통전문판매업,육류 가공식품 도매업,유통 전문 판매업,임시 및 일용 인력 공급업</t>
        </is>
      </c>
      <c r="AA456" t="inlineStr">
        <is>
          <t>부산 해운대구 재송동 1212번지 큐비이센텀 20층 2003호</t>
        </is>
      </c>
      <c r="AB456" t="inlineStr">
        <is>
          <t>부산 해운대구 센텀중앙로 90, 20층 2003호 (재송동,큐비이센텀)</t>
        </is>
      </c>
    </row>
    <row r="457" ht="19.2" customHeight="1" s="1">
      <c r="A457" t="inlineStr">
        <is>
          <t>NICE:122427</t>
        </is>
      </c>
      <c r="B457" t="inlineStr">
        <is>
          <t>라인테크닉스</t>
        </is>
      </c>
      <c r="C457" s="5" t="n">
        <v>39343358000</v>
      </c>
      <c r="D457" s="5" t="n">
        <v>13250181000</v>
      </c>
      <c r="E457" s="5" t="n">
        <v>26093177000</v>
      </c>
      <c r="F457" s="5" t="n">
        <v>35781972000</v>
      </c>
      <c r="G457" s="5" t="n">
        <v>5913016000</v>
      </c>
      <c r="H457" s="5" t="n">
        <v>37459477000</v>
      </c>
      <c r="I457" s="5" t="n">
        <v>2917067000</v>
      </c>
      <c r="J457" s="4" t="n">
        <v>3.253099918365479</v>
      </c>
      <c r="K457" s="4" t="n">
        <v>0.5077999830245972</v>
      </c>
      <c r="L457" s="4" t="n">
        <v>0.1652999967336655</v>
      </c>
      <c r="M457" t="inlineStr">
        <is>
          <t>예태환</t>
        </is>
      </c>
      <c r="N457" t="inlineStr">
        <is>
          <t>031-489-8311</t>
        </is>
      </c>
      <c r="O457" t="inlineStr">
        <is>
          <t>031-434-3344</t>
        </is>
      </c>
      <c r="P457" s="3">
        <f>HYPERLINK("http://www.linetechnics.co.kr", "http://www.linetechnics.co.kr")</f>
        <v/>
      </c>
      <c r="Q457" t="inlineStr">
        <is>
          <t>1398102377</t>
        </is>
      </c>
      <c r="R457" t="inlineStr">
        <is>
          <t>1201110081084</t>
        </is>
      </c>
      <c r="S457" t="inlineStr">
        <is>
          <t>대상아님</t>
        </is>
      </c>
      <c r="T457" t="inlineStr">
        <is>
          <t>일반법인</t>
        </is>
      </c>
      <c r="U457" t="inlineStr">
        <is>
          <t>중소기업</t>
        </is>
      </c>
      <c r="V457" t="inlineStr">
        <is>
          <t>외부감사대상</t>
        </is>
      </c>
      <c r="W457" s="6" t="inlineStr">
        <is>
          <t>1987-01-01</t>
        </is>
      </c>
      <c r="X457" t="inlineStr">
        <is>
          <t>KRI:10C2641000</t>
        </is>
      </c>
      <c r="Y457" t="inlineStr">
        <is>
          <t>유선 통신장비 제조업</t>
        </is>
      </c>
      <c r="Z457" t="inlineStr">
        <is>
          <t>유무선전자통신기기 제조/무역/부동산 임대</t>
        </is>
      </c>
      <c r="AA457" t="inlineStr">
        <is>
          <t>경기 안산시 단원구 성곡동 823-1번지</t>
        </is>
      </c>
      <c r="AB457" t="inlineStr">
        <is>
          <t>경기 안산시 단원구 엠티브이22로 86</t>
        </is>
      </c>
    </row>
    <row r="458" ht="19.2" customHeight="1" s="1">
      <c r="A458" t="inlineStr">
        <is>
          <t>NICE:H00205</t>
        </is>
      </c>
      <c r="B458" t="inlineStr">
        <is>
          <t>성문</t>
        </is>
      </c>
      <c r="C458" s="5" t="n">
        <v>58466339000</v>
      </c>
      <c r="D458" s="5" t="n">
        <v>40359094000</v>
      </c>
      <c r="E458" s="5" t="n">
        <v>18107245000</v>
      </c>
      <c r="F458" s="5" t="n">
        <v>41877306000</v>
      </c>
      <c r="G458" s="5" t="n">
        <v>4370453000</v>
      </c>
      <c r="H458" s="5" t="n">
        <v>48439892000</v>
      </c>
      <c r="I458" s="5" t="n">
        <v>5639419000</v>
      </c>
      <c r="J458" s="4" t="n">
        <v>0.7834999561309814</v>
      </c>
      <c r="K458" s="4" t="n">
        <v>2.228899955749512</v>
      </c>
      <c r="L458" s="4" t="n">
        <v>0.1043999940156937</v>
      </c>
      <c r="M458" t="inlineStr">
        <is>
          <t>윤경순/이재홍</t>
        </is>
      </c>
      <c r="N458" t="inlineStr">
        <is>
          <t>061-464-9696</t>
        </is>
      </c>
      <c r="O458" t="inlineStr">
        <is>
          <t>061-464-9697</t>
        </is>
      </c>
      <c r="P458" s="3">
        <f>HYPERLINK("http://www.sungmoon.co.kr", "http://www.sungmoon.co.kr")</f>
        <v/>
      </c>
      <c r="Q458" t="inlineStr">
        <is>
          <t>4118156630</t>
        </is>
      </c>
      <c r="R458" t="inlineStr">
        <is>
          <t>2054110004203</t>
        </is>
      </c>
      <c r="S458" t="inlineStr">
        <is>
          <t>대상아님</t>
        </is>
      </c>
      <c r="T458" t="inlineStr">
        <is>
          <t>일반법인</t>
        </is>
      </c>
      <c r="U458" t="inlineStr">
        <is>
          <t>중소기업</t>
        </is>
      </c>
      <c r="V458" t="inlineStr">
        <is>
          <t>외부감사대상</t>
        </is>
      </c>
      <c r="W458" s="6" t="inlineStr">
        <is>
          <t>2009-01-28</t>
        </is>
      </c>
      <c r="X458" t="inlineStr">
        <is>
          <t>KRI:10C3111400</t>
        </is>
      </c>
      <c r="Y458" t="inlineStr">
        <is>
          <t>선박 구성 부분품 제조업</t>
        </is>
      </c>
      <c r="Z458" t="inlineStr">
        <is>
          <t>선박엔진부품 제작</t>
        </is>
      </c>
      <c r="AA458" t="inlineStr">
        <is>
          <t>전남 영암군 삼호읍 나불리 602-4번지</t>
        </is>
      </c>
      <c r="AB458" t="inlineStr">
        <is>
          <t>전남 영암군 삼호읍 소등로 105</t>
        </is>
      </c>
    </row>
    <row r="459" ht="19.2" customHeight="1" s="1">
      <c r="A459" t="inlineStr">
        <is>
          <t>NICE:JA3852</t>
        </is>
      </c>
      <c r="B459" t="inlineStr">
        <is>
          <t>에스크컴퍼니</t>
        </is>
      </c>
      <c r="C459" s="5" t="n">
        <v>318534574000</v>
      </c>
      <c r="D459" s="5" t="n">
        <v>47671620000</v>
      </c>
      <c r="E459" s="5" t="n">
        <v>270862954000</v>
      </c>
      <c r="F459" s="5" t="n">
        <v>84768126000</v>
      </c>
      <c r="G459" s="5" t="n">
        <v>16236428000</v>
      </c>
      <c r="H459" s="5" t="n">
        <v>230169620000</v>
      </c>
      <c r="I459" s="5" t="n">
        <v>40567913000</v>
      </c>
      <c r="J459" s="4" t="n">
        <v>1.51639997959137</v>
      </c>
      <c r="K459" s="4" t="n">
        <v>0.1759999990463257</v>
      </c>
      <c r="L459" s="4" t="n">
        <v>0.1914999932050705</v>
      </c>
      <c r="M459" t="inlineStr">
        <is>
          <t>안중현</t>
        </is>
      </c>
      <c r="N459" t="inlineStr">
        <is>
          <t>1522-8144</t>
        </is>
      </c>
      <c r="O459" t="inlineStr">
        <is>
          <t>053-766-9879</t>
        </is>
      </c>
      <c r="P459" s="3">
        <f>HYPERLINK("https://askcompany.co.kr/", "https://askcompany.co.kr/")</f>
        <v/>
      </c>
      <c r="Q459" t="inlineStr">
        <is>
          <t>2938800876</t>
        </is>
      </c>
      <c r="R459" t="inlineStr">
        <is>
          <t>1701110674756</t>
        </is>
      </c>
      <c r="S459" t="inlineStr">
        <is>
          <t>대상아님</t>
        </is>
      </c>
      <c r="T459" t="inlineStr">
        <is>
          <t>일반법인</t>
        </is>
      </c>
      <c r="U459" t="inlineStr">
        <is>
          <t>중견기업</t>
        </is>
      </c>
      <c r="V459" t="inlineStr">
        <is>
          <t>외부감사대상</t>
        </is>
      </c>
      <c r="W459" s="6" t="inlineStr">
        <is>
          <t>2018-03-14</t>
        </is>
      </c>
      <c r="X459" t="inlineStr">
        <is>
          <t>KRI:10C2042300</t>
        </is>
      </c>
      <c r="Y459" t="inlineStr">
        <is>
          <t>화장품 제조업</t>
        </is>
      </c>
      <c r="Z459" t="inlineStr">
        <is>
          <t>화장품 제조,도소매/식품,칫솔,세제,비누,생필품,건강기능식품 도소매,무역,전자상거래</t>
        </is>
      </c>
      <c r="AA459" t="inlineStr">
        <is>
          <t>대구 동구 신천동 74-1번지 3층</t>
        </is>
      </c>
      <c r="AB459" t="inlineStr">
        <is>
          <t>대구 동구 동대구로 503, 3층</t>
        </is>
      </c>
    </row>
    <row r="460" ht="19.2" customHeight="1" s="1">
      <c r="A460" t="inlineStr">
        <is>
          <t>NICE:HU7292</t>
        </is>
      </c>
      <c r="B460" t="inlineStr">
        <is>
          <t>지코바</t>
        </is>
      </c>
      <c r="C460" s="5" t="n">
        <v>102351185000</v>
      </c>
      <c r="D460" s="5" t="n">
        <v>10098665000</v>
      </c>
      <c r="E460" s="5" t="n">
        <v>92252519000</v>
      </c>
      <c r="F460" s="5" t="n">
        <v>79921007000</v>
      </c>
      <c r="G460" s="5" t="n">
        <v>12132356000</v>
      </c>
      <c r="H460" s="5" t="n">
        <v>81908198000</v>
      </c>
      <c r="I460" s="5" t="n">
        <v>17906431000</v>
      </c>
      <c r="J460" s="4" t="n">
        <v>11.94189929962158</v>
      </c>
      <c r="K460" s="4" t="n">
        <v>0.1094999983906746</v>
      </c>
      <c r="L460" s="4" t="n">
        <v>0.1518000066280365</v>
      </c>
      <c r="M460" t="inlineStr">
        <is>
          <t>구민</t>
        </is>
      </c>
      <c r="N460" t="inlineStr">
        <is>
          <t>055-363-9300</t>
        </is>
      </c>
      <c r="O460" t="inlineStr">
        <is>
          <t>055-363-9320</t>
        </is>
      </c>
      <c r="P460" s="3" t="n"/>
      <c r="Q460" t="inlineStr">
        <is>
          <t>1598800580</t>
        </is>
      </c>
      <c r="R460" t="inlineStr">
        <is>
          <t>2341110090004</t>
        </is>
      </c>
      <c r="S460" t="inlineStr">
        <is>
          <t>대상아님</t>
        </is>
      </c>
      <c r="T460" t="inlineStr">
        <is>
          <t>일반법인</t>
        </is>
      </c>
      <c r="U460" t="inlineStr">
        <is>
          <t>중소기업</t>
        </is>
      </c>
      <c r="V460" t="inlineStr">
        <is>
          <t>외부감사대상</t>
        </is>
      </c>
      <c r="W460" s="6" t="inlineStr">
        <is>
          <t>2016-10-12</t>
        </is>
      </c>
      <c r="X460" t="inlineStr">
        <is>
          <t>KRI:10G4631300</t>
        </is>
      </c>
      <c r="Y460" t="inlineStr">
        <is>
          <t>육류 도매업</t>
        </is>
      </c>
      <c r="Z460" t="inlineStr">
        <is>
          <t>계육 도소매/양념 제조/인테리어공사</t>
        </is>
      </c>
      <c r="AA460" t="inlineStr">
        <is>
          <t>경남 양산시 어곡동 1071-1번지</t>
        </is>
      </c>
      <c r="AB460" t="inlineStr">
        <is>
          <t>경남 양산시 어곡공단로 185</t>
        </is>
      </c>
    </row>
    <row r="461" ht="19.2" customHeight="1" s="1">
      <c r="A461" t="inlineStr">
        <is>
          <t>NICE:246646</t>
        </is>
      </c>
      <c r="B461" t="inlineStr">
        <is>
          <t>경남씨엔에스</t>
        </is>
      </c>
      <c r="C461" s="5" t="n">
        <v>11639078000</v>
      </c>
      <c r="D461" s="5" t="n">
        <v>1017832000</v>
      </c>
      <c r="E461" s="5" t="n">
        <v>10621246000</v>
      </c>
      <c r="F461" s="5" t="n">
        <v>21026932000</v>
      </c>
      <c r="G461" s="5" t="n">
        <v>2617246000</v>
      </c>
      <c r="H461" s="5" t="n">
        <v>33753728000</v>
      </c>
      <c r="I461" s="5" t="n">
        <v>5328888000</v>
      </c>
      <c r="J461" s="4" t="n">
        <v>10.33889961242676</v>
      </c>
      <c r="K461" s="4" t="n">
        <v>0.0957999974489212</v>
      </c>
      <c r="L461" s="4" t="n">
        <v>0.124499998986721</v>
      </c>
      <c r="M461" t="inlineStr">
        <is>
          <t>김용환</t>
        </is>
      </c>
      <c r="N461" t="inlineStr">
        <is>
          <t>032-672-7420</t>
        </is>
      </c>
      <c r="O461" t="inlineStr">
        <is>
          <t>032-671-1510</t>
        </is>
      </c>
      <c r="P461" s="3" t="n"/>
      <c r="Q461" t="inlineStr">
        <is>
          <t>1308141048</t>
        </is>
      </c>
      <c r="R461" t="inlineStr">
        <is>
          <t>1243110034704</t>
        </is>
      </c>
      <c r="S461" t="inlineStr">
        <is>
          <t>대상아님</t>
        </is>
      </c>
      <c r="T461" t="inlineStr">
        <is>
          <t>일반법인</t>
        </is>
      </c>
      <c r="U461" t="inlineStr">
        <is>
          <t>중소기업</t>
        </is>
      </c>
      <c r="V461" t="inlineStr">
        <is>
          <t>외부감사비대상</t>
        </is>
      </c>
      <c r="W461" s="6" t="inlineStr">
        <is>
          <t>1992-03-04</t>
        </is>
      </c>
      <c r="X461" t="inlineStr">
        <is>
          <t>KRI:10C2511100</t>
        </is>
      </c>
      <c r="Y461" t="inlineStr">
        <is>
          <t>금속 문, 창, 셔터 및 관련제품 제조업</t>
        </is>
      </c>
      <c r="Z461" t="inlineStr">
        <is>
          <t>방화문,창호,철구조물 제조,건설,도매/소방자재 제조/주택 매매,임대</t>
        </is>
      </c>
      <c r="AA461" t="inlineStr">
        <is>
          <t>경기 부천시 원미구 도당동 187-7번지 부천대우테크노파크 B동 1208호</t>
        </is>
      </c>
      <c r="AB461" t="inlineStr">
        <is>
          <t>경기 부천시 원미구 도약로 261, B동 1208호 (도당동,부천대우테크노파크)</t>
        </is>
      </c>
    </row>
    <row r="462" ht="19.2" customHeight="1" s="1">
      <c r="A462" t="inlineStr">
        <is>
          <t>NICE:011613</t>
        </is>
      </c>
      <c r="B462" t="inlineStr">
        <is>
          <t>라시본</t>
        </is>
      </c>
      <c r="C462" s="5" t="n">
        <v>28900670000</v>
      </c>
      <c r="D462" s="5" t="n">
        <v>16421787000</v>
      </c>
      <c r="E462" s="5" t="n">
        <v>12478882000</v>
      </c>
      <c r="F462" s="5" t="n">
        <v>26534669000</v>
      </c>
      <c r="G462" s="5" t="n">
        <v>4589993000</v>
      </c>
      <c r="H462" s="5" t="n">
        <v>25049540000</v>
      </c>
      <c r="I462" s="5" t="n">
        <v>1425566000</v>
      </c>
      <c r="J462" s="4" t="n">
        <v>1.992899894714355</v>
      </c>
      <c r="K462" s="4" t="n">
        <v>1.315999984741211</v>
      </c>
      <c r="L462" s="4" t="n">
        <v>0.1729999929666519</v>
      </c>
      <c r="M462" t="inlineStr">
        <is>
          <t>양남길</t>
        </is>
      </c>
      <c r="N462" t="inlineStr">
        <is>
          <t>055-240-3800</t>
        </is>
      </c>
      <c r="O462" t="inlineStr">
        <is>
          <t>055-240-3883</t>
        </is>
      </c>
      <c r="P462" s="3">
        <f>HYPERLINK("http://lasibon.com/", "http://lasibon.com/")</f>
        <v/>
      </c>
      <c r="Q462" t="inlineStr">
        <is>
          <t>6088108692</t>
        </is>
      </c>
      <c r="R462" t="inlineStr">
        <is>
          <t>1901110012556</t>
        </is>
      </c>
      <c r="S462" t="inlineStr">
        <is>
          <t>대상아님</t>
        </is>
      </c>
      <c r="T462" t="inlineStr">
        <is>
          <t>일반법인</t>
        </is>
      </c>
      <c r="U462" t="inlineStr">
        <is>
          <t>중소기업</t>
        </is>
      </c>
      <c r="V462" t="inlineStr">
        <is>
          <t>외부감사대상</t>
        </is>
      </c>
      <c r="W462" s="6" t="inlineStr">
        <is>
          <t>1988-09-09</t>
        </is>
      </c>
      <c r="X462" t="inlineStr">
        <is>
          <t>KRI:10C2629900</t>
        </is>
      </c>
      <c r="Y462" t="inlineStr">
        <is>
          <t>그 외 기타 전자부품 제조업</t>
        </is>
      </c>
      <c r="Z462" t="inlineStr">
        <is>
          <t>전자기기,부품,무기,총포탄,배전반,전기자동제어반,절연코드세트,기타도체 제조</t>
        </is>
      </c>
      <c r="AA462" t="inlineStr">
        <is>
          <t>경남 창원시 마산합포구 상남동 100-3번지</t>
        </is>
      </c>
      <c r="AB462" t="inlineStr">
        <is>
          <t>경남 창원시 마산합포구 천하장사로 91</t>
        </is>
      </c>
    </row>
    <row r="463" s="1">
      <c r="A463" t="inlineStr">
        <is>
          <t>NICE:223727</t>
        </is>
      </c>
      <c r="B463" t="inlineStr">
        <is>
          <t>엘에프네트웍스</t>
        </is>
      </c>
      <c r="C463" s="5" t="n">
        <v>302225072000</v>
      </c>
      <c r="D463" s="5" t="n">
        <v>144581659000</v>
      </c>
      <c r="E463" s="5" t="n">
        <v>157643413000</v>
      </c>
      <c r="F463" s="5" t="n">
        <v>90326223000</v>
      </c>
      <c r="G463" s="5" t="n">
        <v>23302710000</v>
      </c>
      <c r="H463" s="5" t="n">
        <v>255338204000</v>
      </c>
      <c r="I463" s="5" t="n">
        <v>25333814000</v>
      </c>
      <c r="J463" s="4" t="n">
        <v>0.2660000026226044</v>
      </c>
      <c r="K463" s="4" t="n">
        <v>0.9170999526977539</v>
      </c>
      <c r="L463" s="4" t="n">
        <v>0.257999986410141</v>
      </c>
      <c r="M463" t="inlineStr">
        <is>
          <t>구본진</t>
        </is>
      </c>
      <c r="N463" t="inlineStr">
        <is>
          <t>02-6710-2722</t>
        </is>
      </c>
      <c r="O463" t="inlineStr">
        <is>
          <t>02-3446-8199</t>
        </is>
      </c>
      <c r="Q463" t="inlineStr">
        <is>
          <t>1168130069</t>
        </is>
      </c>
      <c r="R463" t="inlineStr">
        <is>
          <t>1101110726872</t>
        </is>
      </c>
      <c r="S463" t="inlineStr">
        <is>
          <t>대상아님</t>
        </is>
      </c>
      <c r="T463" t="inlineStr">
        <is>
          <t>일반법인</t>
        </is>
      </c>
      <c r="U463" t="inlineStr">
        <is>
          <t>중견기업</t>
        </is>
      </c>
      <c r="V463" t="inlineStr">
        <is>
          <t>외부감사대상</t>
        </is>
      </c>
      <c r="W463" s="6" t="inlineStr">
        <is>
          <t>1990-10-22</t>
        </is>
      </c>
      <c r="X463" t="inlineStr">
        <is>
          <t>KRI:10L6811200</t>
        </is>
      </c>
      <c r="Y463" t="inlineStr">
        <is>
          <t>비주거용 건물 임대업</t>
        </is>
      </c>
      <c r="Z463" t="inlineStr">
        <is>
          <t>부동산 임대/조경공사,조경시설물공사,조경식재공사,의류,잡화 도소매,통신판매,중개,제조/카페</t>
        </is>
      </c>
      <c r="AA463" t="inlineStr">
        <is>
          <t>서울 강남구 역삼동 797-20번지 엠티유빌딩</t>
        </is>
      </c>
      <c r="AB463" t="inlineStr">
        <is>
          <t>서울 강남구 논현로 323 (역삼동,엠티유빌딩)</t>
        </is>
      </c>
    </row>
    <row r="464" ht="19.2" customHeight="1" s="1">
      <c r="A464" t="inlineStr">
        <is>
          <t>NICE:630144</t>
        </is>
      </c>
      <c r="B464" t="inlineStr">
        <is>
          <t>선진종합</t>
        </is>
      </c>
      <c r="C464" s="5" t="n">
        <v>56891483000</v>
      </c>
      <c r="D464" s="5" t="n">
        <v>7787591000</v>
      </c>
      <c r="E464" s="5" t="n">
        <v>49103892000</v>
      </c>
      <c r="F464" s="5" t="n">
        <v>33865874000</v>
      </c>
      <c r="G464" s="5" t="n">
        <v>5075801000</v>
      </c>
      <c r="H464" s="5" t="n">
        <v>32580775000</v>
      </c>
      <c r="I464" s="5" t="n">
        <v>6861172000</v>
      </c>
      <c r="J464" s="4" t="n">
        <v>2.935299873352051</v>
      </c>
      <c r="K464" s="4" t="n">
        <v>0.1585999876260757</v>
      </c>
      <c r="L464" s="4" t="n">
        <v>0.1498999893665314</v>
      </c>
      <c r="M464" t="inlineStr">
        <is>
          <t>정재윤/정희영</t>
        </is>
      </c>
      <c r="N464" t="inlineStr">
        <is>
          <t>051-714-3905</t>
        </is>
      </c>
      <c r="O464" t="inlineStr">
        <is>
          <t>051-742-2265</t>
        </is>
      </c>
      <c r="P464" s="3">
        <f>HYPERLINK("http://www.startug.co.kr/", "http://www.startug.co.kr/")</f>
        <v/>
      </c>
      <c r="Q464" t="inlineStr">
        <is>
          <t>1328100096</t>
        </is>
      </c>
      <c r="R464" t="inlineStr">
        <is>
          <t>1152110001889</t>
        </is>
      </c>
      <c r="S464" t="inlineStr">
        <is>
          <t>대상아님</t>
        </is>
      </c>
      <c r="T464" t="inlineStr">
        <is>
          <t>일반법인</t>
        </is>
      </c>
      <c r="U464" t="inlineStr">
        <is>
          <t>중소기업</t>
        </is>
      </c>
      <c r="V464" t="inlineStr">
        <is>
          <t>외부감사대상</t>
        </is>
      </c>
      <c r="W464" s="6" t="inlineStr">
        <is>
          <t>1982-05-20</t>
        </is>
      </c>
      <c r="X464" t="inlineStr">
        <is>
          <t>KRI:10H5013000</t>
        </is>
      </c>
      <c r="Y464" t="inlineStr">
        <is>
          <t>기타 해상 운송업</t>
        </is>
      </c>
      <c r="Z464" t="inlineStr">
        <is>
          <t>해상 운송(예인선)/담배 소매/종합관광,간이음식,스키장</t>
        </is>
      </c>
      <c r="AA464" t="inlineStr">
        <is>
          <t>부산 해운대구 우동 1436-2번지 아라트리움 901호</t>
        </is>
      </c>
      <c r="AB464" t="inlineStr">
        <is>
          <t>부산 해운대구 마린시티1로 127, 901호 (우동,아라트리움)</t>
        </is>
      </c>
    </row>
    <row r="465" ht="19.2" customHeight="1" s="1">
      <c r="A465" t="inlineStr">
        <is>
          <t>NICE:J24262</t>
        </is>
      </c>
      <c r="B465" t="inlineStr">
        <is>
          <t>일신이엔씨</t>
        </is>
      </c>
      <c r="C465" s="5" t="n">
        <v>34024481000</v>
      </c>
      <c r="D465" s="5" t="n">
        <v>1321512000</v>
      </c>
      <c r="E465" s="5" t="n">
        <v>32702969000</v>
      </c>
      <c r="F465" s="5" t="n">
        <v>34175940000</v>
      </c>
      <c r="G465" s="5" t="n">
        <v>4562009000</v>
      </c>
      <c r="H465" s="5" t="n">
        <v>44295403000</v>
      </c>
      <c r="I465" s="5" t="n">
        <v>10445383000</v>
      </c>
      <c r="J465" s="4" t="n">
        <v>12.96490001678467</v>
      </c>
      <c r="K465" s="4" t="n">
        <v>0.04039999842643738</v>
      </c>
      <c r="L465" s="4" t="n">
        <v>0.1334999948740005</v>
      </c>
      <c r="M465" t="inlineStr">
        <is>
          <t>왕상준/이영기</t>
        </is>
      </c>
      <c r="N465" t="inlineStr">
        <is>
          <t>032-420-0249</t>
        </is>
      </c>
      <c r="O465" t="inlineStr">
        <is>
          <t>032-420-0251</t>
        </is>
      </c>
      <c r="P465" s="3" t="n"/>
      <c r="Q465" t="inlineStr">
        <is>
          <t>1218626295</t>
        </is>
      </c>
      <c r="R465" t="inlineStr">
        <is>
          <t>1201110662529</t>
        </is>
      </c>
      <c r="S465" t="inlineStr">
        <is>
          <t>대상아님</t>
        </is>
      </c>
      <c r="T465" t="inlineStr">
        <is>
          <t>일반법인</t>
        </is>
      </c>
      <c r="U465" t="inlineStr">
        <is>
          <t>중소기업</t>
        </is>
      </c>
      <c r="V465" t="inlineStr">
        <is>
          <t>외부감사대상</t>
        </is>
      </c>
      <c r="W465" s="6" t="inlineStr">
        <is>
          <t>2013-06-05</t>
        </is>
      </c>
      <c r="X465" t="inlineStr">
        <is>
          <t>KRI:10C1910200</t>
        </is>
      </c>
      <c r="Y465" t="inlineStr">
        <is>
          <t>연탄 및 기타 석탄 가공품 제조업</t>
        </is>
      </c>
      <c r="Z465" t="inlineStr">
        <is>
          <t>무연탄,가탄제,성형탄 제조,도매</t>
        </is>
      </c>
      <c r="AA465" t="inlineStr">
        <is>
          <t>인천 미추홀구 주안동 989-1번지 르네상스타워 703호</t>
        </is>
      </c>
      <c r="AB465" t="inlineStr">
        <is>
          <t>인천 미추홀구 경원대로 869, 703호 (주안동,르네상스타워)</t>
        </is>
      </c>
    </row>
    <row r="466" ht="19.2" customHeight="1" s="1">
      <c r="A466" t="inlineStr">
        <is>
          <t>NICE:C15855</t>
        </is>
      </c>
      <c r="B466" t="inlineStr">
        <is>
          <t>아식스코리아</t>
        </is>
      </c>
      <c r="C466" s="5" t="n">
        <v>134390150000</v>
      </c>
      <c r="D466" s="5" t="n">
        <v>33812705000</v>
      </c>
      <c r="E466" s="5" t="n">
        <v>100577445000</v>
      </c>
      <c r="F466" s="5" t="n">
        <v>186557646000</v>
      </c>
      <c r="G466" s="5" t="n">
        <v>34375062000</v>
      </c>
      <c r="H466" s="5" t="n">
        <v>143710154000</v>
      </c>
      <c r="I466" s="5" t="n">
        <v>23470839000</v>
      </c>
      <c r="J466" s="4" t="n">
        <v>3.764400005340576</v>
      </c>
      <c r="K466" s="4" t="n">
        <v>0.3361999690532684</v>
      </c>
      <c r="L466" s="4" t="n">
        <v>0.1843000054359436</v>
      </c>
      <c r="M466" t="inlineStr">
        <is>
          <t>김원무</t>
        </is>
      </c>
      <c r="N466" t="inlineStr">
        <is>
          <t>02-3660-3627</t>
        </is>
      </c>
      <c r="O466" t="inlineStr">
        <is>
          <t>02-3660-3509</t>
        </is>
      </c>
      <c r="P466" s="3">
        <f>HYPERLINK("http://www.asics.com", "http://www.asics.com")</f>
        <v/>
      </c>
      <c r="Q466" t="inlineStr">
        <is>
          <t>1098610809</t>
        </is>
      </c>
      <c r="R466" t="inlineStr">
        <is>
          <t>1101113780502</t>
        </is>
      </c>
      <c r="S466" t="inlineStr">
        <is>
          <t>대상아님</t>
        </is>
      </c>
      <c r="T466" t="inlineStr">
        <is>
          <t>일반법인</t>
        </is>
      </c>
      <c r="U466" t="inlineStr">
        <is>
          <t>중견기업</t>
        </is>
      </c>
      <c r="V466" t="inlineStr">
        <is>
          <t>외부감사대상</t>
        </is>
      </c>
      <c r="W466" s="6" t="inlineStr">
        <is>
          <t>2007-11-01</t>
        </is>
      </c>
      <c r="X466" t="inlineStr">
        <is>
          <t>KRI:10G4642000</t>
        </is>
      </c>
      <c r="Y466" t="inlineStr">
        <is>
          <t>신발 도매업</t>
        </is>
      </c>
      <c r="Z466" t="inlineStr">
        <is>
          <t>스포츠용품(신발,의류,경기용품) 도소매</t>
        </is>
      </c>
      <c r="AA466" t="inlineStr">
        <is>
          <t>서울 중구 을지로2가 204번지 삼화타워 14층</t>
        </is>
      </c>
      <c r="AB466" t="inlineStr">
        <is>
          <t>서울 중구 을지로5길 16, 14층 (을지로2가,삼화타워)</t>
        </is>
      </c>
    </row>
    <row r="467" ht="19.2" customHeight="1" s="1">
      <c r="A467" t="inlineStr">
        <is>
          <t>NICE:091973</t>
        </is>
      </c>
      <c r="B467" t="inlineStr">
        <is>
          <t>지에스메디칼</t>
        </is>
      </c>
      <c r="C467" s="5" t="n">
        <v>61157013000</v>
      </c>
      <c r="D467" s="5" t="n">
        <v>21603212000</v>
      </c>
      <c r="E467" s="5" t="n">
        <v>39553801000</v>
      </c>
      <c r="F467" s="5" t="n">
        <v>36100276000</v>
      </c>
      <c r="G467" s="5" t="n">
        <v>4676266000</v>
      </c>
      <c r="H467" s="5" t="n">
        <v>28501032000</v>
      </c>
      <c r="I467" s="5" t="n">
        <v>4525956000</v>
      </c>
      <c r="J467" s="4" t="n">
        <v>2.573199987411499</v>
      </c>
      <c r="K467" s="4" t="n">
        <v>0.5461999773979187</v>
      </c>
      <c r="L467" s="4" t="n">
        <v>0.1295000016689301</v>
      </c>
      <c r="M467" t="inlineStr">
        <is>
          <t>신민식</t>
        </is>
      </c>
      <c r="N467" t="inlineStr">
        <is>
          <t>02-2082-7777</t>
        </is>
      </c>
      <c r="O467" t="inlineStr">
        <is>
          <t>02-2082-7778</t>
        </is>
      </c>
      <c r="P467" s="3">
        <f>HYPERLINK("http://www.gsmedi.com", "http://www.gsmedi.com")</f>
        <v/>
      </c>
      <c r="Q467" t="inlineStr">
        <is>
          <t>1148621778</t>
        </is>
      </c>
      <c r="R467" t="inlineStr">
        <is>
          <t>1101112603044</t>
        </is>
      </c>
      <c r="S467" t="inlineStr">
        <is>
          <t>대상아님</t>
        </is>
      </c>
      <c r="T467" t="inlineStr">
        <is>
          <t>일반법인</t>
        </is>
      </c>
      <c r="U467" t="inlineStr">
        <is>
          <t>중소기업</t>
        </is>
      </c>
      <c r="V467" t="inlineStr">
        <is>
          <t>외부감사대상</t>
        </is>
      </c>
      <c r="W467" s="6" t="inlineStr">
        <is>
          <t>2002-09-04</t>
        </is>
      </c>
      <c r="X467" t="inlineStr">
        <is>
          <t>KRI:10C2719900</t>
        </is>
      </c>
      <c r="Y467" t="inlineStr">
        <is>
          <t>그 외 기타 의료용 기기 제조업</t>
        </is>
      </c>
      <c r="Z467" t="inlineStr">
        <is>
          <t>의료기기,의료용보장구 제조,도매/무역/아파트형공장 임대</t>
        </is>
      </c>
      <c r="AA467" t="inlineStr">
        <is>
          <t>서울 금천구 가산동 505-14번지 코오롱디지털타워애스턴 1206,1207,1208,1209,1210호</t>
        </is>
      </c>
      <c r="AB467" t="inlineStr">
        <is>
          <t>서울 금천구 가산디지털1로 212, 1206,1207,1208,1209,1210호 (가산동,코오롱디지털타워애스턴)</t>
        </is>
      </c>
    </row>
    <row r="468" ht="19.2" customHeight="1" s="1">
      <c r="A468" t="inlineStr">
        <is>
          <t>NICE:F00170</t>
        </is>
      </c>
      <c r="B468" t="inlineStr">
        <is>
          <t>대한슬래그</t>
        </is>
      </c>
      <c r="C468" s="5" t="n">
        <v>61138111000</v>
      </c>
      <c r="D468" s="5" t="n">
        <v>35256211000</v>
      </c>
      <c r="E468" s="5" t="n">
        <v>25881900000</v>
      </c>
      <c r="F468" s="5" t="n">
        <v>44208417000</v>
      </c>
      <c r="G468" s="5" t="n">
        <v>12600865000</v>
      </c>
      <c r="H468" s="5" t="n">
        <v>51336290000</v>
      </c>
      <c r="I468" s="5" t="n">
        <v>12991871000</v>
      </c>
      <c r="J468" s="4" t="n">
        <v>2.092000007629395</v>
      </c>
      <c r="K468" s="4" t="n">
        <v>1.362200021743774</v>
      </c>
      <c r="L468" s="4" t="n">
        <v>0.2849999964237213</v>
      </c>
      <c r="M468" t="inlineStr">
        <is>
          <t>강병복</t>
        </is>
      </c>
      <c r="N468" t="inlineStr">
        <is>
          <t>061-798-9600</t>
        </is>
      </c>
      <c r="O468" t="inlineStr">
        <is>
          <t>061-798-9699</t>
        </is>
      </c>
      <c r="P468" s="3">
        <f>HYPERLINK("http://dhslag.co.kr", "http://dhslag.co.kr")</f>
        <v/>
      </c>
      <c r="Q468" t="inlineStr">
        <is>
          <t>4168169329</t>
        </is>
      </c>
      <c r="R468" t="inlineStr">
        <is>
          <t>2046110030668</t>
        </is>
      </c>
      <c r="S468" t="inlineStr">
        <is>
          <t>대상아님</t>
        </is>
      </c>
      <c r="T468" t="inlineStr">
        <is>
          <t>일반법인</t>
        </is>
      </c>
      <c r="U468" t="inlineStr">
        <is>
          <t>중견기업</t>
        </is>
      </c>
      <c r="V468" t="inlineStr">
        <is>
          <t>외부감사대상</t>
        </is>
      </c>
      <c r="W468" s="6" t="inlineStr">
        <is>
          <t>2009-11-02</t>
        </is>
      </c>
      <c r="X468" t="inlineStr">
        <is>
          <t>KRI:10C2399300</t>
        </is>
      </c>
      <c r="Y468" t="inlineStr">
        <is>
          <t>비금속광물 분쇄물 생산업</t>
        </is>
      </c>
      <c r="Z468" t="inlineStr">
        <is>
          <t>슬래그파우더(콘크리트 혼합재료) 제조,도매</t>
        </is>
      </c>
      <c r="AA468" t="inlineStr">
        <is>
          <t>전남 광양시 태인동 1659-8번지</t>
        </is>
      </c>
      <c r="AB468" t="inlineStr">
        <is>
          <t>전남 광양시 산업로 207</t>
        </is>
      </c>
    </row>
    <row r="469" ht="19.2" customHeight="1" s="1">
      <c r="A469" t="inlineStr">
        <is>
          <t>NICE:J47936</t>
        </is>
      </c>
      <c r="B469" t="inlineStr">
        <is>
          <t>케이디에스디앤티</t>
        </is>
      </c>
      <c r="C469" s="5" t="n">
        <v>42306063000</v>
      </c>
      <c r="D469" s="5" t="n">
        <v>9917702000</v>
      </c>
      <c r="E469" s="5" t="n">
        <v>32388362000</v>
      </c>
      <c r="F469" s="5" t="n">
        <v>26255095000</v>
      </c>
      <c r="G469" s="5" t="n">
        <v>6157444000</v>
      </c>
      <c r="H469" s="5" t="n">
        <v>28503797000</v>
      </c>
      <c r="I469" s="5" t="n">
        <v>6191639000</v>
      </c>
      <c r="J469" s="4" t="n">
        <v>2.314199924468994</v>
      </c>
      <c r="K469" s="4" t="n">
        <v>0.3061999976634979</v>
      </c>
      <c r="L469" s="4" t="n">
        <v>0.2345000058412552</v>
      </c>
      <c r="M469" t="inlineStr">
        <is>
          <t>김대중</t>
        </is>
      </c>
      <c r="N469" t="inlineStr">
        <is>
          <t>02-2282-7100</t>
        </is>
      </c>
      <c r="O469" t="inlineStr">
        <is>
          <t>02-2231-0614</t>
        </is>
      </c>
      <c r="P469" s="3">
        <f>HYPERLINK("http://www.kdsdnt.com", "http://www.kdsdnt.com")</f>
        <v/>
      </c>
      <c r="Q469" t="inlineStr">
        <is>
          <t>2018630192</t>
        </is>
      </c>
      <c r="R469" t="inlineStr">
        <is>
          <t>1101115004695</t>
        </is>
      </c>
      <c r="S469" t="inlineStr">
        <is>
          <t>대상아님</t>
        </is>
      </c>
      <c r="T469" t="inlineStr">
        <is>
          <t>일반법인</t>
        </is>
      </c>
      <c r="U469" t="inlineStr">
        <is>
          <t>중소기업</t>
        </is>
      </c>
      <c r="V469" t="inlineStr">
        <is>
          <t>외부감사대상</t>
        </is>
      </c>
      <c r="W469" s="6" t="inlineStr">
        <is>
          <t>2012-11-19</t>
        </is>
      </c>
      <c r="X469" t="inlineStr">
        <is>
          <t>KRI:10G4643300</t>
        </is>
      </c>
      <c r="Y469" t="inlineStr">
        <is>
          <t>생활용 유리ㆍ요업ㆍ목재ㆍ금속 제품 및 날붙이 도매업</t>
        </is>
      </c>
      <c r="Z469" t="inlineStr">
        <is>
          <t>주방용품,날붙이 도소매</t>
        </is>
      </c>
      <c r="AA469" t="inlineStr">
        <is>
          <t>서울 중구 신당동 141-3번지</t>
        </is>
      </c>
      <c r="AB469" t="inlineStr">
        <is>
          <t>서울 중구 다산로44길 60</t>
        </is>
      </c>
    </row>
    <row r="470" ht="19.2" customHeight="1" s="1">
      <c r="A470" t="inlineStr">
        <is>
          <t>NICE:I01962</t>
        </is>
      </c>
      <c r="B470" t="inlineStr">
        <is>
          <t>주원</t>
        </is>
      </c>
      <c r="C470" s="5" t="n">
        <v>33719349000</v>
      </c>
      <c r="D470" s="5" t="n">
        <v>8249988000</v>
      </c>
      <c r="E470" s="5" t="n">
        <v>25469360000</v>
      </c>
      <c r="F470" s="5" t="n">
        <v>28650503000</v>
      </c>
      <c r="G470" s="5" t="n">
        <v>5662044000</v>
      </c>
      <c r="H470" s="5" t="n">
        <v>25187138000</v>
      </c>
      <c r="I470" s="5" t="n">
        <v>6693749000</v>
      </c>
      <c r="J470" s="4" t="n">
        <v>2.991199970245361</v>
      </c>
      <c r="K470" s="4" t="n">
        <v>0.3238999843597412</v>
      </c>
      <c r="L470" s="4" t="n">
        <v>0.1975999921560287</v>
      </c>
      <c r="M470" t="inlineStr">
        <is>
          <t>김기홍</t>
        </is>
      </c>
      <c r="N470" t="inlineStr">
        <is>
          <t>031-611-5601</t>
        </is>
      </c>
      <c r="O470" t="inlineStr">
        <is>
          <t>031-611-5603</t>
        </is>
      </c>
      <c r="P470" s="3" t="n"/>
      <c r="Q470" t="inlineStr">
        <is>
          <t>1258603144</t>
        </is>
      </c>
      <c r="R470" t="inlineStr">
        <is>
          <t>1313110115886</t>
        </is>
      </c>
      <c r="S470" t="inlineStr">
        <is>
          <t>대상아님</t>
        </is>
      </c>
      <c r="T470" t="inlineStr">
        <is>
          <t>일반법인</t>
        </is>
      </c>
      <c r="U470" t="inlineStr">
        <is>
          <t>중소기업</t>
        </is>
      </c>
      <c r="V470" t="inlineStr">
        <is>
          <t>외부감사대상</t>
        </is>
      </c>
      <c r="W470" s="6" t="inlineStr">
        <is>
          <t>2012-04-16</t>
        </is>
      </c>
      <c r="X470" t="inlineStr">
        <is>
          <t>KRI:10E3811000</t>
        </is>
      </c>
      <c r="Y470" t="inlineStr">
        <is>
          <t>지정 외 폐기물 수집, 운반업</t>
        </is>
      </c>
      <c r="Z470" t="inlineStr">
        <is>
          <t>폐기물 수집,운반,처리,원료재생</t>
        </is>
      </c>
      <c r="AA470" t="inlineStr">
        <is>
          <t>경기 평택시 진위면 하북리 596-24번지</t>
        </is>
      </c>
      <c r="AB470" t="inlineStr">
        <is>
          <t>경기 평택시 진위면 송탄고가길 5-43</t>
        </is>
      </c>
    </row>
    <row r="471" ht="19.2" customHeight="1" s="1">
      <c r="A471" t="inlineStr">
        <is>
          <t>NICE:HJ5659</t>
        </is>
      </c>
      <c r="B471" t="inlineStr">
        <is>
          <t>매그니프</t>
        </is>
      </c>
      <c r="C471" s="5" t="n">
        <v>15052109000</v>
      </c>
      <c r="D471" s="5" t="n">
        <v>2763918000</v>
      </c>
      <c r="E471" s="5" t="n">
        <v>12288190000</v>
      </c>
      <c r="F471" s="5" t="n">
        <v>35768178000</v>
      </c>
      <c r="G471" s="5" t="n">
        <v>4176898000</v>
      </c>
      <c r="H471" s="5" t="n">
        <v>28678105000</v>
      </c>
      <c r="I471" s="5" t="n">
        <v>3487651000</v>
      </c>
      <c r="J471" s="4" t="n">
        <v>5.130800247192383</v>
      </c>
      <c r="K471" s="4" t="n">
        <v>0.2248999923467636</v>
      </c>
      <c r="L471" s="4" t="n">
        <v>0.1168000027537346</v>
      </c>
      <c r="M471" t="inlineStr">
        <is>
          <t>김영만</t>
        </is>
      </c>
      <c r="N471" t="inlineStr">
        <is>
          <t>02-2135-1441</t>
        </is>
      </c>
      <c r="O471" t="inlineStr">
        <is>
          <t>02-2135-1458</t>
        </is>
      </c>
      <c r="P471" s="3">
        <f>HYPERLINK("http://www.makeprem.com", "http://www.makeprem.com")</f>
        <v/>
      </c>
      <c r="Q471" t="inlineStr">
        <is>
          <t>2978100210</t>
        </is>
      </c>
      <c r="R471" t="inlineStr">
        <is>
          <t>1101115857002</t>
        </is>
      </c>
      <c r="S471" t="inlineStr">
        <is>
          <t>대상아님</t>
        </is>
      </c>
      <c r="T471" t="inlineStr">
        <is>
          <t>일반법인</t>
        </is>
      </c>
      <c r="U471" t="inlineStr">
        <is>
          <t>중소기업</t>
        </is>
      </c>
      <c r="V471" t="inlineStr">
        <is>
          <t>외부감사대상</t>
        </is>
      </c>
      <c r="W471" s="6" t="inlineStr">
        <is>
          <t>2015-10-08</t>
        </is>
      </c>
      <c r="X471" t="inlineStr">
        <is>
          <t>KRI:10G4644300</t>
        </is>
      </c>
      <c r="Y471" t="inlineStr">
        <is>
          <t>화장품 및 화장용품 도매업</t>
        </is>
      </c>
      <c r="Z471" t="inlineStr">
        <is>
          <t>화장품,화장품 제조업,치약, 비누 및 기타 세제 제조업,표면광택제 및 실내가향제 제조업</t>
        </is>
      </c>
      <c r="AA471" t="inlineStr">
        <is>
          <t>서울 강남구 역삼동 652-5번지 6층</t>
        </is>
      </c>
      <c r="AB471" t="inlineStr">
        <is>
          <t>서울 강남구 봉은사로 226, 6층</t>
        </is>
      </c>
    </row>
    <row r="472" s="1">
      <c r="A472" t="inlineStr">
        <is>
          <t>NICE:390941</t>
        </is>
      </c>
      <c r="B472" t="inlineStr">
        <is>
          <t>태양연마</t>
        </is>
      </c>
      <c r="C472" s="5" t="n">
        <v>139878169000</v>
      </c>
      <c r="D472" s="5" t="n">
        <v>13888536000</v>
      </c>
      <c r="E472" s="5" t="n">
        <v>125989633000</v>
      </c>
      <c r="F472" s="5" t="n">
        <v>128888398000</v>
      </c>
      <c r="G472" s="5" t="n">
        <v>16989454000</v>
      </c>
      <c r="H472" s="5" t="n">
        <v>132245723000</v>
      </c>
      <c r="I472" s="5" t="n">
        <v>21536566000</v>
      </c>
      <c r="J472" s="4" t="n">
        <v>6.393899917602539</v>
      </c>
      <c r="K472" s="4" t="n">
        <v>0.1102000027894974</v>
      </c>
      <c r="L472" s="4" t="n">
        <v>0.1317999958992004</v>
      </c>
      <c r="M472" t="inlineStr">
        <is>
          <t>신석호/신원식</t>
        </is>
      </c>
      <c r="N472" t="inlineStr">
        <is>
          <t>031-495-6065</t>
        </is>
      </c>
      <c r="O472" t="inlineStr">
        <is>
          <t>031-491-7725</t>
        </is>
      </c>
      <c r="P472">
        <f>HYPERLINK("http://www.sunabrasives.co.kr", "http://www.sunabrasives.co.kr")</f>
        <v/>
      </c>
      <c r="Q472" t="inlineStr">
        <is>
          <t>1348110867</t>
        </is>
      </c>
      <c r="R472" t="inlineStr">
        <is>
          <t>1243110021206</t>
        </is>
      </c>
      <c r="S472" t="inlineStr">
        <is>
          <t>대상아님</t>
        </is>
      </c>
      <c r="T472" t="inlineStr">
        <is>
          <t>일반법인</t>
        </is>
      </c>
      <c r="U472" t="inlineStr">
        <is>
          <t>중견기업</t>
        </is>
      </c>
      <c r="V472" t="inlineStr">
        <is>
          <t>외부감사대상</t>
        </is>
      </c>
      <c r="W472" s="6" t="inlineStr">
        <is>
          <t>1970-05-01</t>
        </is>
      </c>
      <c r="X472" t="inlineStr">
        <is>
          <t>KRI:10C2399200</t>
        </is>
      </c>
      <c r="Y472" t="inlineStr">
        <is>
          <t>연마재 제조업</t>
        </is>
      </c>
      <c r="Z472" t="inlineStr">
        <is>
          <t>연마포,연마지 제조,도소매,수출</t>
        </is>
      </c>
      <c r="AA472" t="inlineStr">
        <is>
          <t>경기 안산시 단원구 성곡동 628-4번지</t>
        </is>
      </c>
      <c r="AB472" t="inlineStr">
        <is>
          <t>경기 안산시 단원구 성곡로 26</t>
        </is>
      </c>
    </row>
    <row r="473" ht="19.2" customHeight="1" s="1">
      <c r="A473" t="inlineStr">
        <is>
          <t>NICE:503102</t>
        </is>
      </c>
      <c r="B473" t="inlineStr">
        <is>
          <t>트러스</t>
        </is>
      </c>
      <c r="C473" s="5" t="n">
        <v>117076626000</v>
      </c>
      <c r="D473" s="5" t="n">
        <v>4888470000</v>
      </c>
      <c r="E473" s="5" t="n">
        <v>112188156000</v>
      </c>
      <c r="F473" s="5" t="n">
        <v>69090995000</v>
      </c>
      <c r="G473" s="5" t="n">
        <v>16501840000</v>
      </c>
      <c r="H473" s="5" t="n">
        <v>72658877000</v>
      </c>
      <c r="I473" s="5" t="n">
        <v>16563024000</v>
      </c>
      <c r="J473" s="4" t="n">
        <v>20.31040000915527</v>
      </c>
      <c r="K473" s="4" t="n">
        <v>0.04360000044107437</v>
      </c>
      <c r="L473" s="4" t="n">
        <v>0.2387999892234802</v>
      </c>
      <c r="M473" t="inlineStr">
        <is>
          <t>문호섭</t>
        </is>
      </c>
      <c r="N473" t="inlineStr">
        <is>
          <t>032-563-5980</t>
        </is>
      </c>
      <c r="O473" t="inlineStr">
        <is>
          <t>032-563-5981</t>
        </is>
      </c>
      <c r="P473" s="3" t="n"/>
      <c r="Q473" t="inlineStr">
        <is>
          <t>1368116076</t>
        </is>
      </c>
      <c r="R473" t="inlineStr">
        <is>
          <t>1201110124678</t>
        </is>
      </c>
      <c r="S473" t="inlineStr">
        <is>
          <t>대상아님</t>
        </is>
      </c>
      <c r="T473" t="inlineStr">
        <is>
          <t>일반법인</t>
        </is>
      </c>
      <c r="U473" t="inlineStr">
        <is>
          <t>중소기업</t>
        </is>
      </c>
      <c r="V473" t="inlineStr">
        <is>
          <t>외부감사대상</t>
        </is>
      </c>
      <c r="W473" s="6" t="inlineStr">
        <is>
          <t>1995-10-17</t>
        </is>
      </c>
      <c r="X473" t="inlineStr">
        <is>
          <t>KRI:10C2229100</t>
        </is>
      </c>
      <c r="Y473" t="inlineStr">
        <is>
          <t>플라스틱 접착처리 제품 제조업</t>
        </is>
      </c>
      <c r="Z473" t="inlineStr">
        <is>
          <t>문구용 테이프,점착테이프 제조</t>
        </is>
      </c>
      <c r="AA473" t="inlineStr">
        <is>
          <t>인천 서구 오류동 1611-1번지</t>
        </is>
      </c>
      <c r="AB473" t="inlineStr">
        <is>
          <t>인천 서구 마중로 7</t>
        </is>
      </c>
    </row>
    <row r="474" ht="19.2" customHeight="1" s="1">
      <c r="A474" t="inlineStr">
        <is>
          <t>NICE:B98281</t>
        </is>
      </c>
      <c r="B474" t="inlineStr">
        <is>
          <t>씨너지아이앤티</t>
        </is>
      </c>
      <c r="C474" s="5" t="n">
        <v>21530087000</v>
      </c>
      <c r="D474" s="5" t="n">
        <v>3366210000</v>
      </c>
      <c r="E474" s="5" t="n">
        <v>18163876000</v>
      </c>
      <c r="F474" s="5" t="n">
        <v>34309685000</v>
      </c>
      <c r="G474" s="5" t="n">
        <v>3544213000</v>
      </c>
      <c r="H474" s="5" t="n">
        <v>35307335000</v>
      </c>
      <c r="I474" s="5" t="n">
        <v>3390153000</v>
      </c>
      <c r="J474" s="4" t="n">
        <v>4.934800148010254</v>
      </c>
      <c r="K474" s="4" t="n">
        <v>0.1853000074625015</v>
      </c>
      <c r="L474" s="4" t="n">
        <v>0.1032999977469444</v>
      </c>
      <c r="M474" t="inlineStr">
        <is>
          <t>이동준</t>
        </is>
      </c>
      <c r="N474" t="inlineStr">
        <is>
          <t>02-3287-3051</t>
        </is>
      </c>
      <c r="O474" t="inlineStr">
        <is>
          <t>02-3287-3052</t>
        </is>
      </c>
      <c r="P474" s="3" t="n"/>
      <c r="Q474" t="inlineStr">
        <is>
          <t>2068194051</t>
        </is>
      </c>
      <c r="R474" t="inlineStr">
        <is>
          <t>1101113077496</t>
        </is>
      </c>
      <c r="S474" t="inlineStr">
        <is>
          <t>대상아님</t>
        </is>
      </c>
      <c r="T474" t="inlineStr">
        <is>
          <t>일반법인</t>
        </is>
      </c>
      <c r="U474" t="inlineStr">
        <is>
          <t>중소기업</t>
        </is>
      </c>
      <c r="V474" t="inlineStr">
        <is>
          <t>외부감사대상</t>
        </is>
      </c>
      <c r="W474" s="6" t="inlineStr">
        <is>
          <t>2004-09-01</t>
        </is>
      </c>
      <c r="X474" t="inlineStr">
        <is>
          <t>KRI:10G4632900</t>
        </is>
      </c>
      <c r="Y474" t="inlineStr">
        <is>
          <t>기타 가공식품 도매업</t>
        </is>
      </c>
      <c r="Z474" t="inlineStr">
        <is>
          <t>건강식품 도매,상품중개</t>
        </is>
      </c>
      <c r="AA474" t="inlineStr">
        <is>
          <t>서울 강남구 역삼동 728-41번지 에이포스페이스빌딩 2층</t>
        </is>
      </c>
      <c r="AB474" t="inlineStr">
        <is>
          <t>서울 강남구 논현로76길 27, 2층 (역삼동,에이포스페이스빌딩)</t>
        </is>
      </c>
    </row>
    <row r="475" ht="19.2" customHeight="1" s="1">
      <c r="A475" t="inlineStr">
        <is>
          <t>NICE:HT8184</t>
        </is>
      </c>
      <c r="B475" t="inlineStr">
        <is>
          <t>백년화편</t>
        </is>
      </c>
      <c r="C475" s="5" t="n">
        <v>10172551000</v>
      </c>
      <c r="D475" s="5" t="n">
        <v>1360203000</v>
      </c>
      <c r="E475" s="5" t="n">
        <v>8812348000</v>
      </c>
      <c r="F475" s="5" t="n">
        <v>20001469000</v>
      </c>
      <c r="G475" s="5" t="n">
        <v>2438766000</v>
      </c>
      <c r="H475" s="5" t="n">
        <v>20485730000</v>
      </c>
      <c r="I475" s="5" t="n">
        <v>3354119000</v>
      </c>
      <c r="J475" s="4" t="n">
        <v>5.736099720001221</v>
      </c>
      <c r="K475" s="4" t="n">
        <v>0.1543999910354614</v>
      </c>
      <c r="L475" s="4" t="n">
        <v>0.1218999922275543</v>
      </c>
      <c r="M475" t="inlineStr">
        <is>
          <t>김명희/이정완</t>
        </is>
      </c>
      <c r="N475" t="inlineStr">
        <is>
          <t>02-482-1988</t>
        </is>
      </c>
      <c r="O475" t="inlineStr">
        <is>
          <t>02-476-1988</t>
        </is>
      </c>
      <c r="P475" s="3" t="n"/>
      <c r="Q475" t="inlineStr">
        <is>
          <t>6458100461</t>
        </is>
      </c>
      <c r="R475" t="inlineStr">
        <is>
          <t>1101116171344</t>
        </is>
      </c>
      <c r="S475" t="inlineStr">
        <is>
          <t>대상아님</t>
        </is>
      </c>
      <c r="T475" t="inlineStr">
        <is>
          <t>일반법인</t>
        </is>
      </c>
      <c r="U475" t="inlineStr">
        <is>
          <t>중소기업</t>
        </is>
      </c>
      <c r="V475" t="inlineStr">
        <is>
          <t>외부감사비대상</t>
        </is>
      </c>
      <c r="W475" s="6" t="inlineStr">
        <is>
          <t>2016-09-07</t>
        </is>
      </c>
      <c r="X475" t="inlineStr">
        <is>
          <t>KRI:10C1071100</t>
        </is>
      </c>
      <c r="Y475" t="inlineStr">
        <is>
          <t>떡류 제조업</t>
        </is>
      </c>
      <c r="Z475" t="inlineStr">
        <is>
          <t>떡 제조/홍삼,한과 도소매</t>
        </is>
      </c>
      <c r="AA475" t="inlineStr">
        <is>
          <t>서울 강동구 성내동 441-8번지</t>
        </is>
      </c>
      <c r="AB475" t="inlineStr">
        <is>
          <t>서울 강동구 양재대로81길 18</t>
        </is>
      </c>
    </row>
    <row r="476" ht="19.2" customHeight="1" s="1">
      <c r="A476" t="inlineStr">
        <is>
          <t>NICE:F04894</t>
        </is>
      </c>
      <c r="B476" t="inlineStr">
        <is>
          <t>에스엔디엔지</t>
        </is>
      </c>
      <c r="C476" s="5" t="n">
        <v>17264821000</v>
      </c>
      <c r="D476" s="5" t="n">
        <v>7276083000</v>
      </c>
      <c r="E476" s="5" t="n">
        <v>9988738000</v>
      </c>
      <c r="F476" s="5" t="n">
        <v>28217883000</v>
      </c>
      <c r="G476" s="5" t="n">
        <v>3611502000</v>
      </c>
      <c r="H476" s="5" t="n">
        <v>30757941000</v>
      </c>
      <c r="I476" s="5" t="n">
        <v>1306535000</v>
      </c>
      <c r="J476" s="4" t="n">
        <v>1.962999939918518</v>
      </c>
      <c r="K476" s="4" t="n">
        <v>0.728399932384491</v>
      </c>
      <c r="L476" s="4" t="n">
        <v>0.1280000060796738</v>
      </c>
      <c r="M476" t="inlineStr">
        <is>
          <t>송영석</t>
        </is>
      </c>
      <c r="N476" t="inlineStr">
        <is>
          <t>02-2662-4297</t>
        </is>
      </c>
      <c r="O476" t="inlineStr">
        <is>
          <t>031-984-4296</t>
        </is>
      </c>
      <c r="P476" s="3">
        <f>HYPERLINK("http://www.sndng.co.kr", "http://www.sndng.co.kr")</f>
        <v/>
      </c>
      <c r="Q476" t="inlineStr">
        <is>
          <t>1098614727</t>
        </is>
      </c>
      <c r="R476" t="inlineStr">
        <is>
          <t>1101113961996</t>
        </is>
      </c>
      <c r="S476" t="inlineStr">
        <is>
          <t>대상아님</t>
        </is>
      </c>
      <c r="T476" t="inlineStr">
        <is>
          <t>일반법인</t>
        </is>
      </c>
      <c r="U476" t="inlineStr">
        <is>
          <t>중소기업</t>
        </is>
      </c>
      <c r="V476" t="inlineStr">
        <is>
          <t>외부감사대상</t>
        </is>
      </c>
      <c r="W476" s="6" t="inlineStr">
        <is>
          <t>2008-09-01</t>
        </is>
      </c>
      <c r="X476" t="inlineStr">
        <is>
          <t>KRI:10C3209100</t>
        </is>
      </c>
      <c r="Y476" t="inlineStr">
        <is>
          <t>금속 가구 제조업</t>
        </is>
      </c>
      <c r="Z476" t="inlineStr">
        <is>
          <t>가구류,가구하드웨어,금형,비철금속가공 제조/도배공사.실내장식공사,내장목공사/엘이디조명,엘이디조명기구,건축자재 도소매</t>
        </is>
      </c>
      <c r="AA476" t="inlineStr">
        <is>
          <t>경기 김포시 양촌읍 학운리 3892번지</t>
        </is>
      </c>
      <c r="AB476" t="inlineStr">
        <is>
          <t>경기 김포시 양촌읍 황금로291번길 30</t>
        </is>
      </c>
    </row>
    <row r="477" ht="19.2" customHeight="1" s="1">
      <c r="A477" t="inlineStr">
        <is>
          <t>NICE:E83511</t>
        </is>
      </c>
      <c r="B477" t="inlineStr">
        <is>
          <t>엘에스화장품</t>
        </is>
      </c>
      <c r="C477" s="5" t="n">
        <v>69925892000</v>
      </c>
      <c r="D477" s="5" t="n">
        <v>52995540000</v>
      </c>
      <c r="E477" s="5" t="n">
        <v>16930352000</v>
      </c>
      <c r="F477" s="5" t="n">
        <v>71651363000</v>
      </c>
      <c r="G477" s="5" t="n">
        <v>7790600000</v>
      </c>
      <c r="H477" s="5" t="n">
        <v>32516366000</v>
      </c>
      <c r="I477" s="5" t="n">
        <v>2035388000</v>
      </c>
      <c r="J477" s="4" t="n">
        <v>1.565599918365479</v>
      </c>
      <c r="K477" s="4" t="n">
        <v>3.130199909210205</v>
      </c>
      <c r="L477" s="4" t="n">
        <v>0.1086999997496605</v>
      </c>
      <c r="M477" t="inlineStr">
        <is>
          <t>이영호</t>
        </is>
      </c>
      <c r="N477" t="inlineStr">
        <is>
          <t>070-8666-7681</t>
        </is>
      </c>
      <c r="O477" t="inlineStr">
        <is>
          <t>032-813-0107</t>
        </is>
      </c>
      <c r="P477" s="3" t="n"/>
      <c r="Q477" t="inlineStr">
        <is>
          <t>1318617963</t>
        </is>
      </c>
      <c r="R477" t="inlineStr">
        <is>
          <t>1201110516099</t>
        </is>
      </c>
      <c r="S477" t="inlineStr">
        <is>
          <t>대상아님</t>
        </is>
      </c>
      <c r="T477" t="inlineStr">
        <is>
          <t>일반법인</t>
        </is>
      </c>
      <c r="U477" t="inlineStr">
        <is>
          <t>중소기업</t>
        </is>
      </c>
      <c r="V477" t="inlineStr">
        <is>
          <t>외부감사대상</t>
        </is>
      </c>
      <c r="W477" s="6" t="inlineStr">
        <is>
          <t>2009-12-01</t>
        </is>
      </c>
      <c r="X477" t="inlineStr">
        <is>
          <t>KRI:10C2042300</t>
        </is>
      </c>
      <c r="Y477" t="inlineStr">
        <is>
          <t>화장품 제조업</t>
        </is>
      </c>
      <c r="Z477" t="inlineStr">
        <is>
          <t>화장품 제조,도매</t>
        </is>
      </c>
      <c r="AA477" t="inlineStr">
        <is>
          <t>인천 남동구 논현동 446-6번지</t>
        </is>
      </c>
      <c r="AB477" t="inlineStr">
        <is>
          <t>인천 남동구 남동서로236번길 31</t>
        </is>
      </c>
    </row>
    <row r="478" ht="19.2" customHeight="1" s="1">
      <c r="A478" t="inlineStr">
        <is>
          <t>NICE:237481</t>
        </is>
      </c>
      <c r="B478" t="inlineStr">
        <is>
          <t>거상자원</t>
        </is>
      </c>
      <c r="C478" s="5" t="n">
        <v>29114457000</v>
      </c>
      <c r="D478" s="5" t="n">
        <v>14672107000</v>
      </c>
      <c r="E478" s="5" t="n">
        <v>14442350000</v>
      </c>
      <c r="F478" s="5" t="n">
        <v>26235029000</v>
      </c>
      <c r="G478" s="5" t="n">
        <v>2678180000</v>
      </c>
      <c r="H478" s="5" t="n">
        <v>29884599000</v>
      </c>
      <c r="I478" s="5" t="n">
        <v>2929241000</v>
      </c>
      <c r="J478" s="4" t="n">
        <v>0.9216999411582947</v>
      </c>
      <c r="K478" s="4" t="n">
        <v>1.015899896621704</v>
      </c>
      <c r="L478" s="4" t="n">
        <v>0.1020999997854233</v>
      </c>
      <c r="M478" t="inlineStr">
        <is>
          <t>홍기영/홍창완</t>
        </is>
      </c>
      <c r="N478" t="inlineStr">
        <is>
          <t>031-905-6126</t>
        </is>
      </c>
      <c r="O478" t="inlineStr">
        <is>
          <t>031-905-6120</t>
        </is>
      </c>
      <c r="P478" s="3" t="n"/>
      <c r="Q478" t="inlineStr">
        <is>
          <t>1288135150</t>
        </is>
      </c>
      <c r="R478" t="inlineStr">
        <is>
          <t>1159110019458</t>
        </is>
      </c>
      <c r="S478" t="inlineStr">
        <is>
          <t>대상아님</t>
        </is>
      </c>
      <c r="T478" t="inlineStr">
        <is>
          <t>일반법인</t>
        </is>
      </c>
      <c r="U478" t="inlineStr">
        <is>
          <t>중소기업</t>
        </is>
      </c>
      <c r="V478" t="inlineStr">
        <is>
          <t>외부감사대상</t>
        </is>
      </c>
      <c r="W478" s="6" t="inlineStr">
        <is>
          <t>1998-08-07</t>
        </is>
      </c>
      <c r="X478" t="inlineStr">
        <is>
          <t>KRI:10G4679100</t>
        </is>
      </c>
      <c r="Y478" t="inlineStr">
        <is>
          <t>재생용 재료 수집 및 판매업</t>
        </is>
      </c>
      <c r="Z478" t="inlineStr">
        <is>
          <t>파지 도소매/재생재료 제조/부동산 임대,매매/폐기물 수집,운반</t>
        </is>
      </c>
      <c r="AA478" t="inlineStr">
        <is>
          <t>경기 고양시 일산동구 장항동 544-8번지</t>
        </is>
      </c>
      <c r="AB478" t="inlineStr">
        <is>
          <t>경기 고양시 일산동구 장대길 160-10</t>
        </is>
      </c>
    </row>
    <row r="479" ht="19.2" customHeight="1" s="1">
      <c r="A479" t="inlineStr">
        <is>
          <t>NICE:193625</t>
        </is>
      </c>
      <c r="B479" t="inlineStr">
        <is>
          <t>영림화학</t>
        </is>
      </c>
      <c r="C479" s="5" t="n">
        <v>346789642000</v>
      </c>
      <c r="D479" s="5" t="n">
        <v>264456052000</v>
      </c>
      <c r="E479" s="5" t="n">
        <v>82333591000</v>
      </c>
      <c r="F479" s="5" t="n">
        <v>58442094000</v>
      </c>
      <c r="G479" s="5" t="n">
        <v>6163710000</v>
      </c>
      <c r="H479" s="5" t="n">
        <v>64621160000</v>
      </c>
      <c r="I479" s="5" t="n">
        <v>5732897000</v>
      </c>
      <c r="J479" s="4" t="n">
        <v>0.07190000265836716</v>
      </c>
      <c r="K479" s="4" t="n">
        <v>3.212000131607056</v>
      </c>
      <c r="L479" s="4" t="n">
        <v>0.1054999977350235</v>
      </c>
      <c r="M479" t="inlineStr">
        <is>
          <t>황복현</t>
        </is>
      </c>
      <c r="N479" t="inlineStr">
        <is>
          <t>032-577-4455</t>
        </is>
      </c>
      <c r="O479" t="inlineStr">
        <is>
          <t>032-578-4455</t>
        </is>
      </c>
      <c r="P479" s="3">
        <f>HYPERLINK("http://company.yl.co.kr", "http://company.yl.co.kr")</f>
        <v/>
      </c>
      <c r="Q479" t="inlineStr">
        <is>
          <t>1378140827</t>
        </is>
      </c>
      <c r="R479" t="inlineStr">
        <is>
          <t>1246110268612</t>
        </is>
      </c>
      <c r="S479" t="inlineStr">
        <is>
          <t>대상아님</t>
        </is>
      </c>
      <c r="T479" t="inlineStr">
        <is>
          <t>일반법인</t>
        </is>
      </c>
      <c r="U479" t="inlineStr">
        <is>
          <t>중소기업</t>
        </is>
      </c>
      <c r="V479" t="inlineStr">
        <is>
          <t>외부감사대상</t>
        </is>
      </c>
      <c r="W479" s="6" t="inlineStr">
        <is>
          <t>2001-11-21</t>
        </is>
      </c>
      <c r="X479" t="inlineStr">
        <is>
          <t>KRI:10C2222900</t>
        </is>
      </c>
      <c r="Y479" t="inlineStr">
        <is>
          <t>기타 건축용 플라스틱 조립제품 제조업</t>
        </is>
      </c>
      <c r="Z479" t="inlineStr">
        <is>
          <t>플라스틱,알루미늄,비철금속 제품 제조/플라스틱조립건구 도소매/창호공사/부동산 임대</t>
        </is>
      </c>
      <c r="AA479" t="inlineStr">
        <is>
          <t>인천 서구 석남동 642-3번지</t>
        </is>
      </c>
      <c r="AB479" t="inlineStr">
        <is>
          <t>인천 서구 북항로31번길 13</t>
        </is>
      </c>
    </row>
    <row r="480" ht="19.2" customHeight="1" s="1">
      <c r="A480" t="inlineStr">
        <is>
          <t>NICE:173790</t>
        </is>
      </c>
      <c r="B480" t="inlineStr">
        <is>
          <t>한남하이텍</t>
        </is>
      </c>
      <c r="C480" s="5" t="n">
        <v>58501449000</v>
      </c>
      <c r="D480" s="5" t="n">
        <v>25558180000</v>
      </c>
      <c r="E480" s="5" t="n">
        <v>32943269000</v>
      </c>
      <c r="F480" s="5" t="n">
        <v>52856915000</v>
      </c>
      <c r="G480" s="5" t="n">
        <v>10198860000</v>
      </c>
      <c r="H480" s="5" t="n">
        <v>47815093000</v>
      </c>
      <c r="I480" s="5" t="n">
        <v>8410738000</v>
      </c>
      <c r="J480" s="4" t="n">
        <v>1.817700028419495</v>
      </c>
      <c r="K480" s="4" t="n">
        <v>0.7757999897003174</v>
      </c>
      <c r="L480" s="4" t="n">
        <v>0.1929999887943268</v>
      </c>
      <c r="M480" t="inlineStr">
        <is>
          <t>최만묵</t>
        </is>
      </c>
      <c r="N480" t="inlineStr">
        <is>
          <t>041-881-0331</t>
        </is>
      </c>
      <c r="O480" t="inlineStr">
        <is>
          <t>041-881-0336</t>
        </is>
      </c>
      <c r="P480" s="3">
        <f>HYPERLINK("http://www.hannamht.com", "http://www.hannamht.com")</f>
        <v/>
      </c>
      <c r="Q480" t="inlineStr">
        <is>
          <t>1248155867</t>
        </is>
      </c>
      <c r="R480" t="inlineStr">
        <is>
          <t>1348110035065</t>
        </is>
      </c>
      <c r="S480" t="inlineStr">
        <is>
          <t>대상아님</t>
        </is>
      </c>
      <c r="T480" t="inlineStr">
        <is>
          <t>일반법인</t>
        </is>
      </c>
      <c r="U480" t="inlineStr">
        <is>
          <t>중소기업</t>
        </is>
      </c>
      <c r="V480" t="inlineStr">
        <is>
          <t>외부감사대상</t>
        </is>
      </c>
      <c r="W480" s="6" t="inlineStr">
        <is>
          <t>1998-02-04</t>
        </is>
      </c>
      <c r="X480" t="inlineStr">
        <is>
          <t>KRI:10C2049300</t>
        </is>
      </c>
      <c r="Y480" t="inlineStr">
        <is>
          <t>접착제 및 젤라틴 제조업</t>
        </is>
      </c>
      <c r="Z480" t="inlineStr">
        <is>
          <t>산업용 점착시트,접착제,접착테프 제조</t>
        </is>
      </c>
      <c r="AA480" t="inlineStr">
        <is>
          <t>충남 공주시 송선동 533-10번지</t>
        </is>
      </c>
      <c r="AB480" t="inlineStr">
        <is>
          <t>충남 공주시 송선농공단지길 23-25</t>
        </is>
      </c>
    </row>
    <row r="481" ht="19.2" customHeight="1" s="1">
      <c r="A481" t="inlineStr">
        <is>
          <t>NICE:C60113</t>
        </is>
      </c>
      <c r="B481" t="inlineStr">
        <is>
          <t>농업회사법인행복한농장</t>
        </is>
      </c>
      <c r="C481" s="5" t="n">
        <v>23342151000</v>
      </c>
      <c r="D481" s="5" t="n">
        <v>14014565000</v>
      </c>
      <c r="E481" s="5" t="n">
        <v>9327586000</v>
      </c>
      <c r="F481" s="5" t="n">
        <v>25987353000</v>
      </c>
      <c r="G481" s="5" t="n">
        <v>4455426000</v>
      </c>
      <c r="H481" s="5" t="n">
        <v>23402387000</v>
      </c>
      <c r="I481" s="5" t="n">
        <v>2470135000</v>
      </c>
      <c r="J481" s="4" t="n">
        <v>3.180799722671509</v>
      </c>
      <c r="K481" s="4" t="n">
        <v>1.502499938011169</v>
      </c>
      <c r="L481" s="4" t="n">
        <v>0.1713999956846237</v>
      </c>
      <c r="M481" t="inlineStr">
        <is>
          <t>김현섭</t>
        </is>
      </c>
      <c r="N481" t="inlineStr">
        <is>
          <t>063-453-8788</t>
        </is>
      </c>
      <c r="O481" t="inlineStr">
        <is>
          <t>063-453-8789</t>
        </is>
      </c>
      <c r="P481" s="3" t="n"/>
      <c r="Q481" t="inlineStr">
        <is>
          <t>4018127647</t>
        </is>
      </c>
      <c r="R481" t="inlineStr">
        <is>
          <t>2111110019415</t>
        </is>
      </c>
      <c r="S481" t="inlineStr">
        <is>
          <t>대상아님</t>
        </is>
      </c>
      <c r="T481" t="inlineStr">
        <is>
          <t>일반법인</t>
        </is>
      </c>
      <c r="U481" t="inlineStr">
        <is>
          <t>중소기업</t>
        </is>
      </c>
      <c r="V481" t="inlineStr">
        <is>
          <t>외부감사대상</t>
        </is>
      </c>
      <c r="W481" s="6" t="inlineStr">
        <is>
          <t>2005-05-27</t>
        </is>
      </c>
      <c r="X481" t="inlineStr">
        <is>
          <t>KRI:10A0122000</t>
        </is>
      </c>
      <c r="Y481" t="inlineStr">
        <is>
          <t>양돈업</t>
        </is>
      </c>
      <c r="Z481" t="inlineStr">
        <is>
          <t>양돈(종돈,비육돈)</t>
        </is>
      </c>
      <c r="AA481" t="inlineStr">
        <is>
          <t>전북 군산시 나포면 부곡리 568-6번지</t>
        </is>
      </c>
      <c r="AB481" t="inlineStr">
        <is>
          <t>전북 군산시 나포면 우곡제길 84-19</t>
        </is>
      </c>
    </row>
    <row r="482" ht="19.2" customHeight="1" s="1">
      <c r="A482" t="inlineStr">
        <is>
          <t>NICE:738441</t>
        </is>
      </c>
      <c r="B482" t="inlineStr">
        <is>
          <t>한국소방기구제작소</t>
        </is>
      </c>
      <c r="C482" s="5" t="n">
        <v>78539592000</v>
      </c>
      <c r="D482" s="5" t="n">
        <v>42917563000</v>
      </c>
      <c r="E482" s="5" t="n">
        <v>35622030000</v>
      </c>
      <c r="F482" s="5" t="n">
        <v>78340987000</v>
      </c>
      <c r="G482" s="5" t="n">
        <v>9030790000</v>
      </c>
      <c r="H482" s="5" t="n">
        <v>95727579000</v>
      </c>
      <c r="I482" s="5" t="n">
        <v>7469820000</v>
      </c>
      <c r="J482" s="4" t="n">
        <v>1.149499893188477</v>
      </c>
      <c r="K482" s="4" t="n">
        <v>1.204800009727478</v>
      </c>
      <c r="L482" s="4" t="n">
        <v>0.1152999922633171</v>
      </c>
      <c r="M482" t="inlineStr">
        <is>
          <t>정수현/정수환</t>
        </is>
      </c>
      <c r="N482" t="inlineStr">
        <is>
          <t>053-564-2201</t>
        </is>
      </c>
      <c r="O482" t="inlineStr">
        <is>
          <t>053-564-0708</t>
        </is>
      </c>
      <c r="P482" s="3">
        <f>HYPERLINK("http://www.koreafire.com", "http://www.koreafire.com")</f>
        <v/>
      </c>
      <c r="Q482" t="inlineStr">
        <is>
          <t>5038111626</t>
        </is>
      </c>
      <c r="R482" t="inlineStr">
        <is>
          <t>1701110041509</t>
        </is>
      </c>
      <c r="S482" t="inlineStr">
        <is>
          <t>대상아님</t>
        </is>
      </c>
      <c r="T482" t="inlineStr">
        <is>
          <t>일반법인</t>
        </is>
      </c>
      <c r="U482" t="inlineStr">
        <is>
          <t>중소기업</t>
        </is>
      </c>
      <c r="V482" t="inlineStr">
        <is>
          <t>외부감사대상</t>
        </is>
      </c>
      <c r="W482" s="6" t="inlineStr">
        <is>
          <t>1961-11-01</t>
        </is>
      </c>
      <c r="X482" t="inlineStr">
        <is>
          <t>KRI:10C2919300</t>
        </is>
      </c>
      <c r="Y482" t="inlineStr">
        <is>
          <t>분사기 및 소화기 제조업</t>
        </is>
      </c>
      <c r="Z482" t="inlineStr">
        <is>
          <t>소화기,분사기,자동차부품,전자부품실장기판 제조/소방시설공사/전자상거래/소프트웨어 개발,판매</t>
        </is>
      </c>
      <c r="AA482" t="inlineStr">
        <is>
          <t>대구 서구 중리동 1155번지</t>
        </is>
      </c>
      <c r="AB482" t="inlineStr">
        <is>
          <t>대구 서구 평리로29길 33</t>
        </is>
      </c>
    </row>
    <row r="483" ht="19.2" customHeight="1" s="1">
      <c r="A483" t="inlineStr">
        <is>
          <t>NICE:104084</t>
        </is>
      </c>
      <c r="B483" t="inlineStr">
        <is>
          <t>미래시스템</t>
        </is>
      </c>
      <c r="C483" s="5" t="n">
        <v>44383507000</v>
      </c>
      <c r="D483" s="5" t="n">
        <v>30007598000</v>
      </c>
      <c r="E483" s="5" t="n">
        <v>14375909000</v>
      </c>
      <c r="F483" s="5" t="n">
        <v>60497960000</v>
      </c>
      <c r="G483" s="5" t="n">
        <v>6870607000</v>
      </c>
      <c r="H483" s="5" t="n">
        <v>42931131000</v>
      </c>
      <c r="I483" s="5" t="n">
        <v>4342830000</v>
      </c>
      <c r="J483" s="4" t="n">
        <v>2.329099893569946</v>
      </c>
      <c r="K483" s="4" t="n">
        <v>2.087399959564209</v>
      </c>
      <c r="L483" s="4" t="n">
        <v>0.113599993288517</v>
      </c>
      <c r="M483" t="inlineStr">
        <is>
          <t>김상규</t>
        </is>
      </c>
      <c r="N483" t="inlineStr">
        <is>
          <t>042-939-4128</t>
        </is>
      </c>
      <c r="O483" t="inlineStr">
        <is>
          <t>042-936-7943</t>
        </is>
      </c>
      <c r="P483" s="3">
        <f>HYPERLINK("http://www.mrsys.co.kr", "http://www.mrsys.co.kr")</f>
        <v/>
      </c>
      <c r="Q483" t="inlineStr">
        <is>
          <t>3148114023</t>
        </is>
      </c>
      <c r="R483" t="inlineStr">
        <is>
          <t>1601110050932</t>
        </is>
      </c>
      <c r="S483" t="inlineStr">
        <is>
          <t>대상아님</t>
        </is>
      </c>
      <c r="T483" t="inlineStr">
        <is>
          <t>일반법인</t>
        </is>
      </c>
      <c r="U483" t="inlineStr">
        <is>
          <t>중소기업</t>
        </is>
      </c>
      <c r="V483" t="inlineStr">
        <is>
          <t>외부감사대상</t>
        </is>
      </c>
      <c r="W483" s="6" t="inlineStr">
        <is>
          <t>1995-11-16</t>
        </is>
      </c>
      <c r="X483" t="inlineStr">
        <is>
          <t>KRI:10C2721500</t>
        </is>
      </c>
      <c r="Y483" t="inlineStr">
        <is>
          <t>기기용 자동측정 및 제어장치 제조업</t>
        </is>
      </c>
      <c r="Z483" t="inlineStr">
        <is>
          <t>레이다시뮬레이타,전자전측정장치,유도무기 제조</t>
        </is>
      </c>
      <c r="AA483" t="inlineStr">
        <is>
          <t>대전 유성구 관평동 704번지</t>
        </is>
      </c>
      <c r="AB483" t="inlineStr">
        <is>
          <t>대전 유성구 테크노2로 80-27</t>
        </is>
      </c>
    </row>
    <row r="484" ht="19.2" customHeight="1" s="1">
      <c r="A484" t="inlineStr">
        <is>
          <t>NICE:372378</t>
        </is>
      </c>
      <c r="B484" t="inlineStr">
        <is>
          <t>마린글로리</t>
        </is>
      </c>
      <c r="C484" s="5" t="n">
        <v>43635303000</v>
      </c>
      <c r="D484" s="5" t="n">
        <v>9356950000</v>
      </c>
      <c r="E484" s="5" t="n">
        <v>34278353000</v>
      </c>
      <c r="F484" s="5" t="n">
        <v>34845119000</v>
      </c>
      <c r="G484" s="5" t="n">
        <v>5717754000</v>
      </c>
      <c r="H484" s="5" t="n">
        <v>30282689000</v>
      </c>
      <c r="I484" s="5" t="n">
        <v>1964536000</v>
      </c>
      <c r="J484" s="4" t="n">
        <v>10.19270038604736</v>
      </c>
      <c r="K484" s="4" t="n">
        <v>0.2729999721050262</v>
      </c>
      <c r="L484" s="4" t="n">
        <v>0.1640999913215637</v>
      </c>
      <c r="M484" t="inlineStr">
        <is>
          <t>조성종</t>
        </is>
      </c>
      <c r="N484" t="inlineStr">
        <is>
          <t>061-683-0691-4</t>
        </is>
      </c>
      <c r="O484" t="inlineStr">
        <is>
          <t>061-686-5900</t>
        </is>
      </c>
      <c r="P484" s="3">
        <f>HYPERLINK("http://www.marineglory.co.kr", "http://www.marineglory.co.kr")</f>
        <v/>
      </c>
      <c r="Q484" t="inlineStr">
        <is>
          <t>4178126833</t>
        </is>
      </c>
      <c r="R484" t="inlineStr">
        <is>
          <t>2062110024568</t>
        </is>
      </c>
      <c r="S484" t="inlineStr">
        <is>
          <t>대상아님</t>
        </is>
      </c>
      <c r="T484" t="inlineStr">
        <is>
          <t>일반법인</t>
        </is>
      </c>
      <c r="U484" t="inlineStr">
        <is>
          <t>중소기업</t>
        </is>
      </c>
      <c r="V484" t="inlineStr">
        <is>
          <t>외부감사대상</t>
        </is>
      </c>
      <c r="W484" s="6" t="inlineStr">
        <is>
          <t>2002-12-06</t>
        </is>
      </c>
      <c r="X484" t="inlineStr">
        <is>
          <t>KRI:10H5294200</t>
        </is>
      </c>
      <c r="Y484" t="inlineStr">
        <is>
          <t>수상 화물 취급업</t>
        </is>
      </c>
      <c r="Z484" t="inlineStr">
        <is>
          <t>화물 취급/기계 정비,보수/건설기계 대여/수출,수출 주선</t>
        </is>
      </c>
      <c r="AA484" t="inlineStr">
        <is>
          <t>전남 여수시 웅천동 1728-4번지</t>
        </is>
      </c>
      <c r="AB484" t="inlineStr">
        <is>
          <t>전남 여수시 신월로 112</t>
        </is>
      </c>
    </row>
    <row r="485" ht="19.2" customHeight="1" s="1">
      <c r="A485" t="inlineStr">
        <is>
          <t>NICE:087467</t>
        </is>
      </c>
      <c r="B485" t="inlineStr">
        <is>
          <t>태크마린</t>
        </is>
      </c>
      <c r="C485" s="5" t="n">
        <v>49071435000</v>
      </c>
      <c r="D485" s="5" t="n">
        <v>11226235000</v>
      </c>
      <c r="E485" s="5" t="n">
        <v>37845201000</v>
      </c>
      <c r="F485" s="5" t="n">
        <v>27567896000</v>
      </c>
      <c r="G485" s="5" t="n">
        <v>6371521000</v>
      </c>
      <c r="H485" s="5" t="n">
        <v>23084151000</v>
      </c>
      <c r="I485" s="5" t="n">
        <v>2302852000</v>
      </c>
      <c r="J485" s="4" t="n">
        <v>16.18589973449707</v>
      </c>
      <c r="K485" s="4" t="n">
        <v>0.2965999841690063</v>
      </c>
      <c r="L485" s="4" t="n">
        <v>0.231100007891655</v>
      </c>
      <c r="M485" t="inlineStr">
        <is>
          <t>조경훈</t>
        </is>
      </c>
      <c r="N485" t="inlineStr">
        <is>
          <t>02-776-2545</t>
        </is>
      </c>
      <c r="O485" t="inlineStr">
        <is>
          <t>02-774-0766</t>
        </is>
      </c>
      <c r="P485" s="3">
        <f>HYPERLINK("http://www.techmarine.co.kr", "http://www.techmarine.co.kr")</f>
        <v/>
      </c>
      <c r="Q485" t="inlineStr">
        <is>
          <t>1048137055</t>
        </is>
      </c>
      <c r="R485" t="inlineStr">
        <is>
          <t>1101110315823</t>
        </is>
      </c>
      <c r="S485" t="inlineStr">
        <is>
          <t>대상아님</t>
        </is>
      </c>
      <c r="T485" t="inlineStr">
        <is>
          <t>일반법인</t>
        </is>
      </c>
      <c r="U485" t="inlineStr">
        <is>
          <t>중소기업</t>
        </is>
      </c>
      <c r="V485" t="inlineStr">
        <is>
          <t>외부감사대상</t>
        </is>
      </c>
      <c r="W485" s="6" t="inlineStr">
        <is>
          <t>1982-03-26</t>
        </is>
      </c>
      <c r="X485" t="inlineStr">
        <is>
          <t>KRI:10H5011200</t>
        </is>
      </c>
      <c r="Y485" t="inlineStr">
        <is>
          <t>외항 화물 운송업</t>
        </is>
      </c>
      <c r="Z485" t="inlineStr">
        <is>
          <t>해상화물 운송(시멘트),선박 임대/사업 중개,주선</t>
        </is>
      </c>
      <c r="AA485" t="inlineStr">
        <is>
          <t>서울 중구 남대문로5가 120번지</t>
        </is>
      </c>
      <c r="AB485" t="inlineStr">
        <is>
          <t>서울 중구 소월로 10</t>
        </is>
      </c>
    </row>
    <row r="486" ht="19.2" customHeight="1" s="1">
      <c r="A486" t="inlineStr">
        <is>
          <t>NICE:236921</t>
        </is>
      </c>
      <c r="B486" t="inlineStr">
        <is>
          <t>성덕중공업</t>
        </is>
      </c>
      <c r="C486" s="5" t="n">
        <v>29839493000</v>
      </c>
      <c r="D486" s="5" t="n">
        <v>14807609000</v>
      </c>
      <c r="E486" s="5" t="n">
        <v>15031884000</v>
      </c>
      <c r="F486" s="5" t="n">
        <v>20823005000</v>
      </c>
      <c r="G486" s="5" t="n">
        <v>2804322000</v>
      </c>
      <c r="H486" s="5" t="n">
        <v>24793547000</v>
      </c>
      <c r="I486" s="5" t="n">
        <v>2474069000</v>
      </c>
      <c r="J486" s="4" t="n">
        <v>0.9793999791145325</v>
      </c>
      <c r="K486" s="4" t="n">
        <v>0.9850999712944031</v>
      </c>
      <c r="L486" s="4" t="n">
        <v>0.1347000002861023</v>
      </c>
      <c r="M486" t="inlineStr">
        <is>
          <t>손성기</t>
        </is>
      </c>
      <c r="N486" t="inlineStr">
        <is>
          <t>055-342-5215</t>
        </is>
      </c>
      <c r="O486" t="inlineStr">
        <is>
          <t>055-342-5206</t>
        </is>
      </c>
      <c r="P486" s="3">
        <f>HYPERLINK("http://www.sungduk.kr/", "http://www.sungduk.kr/")</f>
        <v/>
      </c>
      <c r="Q486" t="inlineStr">
        <is>
          <t>6158127964</t>
        </is>
      </c>
      <c r="R486" t="inlineStr">
        <is>
          <t>1955110058440</t>
        </is>
      </c>
      <c r="S486" t="inlineStr">
        <is>
          <t>대상아님</t>
        </is>
      </c>
      <c r="T486" t="inlineStr">
        <is>
          <t>일반법인</t>
        </is>
      </c>
      <c r="U486" t="inlineStr">
        <is>
          <t>중소기업</t>
        </is>
      </c>
      <c r="V486" t="inlineStr">
        <is>
          <t>외부감사대상</t>
        </is>
      </c>
      <c r="W486" s="6" t="inlineStr">
        <is>
          <t>2002-08-16</t>
        </is>
      </c>
      <c r="X486" t="inlineStr">
        <is>
          <t>KRI:10C3111400</t>
        </is>
      </c>
      <c r="Y486" t="inlineStr">
        <is>
          <t>선박 구성 부분품 제조업</t>
        </is>
      </c>
      <c r="Z486" t="inlineStr">
        <is>
          <t>조선기자재 제조</t>
        </is>
      </c>
      <c r="AA486" t="inlineStr">
        <is>
          <t>경남 김해시 한림면 퇴래리 83-3번지</t>
        </is>
      </c>
      <c r="AB486" t="inlineStr">
        <is>
          <t>경남 김해시 한림면 김해대로927번길 274</t>
        </is>
      </c>
    </row>
    <row r="487" ht="19.2" customHeight="1" s="1">
      <c r="A487" t="inlineStr">
        <is>
          <t>NICE:MH2828</t>
        </is>
      </c>
      <c r="B487" t="inlineStr">
        <is>
          <t>인천검단3차피에프브이</t>
        </is>
      </c>
      <c r="C487" s="5" t="n">
        <v>164424853000</v>
      </c>
      <c r="D487" s="5" t="n">
        <v>126908896000</v>
      </c>
      <c r="E487" s="5" t="n">
        <v>37515957000</v>
      </c>
      <c r="F487" s="5" t="n">
        <v>206498131000</v>
      </c>
      <c r="G487" s="5" t="n">
        <v>43821233000</v>
      </c>
      <c r="H487" s="5" t="n">
        <v>136211180000</v>
      </c>
      <c r="I487" s="5" t="n">
        <v>22566955000</v>
      </c>
      <c r="J487" s="4" t="n">
        <v>5.983799934387207</v>
      </c>
      <c r="K487" s="4" t="n">
        <v>3.382799863815308</v>
      </c>
      <c r="L487" s="4" t="n">
        <v>0.2121999859809875</v>
      </c>
      <c r="M487" t="inlineStr">
        <is>
          <t>노재영</t>
        </is>
      </c>
      <c r="N487" t="inlineStr">
        <is>
          <t>02-586-5400</t>
        </is>
      </c>
      <c r="O487" t="inlineStr">
        <is>
          <t>02-586-5401</t>
        </is>
      </c>
      <c r="P487" s="3" t="n"/>
      <c r="Q487" t="inlineStr">
        <is>
          <t>6738602023</t>
        </is>
      </c>
      <c r="R487" t="inlineStr">
        <is>
          <t>1201111133743</t>
        </is>
      </c>
      <c r="S487" t="inlineStr">
        <is>
          <t>대상아님</t>
        </is>
      </c>
      <c r="T487" t="inlineStr">
        <is>
          <t>일반법인</t>
        </is>
      </c>
      <c r="U487" t="inlineStr">
        <is>
          <t>중소기업</t>
        </is>
      </c>
      <c r="V487" t="inlineStr">
        <is>
          <t>외부감사대상</t>
        </is>
      </c>
      <c r="W487" s="6" t="inlineStr">
        <is>
          <t>2021-03-04</t>
        </is>
      </c>
      <c r="X487" t="inlineStr">
        <is>
          <t>KRI:10L6812100</t>
        </is>
      </c>
      <c r="Y487" t="inlineStr">
        <is>
          <t>주거용 건물 개발 및 공급업</t>
        </is>
      </c>
      <c r="Z487" t="inlineStr">
        <is>
          <t>부동산 개발,공급</t>
        </is>
      </c>
      <c r="AA487" t="inlineStr">
        <is>
          <t>인천 중구 중산동 1911-2번지 한신더휴스카이파크 상가동 106호</t>
        </is>
      </c>
      <c r="AB487" t="inlineStr">
        <is>
          <t>인천 중구 은하수로 229, 상가동 106호 (중산동,한신더휴스카이파크)</t>
        </is>
      </c>
    </row>
    <row r="488" s="1">
      <c r="A488" t="inlineStr">
        <is>
          <t>NICE:E48598</t>
        </is>
      </c>
      <c r="B488" t="inlineStr">
        <is>
          <t>델릭스</t>
        </is>
      </c>
      <c r="C488" s="5" t="n">
        <v>49623699000</v>
      </c>
      <c r="D488" s="5" t="n">
        <v>32775250000</v>
      </c>
      <c r="E488" s="5" t="n">
        <v>16848449000</v>
      </c>
      <c r="F488" s="5" t="n">
        <v>24092508000</v>
      </c>
      <c r="G488" s="5" t="n">
        <v>3506467000</v>
      </c>
      <c r="H488" s="5" t="n">
        <v>21102599000</v>
      </c>
      <c r="I488" s="5" t="n">
        <v>4444491000</v>
      </c>
      <c r="J488" s="4" t="n">
        <v>0.3490000069141388</v>
      </c>
      <c r="K488" s="4" t="n">
        <v>1.945299983024597</v>
      </c>
      <c r="L488" s="4" t="n">
        <v>0.1455000042915344</v>
      </c>
      <c r="M488" t="inlineStr">
        <is>
          <t>남석주</t>
        </is>
      </c>
      <c r="N488" t="inlineStr">
        <is>
          <t>055-282-5061</t>
        </is>
      </c>
      <c r="O488" t="inlineStr">
        <is>
          <t>055-282-5062</t>
        </is>
      </c>
      <c r="P488">
        <f>HYPERLINK("http://www.dellics.com", "http://www.dellics.com")</f>
        <v/>
      </c>
      <c r="Q488" t="inlineStr">
        <is>
          <t>6098601251</t>
        </is>
      </c>
      <c r="R488" t="inlineStr">
        <is>
          <t>1942110193657</t>
        </is>
      </c>
      <c r="S488" t="inlineStr">
        <is>
          <t>대상아님</t>
        </is>
      </c>
      <c r="T488" t="inlineStr">
        <is>
          <t>일반법인</t>
        </is>
      </c>
      <c r="U488" t="inlineStr">
        <is>
          <t>중소기업</t>
        </is>
      </c>
      <c r="V488" t="inlineStr">
        <is>
          <t>외부감사대상</t>
        </is>
      </c>
      <c r="W488" s="6" t="inlineStr">
        <is>
          <t>1995-09-01</t>
        </is>
      </c>
      <c r="X488" t="inlineStr">
        <is>
          <t>KRI:10C3031000</t>
        </is>
      </c>
      <c r="Y488" t="inlineStr">
        <is>
          <t>자동차 엔진용 신품 부품 제조업</t>
        </is>
      </c>
      <c r="Z488" t="inlineStr">
        <is>
          <t>자동차엔진용부품,자동차부품 제조</t>
        </is>
      </c>
      <c r="AA488" t="inlineStr">
        <is>
          <t>경남 창원시 마산합포구 진북면 신촌리 9-2번지</t>
        </is>
      </c>
      <c r="AB488" t="inlineStr">
        <is>
          <t>경남 창원시 마산합포구 진북면 진북신촌로 176</t>
        </is>
      </c>
    </row>
    <row r="489" ht="19.2" customHeight="1" s="1">
      <c r="A489" t="inlineStr">
        <is>
          <t>NICE:213282</t>
        </is>
      </c>
      <c r="B489" t="inlineStr">
        <is>
          <t>한국일신이온</t>
        </is>
      </c>
      <c r="C489" s="5" t="n">
        <v>12162292000</v>
      </c>
      <c r="D489" s="5" t="n">
        <v>2951025000</v>
      </c>
      <c r="E489" s="5" t="n">
        <v>9211268000</v>
      </c>
      <c r="F489" s="5" t="n">
        <v>21168047000</v>
      </c>
      <c r="G489" s="5" t="n">
        <v>3750869000</v>
      </c>
      <c r="H489" s="5" t="n">
        <v>21657174000</v>
      </c>
      <c r="I489" s="5" t="n">
        <v>3845447000</v>
      </c>
      <c r="J489" s="4" t="n">
        <v>3.699299812316895</v>
      </c>
      <c r="K489" s="4" t="n">
        <v>0.3203999996185303</v>
      </c>
      <c r="L489" s="4" t="n">
        <v>0.1771999895572662</v>
      </c>
      <c r="M489" t="inlineStr">
        <is>
          <t>나가이노부오</t>
        </is>
      </c>
      <c r="N489" t="inlineStr">
        <is>
          <t>031-273-1480</t>
        </is>
      </c>
      <c r="O489" t="inlineStr">
        <is>
          <t>031-273-1492</t>
        </is>
      </c>
      <c r="P489" s="3">
        <f>HYPERLINK("http://www.nissin-ion.co.jp", "http://www.nissin-ion.co.jp")</f>
        <v/>
      </c>
      <c r="Q489" t="inlineStr">
        <is>
          <t>1268166185</t>
        </is>
      </c>
      <c r="R489" t="inlineStr">
        <is>
          <t>1342110053811</t>
        </is>
      </c>
      <c r="S489" t="inlineStr">
        <is>
          <t>대상아님</t>
        </is>
      </c>
      <c r="T489" t="inlineStr">
        <is>
          <t>일반법인</t>
        </is>
      </c>
      <c r="U489" t="inlineStr">
        <is>
          <t>중소기업</t>
        </is>
      </c>
      <c r="V489" t="inlineStr">
        <is>
          <t>외부감사대상</t>
        </is>
      </c>
      <c r="W489" s="6" t="inlineStr">
        <is>
          <t>2002-10-10</t>
        </is>
      </c>
      <c r="X489" t="inlineStr">
        <is>
          <t>KRI:10G4659500</t>
        </is>
      </c>
      <c r="Y489" t="inlineStr">
        <is>
          <t>전기용 기계ㆍ장비 및 관련 기자재 도매업</t>
        </is>
      </c>
      <c r="Z489" t="inlineStr">
        <is>
          <t>반도체,액정제조장치 도소매,제조</t>
        </is>
      </c>
      <c r="AA489" t="inlineStr">
        <is>
          <t>경기 화성시 동탄구 반송동 92-7번지 스타프라자 11층</t>
        </is>
      </c>
      <c r="AB489" t="inlineStr">
        <is>
          <t>경기 화성시 동탄구 메타폴리스로 53, 11층 (반송동,스타프라자)</t>
        </is>
      </c>
    </row>
    <row r="490" s="1">
      <c r="A490" t="inlineStr">
        <is>
          <t>NICE:LG4104</t>
        </is>
      </c>
      <c r="B490" t="inlineStr">
        <is>
          <t>엔엔비코스메틱</t>
        </is>
      </c>
      <c r="C490" s="5" t="n">
        <v>8453947000</v>
      </c>
      <c r="D490" s="5" t="n">
        <v>3352188000</v>
      </c>
      <c r="E490" s="5" t="n">
        <v>5101758000</v>
      </c>
      <c r="F490" s="5" t="n">
        <v>40414841000</v>
      </c>
      <c r="G490" s="5" t="n">
        <v>5125808000</v>
      </c>
      <c r="H490" s="5" t="n">
        <v>18677201000</v>
      </c>
      <c r="I490" s="5" t="n">
        <v>1216537000</v>
      </c>
      <c r="J490" s="4" t="n">
        <v>2.584299802780151</v>
      </c>
      <c r="K490" s="4" t="n">
        <v>0.6570999622344971</v>
      </c>
      <c r="L490" s="4" t="n">
        <v>0.126800000667572</v>
      </c>
      <c r="M490" t="inlineStr">
        <is>
          <t>김태훈/최호진</t>
        </is>
      </c>
      <c r="Q490" t="inlineStr">
        <is>
          <t>2768801851</t>
        </is>
      </c>
      <c r="R490" t="inlineStr">
        <is>
          <t>1101117492632</t>
        </is>
      </c>
      <c r="S490" t="inlineStr">
        <is>
          <t>대상아님</t>
        </is>
      </c>
      <c r="T490" t="inlineStr">
        <is>
          <t>일반법인</t>
        </is>
      </c>
      <c r="U490" t="inlineStr">
        <is>
          <t>중소기업</t>
        </is>
      </c>
      <c r="V490" t="inlineStr">
        <is>
          <t>외부감사비대상</t>
        </is>
      </c>
      <c r="W490" s="6" t="inlineStr">
        <is>
          <t>2020-05-21</t>
        </is>
      </c>
      <c r="X490" t="inlineStr">
        <is>
          <t>KRI:10C2042300</t>
        </is>
      </c>
      <c r="Y490" t="inlineStr">
        <is>
          <t>화장품 제조업</t>
        </is>
      </c>
      <c r="Z490" t="inlineStr">
        <is>
          <t>화장품 제조업,화장품,무역업,전자상거래,부동산 전대업</t>
        </is>
      </c>
      <c r="AA490" t="inlineStr">
        <is>
          <t>서울 성동구 성수동2가 301-51번지 백영성수센터 1105호</t>
        </is>
      </c>
      <c r="AB490" t="inlineStr">
        <is>
          <t>서울 성동구 성수일로 56, 1105호 (성수동2가,백영성수센터)</t>
        </is>
      </c>
    </row>
    <row r="491" ht="19.2" customHeight="1" s="1">
      <c r="A491" t="inlineStr">
        <is>
          <t>NICE:098701</t>
        </is>
      </c>
      <c r="B491" t="inlineStr">
        <is>
          <t>제철세라믹</t>
        </is>
      </c>
      <c r="C491" s="5" t="n">
        <v>104210138000</v>
      </c>
      <c r="D491" s="5" t="n">
        <v>19673722000</v>
      </c>
      <c r="E491" s="5" t="n">
        <v>84536416000</v>
      </c>
      <c r="F491" s="5" t="n">
        <v>53535057000</v>
      </c>
      <c r="G491" s="5" t="n">
        <v>7980265000</v>
      </c>
      <c r="H491" s="5" t="n">
        <v>97510779000</v>
      </c>
      <c r="I491" s="5" t="n">
        <v>10178879000</v>
      </c>
      <c r="J491" s="4" t="n">
        <v>1.674499988555908</v>
      </c>
      <c r="K491" s="4" t="n">
        <v>0.2327000051736832</v>
      </c>
      <c r="L491" s="4" t="n">
        <v>0.1490999907255173</v>
      </c>
      <c r="M491" t="inlineStr">
        <is>
          <t>이석형</t>
        </is>
      </c>
      <c r="N491" t="inlineStr">
        <is>
          <t>051-977-5100</t>
        </is>
      </c>
      <c r="O491" t="inlineStr">
        <is>
          <t>051-977-5152</t>
        </is>
      </c>
      <c r="P491" s="3">
        <f>HYPERLINK("http://www.posceramics.co.kr", "http://www.posceramics.co.kr")</f>
        <v/>
      </c>
      <c r="Q491" t="inlineStr">
        <is>
          <t>5068104992</t>
        </is>
      </c>
      <c r="R491" t="inlineStr">
        <is>
          <t>1746110006111</t>
        </is>
      </c>
      <c r="S491" t="inlineStr">
        <is>
          <t>대상아님</t>
        </is>
      </c>
      <c r="T491" t="inlineStr">
        <is>
          <t>일반법인</t>
        </is>
      </c>
      <c r="U491" t="inlineStr">
        <is>
          <t>중소기업</t>
        </is>
      </c>
      <c r="V491" t="inlineStr">
        <is>
          <t>외부감사대상</t>
        </is>
      </c>
      <c r="W491" s="6" t="inlineStr">
        <is>
          <t>1987-05-25</t>
        </is>
      </c>
      <c r="X491" t="inlineStr">
        <is>
          <t>KRI:10C2399900</t>
        </is>
      </c>
      <c r="Y491" t="inlineStr">
        <is>
          <t>그 외 기타 분류 안된 비금속 광물제품 제조업</t>
        </is>
      </c>
      <c r="Z491" t="inlineStr">
        <is>
          <t>분쇄슬라그,비료,불연내외장재,시멘트,바인더,철강 제조/금속,비철금속원료 재활용처리</t>
        </is>
      </c>
      <c r="AA491" t="inlineStr">
        <is>
          <t>부산 해운대구 우동 1462번지 센텀그린 타워동 1801호</t>
        </is>
      </c>
      <c r="AB491" t="inlineStr">
        <is>
          <t>부산 해운대구 센텀중앙로 78, 1801호 (우동,센텀그린타워)</t>
        </is>
      </c>
    </row>
    <row r="492" ht="19.2" customHeight="1" s="1">
      <c r="A492" t="inlineStr">
        <is>
          <t>NICE:HV8188</t>
        </is>
      </c>
      <c r="B492" t="inlineStr">
        <is>
          <t>한성기업</t>
        </is>
      </c>
      <c r="C492" s="5" t="n">
        <v>96564594000</v>
      </c>
      <c r="D492" s="5" t="n">
        <v>86916469000</v>
      </c>
      <c r="E492" s="5" t="n">
        <v>9648124000</v>
      </c>
      <c r="F492" s="5" t="n">
        <v>21328332000</v>
      </c>
      <c r="G492" s="5" t="n">
        <v>2666196000</v>
      </c>
      <c r="H492" s="5" t="n">
        <v>77655143000</v>
      </c>
      <c r="I492" s="5" t="n">
        <v>5684919000</v>
      </c>
      <c r="J492" s="4" t="n">
        <v>0.07339999824762344</v>
      </c>
      <c r="K492" s="4" t="n">
        <v>9.008599281311035</v>
      </c>
      <c r="L492" s="4" t="n">
        <v>0.125</v>
      </c>
      <c r="M492" t="inlineStr">
        <is>
          <t>문재수</t>
        </is>
      </c>
      <c r="N492" t="inlineStr">
        <is>
          <t>032-565-9110</t>
        </is>
      </c>
      <c r="O492" t="inlineStr">
        <is>
          <t>032-565-9117</t>
        </is>
      </c>
      <c r="P492" s="3" t="n"/>
      <c r="Q492" t="inlineStr">
        <is>
          <t>2488800615</t>
        </is>
      </c>
      <c r="R492" t="inlineStr">
        <is>
          <t>1201110848567</t>
        </is>
      </c>
      <c r="S492" t="inlineStr">
        <is>
          <t>대상아님</t>
        </is>
      </c>
      <c r="T492" t="inlineStr">
        <is>
          <t>일반법인</t>
        </is>
      </c>
      <c r="U492" t="inlineStr">
        <is>
          <t>중소기업</t>
        </is>
      </c>
      <c r="V492" t="inlineStr">
        <is>
          <t>외부감사대상</t>
        </is>
      </c>
      <c r="W492" s="6" t="inlineStr">
        <is>
          <t>2016-11-15</t>
        </is>
      </c>
      <c r="X492" t="inlineStr">
        <is>
          <t>KRI:10E3823000</t>
        </is>
      </c>
      <c r="Y492" t="inlineStr">
        <is>
          <t>건설 폐기물 처리업</t>
        </is>
      </c>
      <c r="Z492" t="inlineStr">
        <is>
          <t>폐기물(건설) 중간처리,수집운반/석제품 제조/토목건축공사,토목공사,비계구조물해체공사/골재,모래,재활용토사 도소매</t>
        </is>
      </c>
      <c r="AA492" t="inlineStr">
        <is>
          <t>인천 서구 왕길동 64-501번지</t>
        </is>
      </c>
      <c r="AB492" t="inlineStr">
        <is>
          <t>인천 서구 원당대로 390</t>
        </is>
      </c>
    </row>
    <row r="493" ht="19.2" customHeight="1" s="1">
      <c r="A493" t="inlineStr">
        <is>
          <t>NICE:220422</t>
        </is>
      </c>
      <c r="B493" t="inlineStr">
        <is>
          <t>한국도요타쯔우쇼</t>
        </is>
      </c>
      <c r="C493" s="5" t="n">
        <v>33055076000</v>
      </c>
      <c r="D493" s="5" t="n">
        <v>19294522000</v>
      </c>
      <c r="E493" s="5" t="n">
        <v>13760555000</v>
      </c>
      <c r="F493" s="5" t="n">
        <v>21300674000</v>
      </c>
      <c r="G493" s="5" t="n">
        <v>6961123000</v>
      </c>
      <c r="H493" s="5" t="n">
        <v>21434449000</v>
      </c>
      <c r="I493" s="5" t="n">
        <v>8537559000</v>
      </c>
      <c r="J493" s="4" t="n">
        <v>1.405099868774414</v>
      </c>
      <c r="K493" s="4" t="n">
        <v>1.402199983596802</v>
      </c>
      <c r="L493" s="4" t="n">
        <v>0.3267999887466431</v>
      </c>
      <c r="M493" t="inlineStr">
        <is>
          <t>고토아키오</t>
        </is>
      </c>
      <c r="N493" t="inlineStr">
        <is>
          <t>02-6744-6744</t>
        </is>
      </c>
      <c r="O493" t="inlineStr">
        <is>
          <t>02-6744-6899</t>
        </is>
      </c>
      <c r="P493" s="3">
        <f>HYPERLINK("http://www.toyotatsusho.co.kr", "http://www.toyotatsusho.co.kr")</f>
        <v/>
      </c>
      <c r="Q493" t="inlineStr">
        <is>
          <t>2018180945</t>
        </is>
      </c>
      <c r="R493" t="inlineStr">
        <is>
          <t>1101112741745</t>
        </is>
      </c>
      <c r="S493" t="inlineStr">
        <is>
          <t>대상아님</t>
        </is>
      </c>
      <c r="T493" t="inlineStr">
        <is>
          <t>일반법인</t>
        </is>
      </c>
      <c r="U493" t="inlineStr">
        <is>
          <t>중소기업</t>
        </is>
      </c>
      <c r="V493" t="inlineStr">
        <is>
          <t>외부감사대상</t>
        </is>
      </c>
      <c r="W493" s="6" t="inlineStr">
        <is>
          <t>2003-03-20</t>
        </is>
      </c>
      <c r="X493" t="inlineStr">
        <is>
          <t>KRI:10G4610900</t>
        </is>
      </c>
      <c r="Y493" t="inlineStr">
        <is>
          <t>상품 종합 중개업</t>
        </is>
      </c>
      <c r="Z493" t="inlineStr">
        <is>
          <t>오파(금속,철강,산업용기계,자동차부품,산업용중간재),무역</t>
        </is>
      </c>
      <c r="AA493" t="inlineStr">
        <is>
          <t>서울 중구 수하동 67번지 미래에셋센터원웨스트타워 30층</t>
        </is>
      </c>
      <c r="AB493" t="inlineStr">
        <is>
          <t>서울 중구 을지로5길 26, 30층 (수하동,미래에셋 센터원 웨스트타워)</t>
        </is>
      </c>
    </row>
    <row r="494" ht="19.2" customHeight="1" s="1">
      <c r="A494" t="inlineStr">
        <is>
          <t>NICE:021878</t>
        </is>
      </c>
      <c r="B494" t="inlineStr">
        <is>
          <t>경승</t>
        </is>
      </c>
      <c r="C494" s="5" t="n">
        <v>120251473000</v>
      </c>
      <c r="D494" s="5" t="n">
        <v>38130863000</v>
      </c>
      <c r="E494" s="5" t="n">
        <v>82120610000</v>
      </c>
      <c r="F494" s="5" t="n">
        <v>156565812000</v>
      </c>
      <c r="G494" s="5" t="n">
        <v>16337089000</v>
      </c>
      <c r="H494" s="5" t="n">
        <v>201129477000</v>
      </c>
      <c r="I494" s="5" t="n">
        <v>29225112000</v>
      </c>
      <c r="J494" s="4" t="n">
        <v>1.886699914932251</v>
      </c>
      <c r="K494" s="4" t="n">
        <v>0.4643000066280365</v>
      </c>
      <c r="L494" s="4" t="n">
        <v>0.1042999997735023</v>
      </c>
      <c r="M494" t="inlineStr">
        <is>
          <t>김경배/김경아</t>
        </is>
      </c>
      <c r="N494" t="inlineStr">
        <is>
          <t>02-550-1414</t>
        </is>
      </c>
      <c r="O494" t="inlineStr">
        <is>
          <t>02-566-6867</t>
        </is>
      </c>
      <c r="P494" s="3">
        <f>HYPERLINK("http://www.kyungseung.com", "http://www.kyungseung.com")</f>
        <v/>
      </c>
      <c r="Q494" t="inlineStr">
        <is>
          <t>2198115334</t>
        </is>
      </c>
      <c r="R494" t="inlineStr">
        <is>
          <t>1101110999916</t>
        </is>
      </c>
      <c r="S494" t="inlineStr">
        <is>
          <t>대상아님</t>
        </is>
      </c>
      <c r="T494" t="inlineStr">
        <is>
          <t>일반법인</t>
        </is>
      </c>
      <c r="U494" t="inlineStr">
        <is>
          <t>중소기업</t>
        </is>
      </c>
      <c r="V494" t="inlineStr">
        <is>
          <t>외부감사대상</t>
        </is>
      </c>
      <c r="W494" s="6" t="inlineStr">
        <is>
          <t>1994-01-05</t>
        </is>
      </c>
      <c r="X494" t="inlineStr">
        <is>
          <t>KRI:10C1430000</t>
        </is>
      </c>
      <c r="Y494" t="inlineStr">
        <is>
          <t>편조의복 제조업</t>
        </is>
      </c>
      <c r="Z494" t="inlineStr">
        <is>
          <t>의류(여성니트) 제조,도매,무역</t>
        </is>
      </c>
      <c r="AA494" t="inlineStr">
        <is>
          <t>서울 강남구 대치동 960번지</t>
        </is>
      </c>
      <c r="AB494" t="inlineStr">
        <is>
          <t>서울 강남구 삼성로 408</t>
        </is>
      </c>
    </row>
    <row r="495" ht="19.2" customHeight="1" s="1">
      <c r="A495" t="inlineStr">
        <is>
          <t>NICE:484363</t>
        </is>
      </c>
      <c r="B495" t="inlineStr">
        <is>
          <t>코리아에어텍</t>
        </is>
      </c>
      <c r="C495" s="5" t="n">
        <v>75623663000</v>
      </c>
      <c r="D495" s="5" t="n">
        <v>44271924000</v>
      </c>
      <c r="E495" s="5" t="n">
        <v>31351739000</v>
      </c>
      <c r="F495" s="5" t="n">
        <v>60530479000</v>
      </c>
      <c r="G495" s="5" t="n">
        <v>7658192000</v>
      </c>
      <c r="H495" s="5" t="n">
        <v>52421794000</v>
      </c>
      <c r="I495" s="5" t="n">
        <v>5234374000</v>
      </c>
      <c r="J495" s="4" t="n">
        <v>0.2963999807834625</v>
      </c>
      <c r="K495" s="4" t="n">
        <v>1.412100076675415</v>
      </c>
      <c r="L495" s="4" t="n">
        <v>0.1264999955892563</v>
      </c>
      <c r="M495" t="inlineStr">
        <is>
          <t>채상수</t>
        </is>
      </c>
      <c r="N495" t="inlineStr">
        <is>
          <t>052-278-6700</t>
        </is>
      </c>
      <c r="O495" t="inlineStr">
        <is>
          <t>052-278-6729</t>
        </is>
      </c>
      <c r="P495" s="3" t="n"/>
      <c r="Q495" t="inlineStr">
        <is>
          <t>6108178037</t>
        </is>
      </c>
      <c r="R495" t="inlineStr">
        <is>
          <t>2301110114452</t>
        </is>
      </c>
      <c r="S495" t="inlineStr">
        <is>
          <t>대상아님</t>
        </is>
      </c>
      <c r="T495" t="inlineStr">
        <is>
          <t>일반법인</t>
        </is>
      </c>
      <c r="U495" t="inlineStr">
        <is>
          <t>중견기업</t>
        </is>
      </c>
      <c r="V495" t="inlineStr">
        <is>
          <t>외부감사대상</t>
        </is>
      </c>
      <c r="W495" s="6" t="inlineStr">
        <is>
          <t>2005-07-25</t>
        </is>
      </c>
      <c r="X495" t="inlineStr">
        <is>
          <t>KRI:10C2012100</t>
        </is>
      </c>
      <c r="Y495" t="inlineStr">
        <is>
          <t>산업용 가스 제조업</t>
        </is>
      </c>
      <c r="Z495" t="inlineStr">
        <is>
          <t>산업용가스(액체산소,질소,아르곤.기체질소) 제조,도소매</t>
        </is>
      </c>
      <c r="AA495" t="inlineStr">
        <is>
          <t>울산 울주군 온산읍 처용리 131번지</t>
        </is>
      </c>
      <c r="AB495" t="inlineStr">
        <is>
          <t>울산 울주군 온산읍 온산로 134</t>
        </is>
      </c>
    </row>
    <row r="496" ht="19.2" customHeight="1" s="1">
      <c r="A496" t="inlineStr">
        <is>
          <t>NICE:720496</t>
        </is>
      </c>
      <c r="B496" t="inlineStr">
        <is>
          <t>부관훼리</t>
        </is>
      </c>
      <c r="C496" s="5" t="n">
        <v>28756406000</v>
      </c>
      <c r="D496" s="5" t="n">
        <v>11268576000</v>
      </c>
      <c r="E496" s="5" t="n">
        <v>17487830000</v>
      </c>
      <c r="F496" s="5" t="n">
        <v>24888978000</v>
      </c>
      <c r="G496" s="5" t="n">
        <v>2497459000</v>
      </c>
      <c r="H496" s="5" t="n">
        <v>23729966000</v>
      </c>
      <c r="I496" s="5" t="n">
        <v>2316916000</v>
      </c>
      <c r="J496" s="4" t="n">
        <v>2.027199983596802</v>
      </c>
      <c r="K496" s="4" t="n">
        <v>0.6444000005722046</v>
      </c>
      <c r="L496" s="4" t="n">
        <v>0.1002999916672707</v>
      </c>
      <c r="M496" t="inlineStr">
        <is>
          <t>무라카미키요타카/시라하타마사미치</t>
        </is>
      </c>
      <c r="N496" t="inlineStr">
        <is>
          <t>051-463-3161</t>
        </is>
      </c>
      <c r="O496" t="inlineStr">
        <is>
          <t>051-466-7252</t>
        </is>
      </c>
      <c r="P496" s="3">
        <f>HYPERLINK("http://www.pukwan.co.kr", "http://www.pukwan.co.kr")</f>
        <v/>
      </c>
      <c r="Q496" t="inlineStr">
        <is>
          <t>6018103401</t>
        </is>
      </c>
      <c r="R496" t="inlineStr">
        <is>
          <t>1801110005511</t>
        </is>
      </c>
      <c r="S496" t="inlineStr">
        <is>
          <t>대상아님</t>
        </is>
      </c>
      <c r="T496" t="inlineStr">
        <is>
          <t>일반법인</t>
        </is>
      </c>
      <c r="U496" t="inlineStr">
        <is>
          <t>중소기업</t>
        </is>
      </c>
      <c r="V496" t="inlineStr">
        <is>
          <t>외부감사대상</t>
        </is>
      </c>
      <c r="W496" s="6" t="inlineStr">
        <is>
          <t>1969-08-30</t>
        </is>
      </c>
      <c r="X496" t="inlineStr">
        <is>
          <t>KRI:10H5011100</t>
        </is>
      </c>
      <c r="Y496" t="inlineStr">
        <is>
          <t>외항 여객 운송업</t>
        </is>
      </c>
      <c r="Z496" t="inlineStr">
        <is>
          <t>정기여객선,화물 운송</t>
        </is>
      </c>
      <c r="AA496" t="inlineStr">
        <is>
          <t>부산 동구 초량동 45-39번지 부산항국제여객터미널</t>
        </is>
      </c>
      <c r="AB496" t="inlineStr">
        <is>
          <t>부산 동구 충장대로 206 (초량동,부산항국제여객터미널)</t>
        </is>
      </c>
    </row>
    <row r="497" ht="19.2" customHeight="1" s="1">
      <c r="A497" t="inlineStr">
        <is>
          <t>NICE:253600</t>
        </is>
      </c>
      <c r="B497" t="inlineStr">
        <is>
          <t>성보잉크</t>
        </is>
      </c>
      <c r="C497" s="5" t="n">
        <v>67618212000</v>
      </c>
      <c r="D497" s="5" t="n">
        <v>6047540000</v>
      </c>
      <c r="E497" s="5" t="n">
        <v>61570672000</v>
      </c>
      <c r="F497" s="5" t="n">
        <v>60572805000</v>
      </c>
      <c r="G497" s="5" t="n">
        <v>6196251000</v>
      </c>
      <c r="H497" s="5" t="n">
        <v>59037684000</v>
      </c>
      <c r="I497" s="5" t="n">
        <v>5919382000</v>
      </c>
      <c r="J497" s="4" t="n">
        <v>6.22059965133667</v>
      </c>
      <c r="K497" s="4" t="n">
        <v>0.0981999933719635</v>
      </c>
      <c r="L497" s="4" t="n">
        <v>0.1022999957203865</v>
      </c>
      <c r="M497" t="inlineStr">
        <is>
          <t>이진택</t>
        </is>
      </c>
      <c r="N497" t="inlineStr">
        <is>
          <t>031-432-7521</t>
        </is>
      </c>
      <c r="O497" t="inlineStr">
        <is>
          <t>031-432-7526</t>
        </is>
      </c>
      <c r="P497" s="3">
        <f>HYPERLINK("http://www.sungboink.co.kr", "http://www.sungboink.co.kr")</f>
        <v/>
      </c>
      <c r="Q497" t="inlineStr">
        <is>
          <t>1368101495</t>
        </is>
      </c>
      <c r="R497" t="inlineStr">
        <is>
          <t>1244110008038</t>
        </is>
      </c>
      <c r="S497" t="inlineStr">
        <is>
          <t>대상아님</t>
        </is>
      </c>
      <c r="T497" t="inlineStr">
        <is>
          <t>일반법인</t>
        </is>
      </c>
      <c r="U497" t="inlineStr">
        <is>
          <t>중소기업</t>
        </is>
      </c>
      <c r="V497" t="inlineStr">
        <is>
          <t>외부감사대상</t>
        </is>
      </c>
      <c r="W497" s="6" t="inlineStr">
        <is>
          <t>1978-03-01</t>
        </is>
      </c>
      <c r="X497" t="inlineStr">
        <is>
          <t>KRI:10C2041300</t>
        </is>
      </c>
      <c r="Y497" t="inlineStr">
        <is>
          <t>인쇄잉크 및 회화용 물감 제조업</t>
        </is>
      </c>
      <c r="Z497" t="inlineStr">
        <is>
          <t>그라비아인쇄용잉크 제조/부동산 임대</t>
        </is>
      </c>
      <c r="AA497" t="inlineStr">
        <is>
          <t>경기 시흥시 정왕동 1252-2번지</t>
        </is>
      </c>
      <c r="AB497" t="inlineStr">
        <is>
          <t>경기 시흥시 옥구천서로 203</t>
        </is>
      </c>
    </row>
    <row r="498" ht="19.2" customHeight="1" s="1">
      <c r="A498" t="inlineStr">
        <is>
          <t>NICE:022229</t>
        </is>
      </c>
      <c r="B498" t="inlineStr">
        <is>
          <t>한발매스테크</t>
        </is>
      </c>
      <c r="C498" s="5" t="n">
        <v>51015622000</v>
      </c>
      <c r="D498" s="5" t="n">
        <v>20237267000</v>
      </c>
      <c r="E498" s="5" t="n">
        <v>30778355000</v>
      </c>
      <c r="F498" s="5" t="n">
        <v>20428392000</v>
      </c>
      <c r="G498" s="5" t="n">
        <v>2066027000</v>
      </c>
      <c r="H498" s="5" t="n">
        <v>29008952000</v>
      </c>
      <c r="I498" s="5" t="n">
        <v>2928869000</v>
      </c>
      <c r="J498" s="4" t="n">
        <v>1.062399983406067</v>
      </c>
      <c r="K498" s="4" t="n">
        <v>0.6574999690055847</v>
      </c>
      <c r="L498" s="4" t="n">
        <v>0.1010999977588654</v>
      </c>
      <c r="M498" t="inlineStr">
        <is>
          <t>이승원</t>
        </is>
      </c>
      <c r="N498" t="inlineStr">
        <is>
          <t>055-310-2100</t>
        </is>
      </c>
      <c r="O498" t="inlineStr">
        <is>
          <t>055-338-1917</t>
        </is>
      </c>
      <c r="P498" s="3">
        <f>HYPERLINK("http://www.hanbal.kr", "http://www.hanbal.kr")</f>
        <v/>
      </c>
      <c r="Q498" t="inlineStr">
        <is>
          <t>6158135557</t>
        </is>
      </c>
      <c r="R498" t="inlineStr">
        <is>
          <t>1955110070816</t>
        </is>
      </c>
      <c r="S498" t="inlineStr">
        <is>
          <t>대상아님</t>
        </is>
      </c>
      <c r="T498" t="inlineStr">
        <is>
          <t>일반법인</t>
        </is>
      </c>
      <c r="U498" t="inlineStr">
        <is>
          <t>중소기업</t>
        </is>
      </c>
      <c r="V498" t="inlineStr">
        <is>
          <t>외부감사대상</t>
        </is>
      </c>
      <c r="W498" s="6" t="inlineStr">
        <is>
          <t>1971-07-01</t>
        </is>
      </c>
      <c r="X498" t="inlineStr">
        <is>
          <t>KRI:10C2917500</t>
        </is>
      </c>
      <c r="Y498" t="inlineStr">
        <is>
          <t>액체 여과기 제조업</t>
        </is>
      </c>
      <c r="Z498" t="inlineStr">
        <is>
          <t>기계부속 제조/설비공사/부동산 임대</t>
        </is>
      </c>
      <c r="AA498" t="inlineStr">
        <is>
          <t>경남 김해시 주촌면 농소리 630-1번지</t>
        </is>
      </c>
      <c r="AB498" t="inlineStr">
        <is>
          <t>경남 김해시 주촌면 골든루트로66번길 46</t>
        </is>
      </c>
    </row>
    <row r="499" ht="19.2" customHeight="1" s="1">
      <c r="A499" t="inlineStr">
        <is>
          <t>NICE:HS9393</t>
        </is>
      </c>
      <c r="B499" t="inlineStr">
        <is>
          <t>도시와미래</t>
        </is>
      </c>
      <c r="C499" s="5" t="n">
        <v>122784273000</v>
      </c>
      <c r="D499" s="5" t="n">
        <v>101112544000</v>
      </c>
      <c r="E499" s="5" t="n">
        <v>21671729000</v>
      </c>
      <c r="F499" s="5" t="n">
        <v>132596345000</v>
      </c>
      <c r="G499" s="5" t="n">
        <v>26038636000</v>
      </c>
      <c r="H499" s="5" t="n">
        <v>85222935000</v>
      </c>
      <c r="I499" s="5" t="n">
        <v>15593081000</v>
      </c>
      <c r="J499" s="4" t="n">
        <v>1.164700031280518</v>
      </c>
      <c r="K499" s="4" t="n">
        <v>4.665599822998047</v>
      </c>
      <c r="L499" s="4" t="n">
        <v>0.196399986743927</v>
      </c>
      <c r="M499" t="inlineStr">
        <is>
          <t>현철민</t>
        </is>
      </c>
      <c r="N499" t="inlineStr">
        <is>
          <t>031-821-0955</t>
        </is>
      </c>
      <c r="O499" t="inlineStr">
        <is>
          <t>031-853-8478</t>
        </is>
      </c>
      <c r="P499" s="3" t="n"/>
      <c r="Q499" t="inlineStr">
        <is>
          <t>1898800316</t>
        </is>
      </c>
      <c r="R499" t="inlineStr">
        <is>
          <t>1101116144127</t>
        </is>
      </c>
      <c r="S499" t="inlineStr">
        <is>
          <t>대상아님</t>
        </is>
      </c>
      <c r="T499" t="inlineStr">
        <is>
          <t>일반법인</t>
        </is>
      </c>
      <c r="U499" t="inlineStr">
        <is>
          <t>중소기업</t>
        </is>
      </c>
      <c r="V499" t="inlineStr">
        <is>
          <t>외부감사대상</t>
        </is>
      </c>
      <c r="W499" s="6" t="inlineStr">
        <is>
          <t>2016-08-08</t>
        </is>
      </c>
      <c r="X499" t="inlineStr">
        <is>
          <t>KRI:10L6812100</t>
        </is>
      </c>
      <c r="Y499" t="inlineStr">
        <is>
          <t>주거용 건물 개발 및 공급업</t>
        </is>
      </c>
      <c r="Z499" t="inlineStr">
        <is>
          <t>부동산 개발,분양</t>
        </is>
      </c>
      <c r="AA499" t="inlineStr">
        <is>
          <t>경기 의정부시 금오동 470-1번지 파크프라자 304호,305호,306호</t>
        </is>
      </c>
      <c r="AB499" t="inlineStr">
        <is>
          <t>경기 의정부시 청사로47번길 26, 304호,305호,306호 (금오동,파크프라자)</t>
        </is>
      </c>
    </row>
    <row r="500" ht="19.2" customHeight="1" s="1">
      <c r="A500" t="inlineStr">
        <is>
          <t>NICE:HT0292</t>
        </is>
      </c>
      <c r="B500" t="inlineStr">
        <is>
          <t>러쉬엔터프라이즈</t>
        </is>
      </c>
      <c r="C500" s="5" t="n">
        <v>60130411000</v>
      </c>
      <c r="D500" s="5" t="n">
        <v>37621802000</v>
      </c>
      <c r="E500" s="5" t="n">
        <v>22508609000</v>
      </c>
      <c r="F500" s="5" t="n">
        <v>31134105000</v>
      </c>
      <c r="G500" s="5" t="n">
        <v>3127253000</v>
      </c>
      <c r="H500" s="5" t="n">
        <v>34579674000</v>
      </c>
      <c r="I500" s="5" t="n">
        <v>5318836000</v>
      </c>
      <c r="J500" s="4" t="n">
        <v>1.387199997901917</v>
      </c>
      <c r="K500" s="4" t="n">
        <v>1.67139995098114</v>
      </c>
      <c r="L500" s="4" t="n">
        <v>0.1004000008106232</v>
      </c>
      <c r="M500" t="inlineStr">
        <is>
          <t>신동휘</t>
        </is>
      </c>
      <c r="N500" t="inlineStr">
        <is>
          <t>051-413-9730</t>
        </is>
      </c>
      <c r="O500" t="inlineStr">
        <is>
          <t>051-413-9732</t>
        </is>
      </c>
      <c r="P500" s="3">
        <f>HYPERLINK("http://www.remsmarine.com", "http://www.remsmarine.com")</f>
        <v/>
      </c>
      <c r="Q500" t="inlineStr">
        <is>
          <t>2738800533</t>
        </is>
      </c>
      <c r="R500" t="inlineStr">
        <is>
          <t>1801111049493</t>
        </is>
      </c>
      <c r="S500" t="inlineStr">
        <is>
          <t>대상아님</t>
        </is>
      </c>
      <c r="T500" t="inlineStr">
        <is>
          <t>일반법인</t>
        </is>
      </c>
      <c r="U500" t="inlineStr">
        <is>
          <t>중소기업</t>
        </is>
      </c>
      <c r="V500" t="inlineStr">
        <is>
          <t>외부감사대상</t>
        </is>
      </c>
      <c r="W500" s="6" t="inlineStr">
        <is>
          <t>2016-08-12</t>
        </is>
      </c>
      <c r="X500" t="inlineStr">
        <is>
          <t>KRI:10G4659400</t>
        </is>
      </c>
      <c r="Y500" t="inlineStr">
        <is>
          <t>수송용 운송장비 도매업</t>
        </is>
      </c>
      <c r="Z500" t="inlineStr">
        <is>
          <t>선박기관부속품 도매/선박 수리/무역(수출)</t>
        </is>
      </c>
      <c r="AA500" t="inlineStr">
        <is>
          <t>부산 사하구 괴정동 250번지 5층</t>
        </is>
      </c>
      <c r="AB500" t="inlineStr">
        <is>
          <t>부산 사하구 낙동대로 164, 5층</t>
        </is>
      </c>
    </row>
    <row r="501" s="1">
      <c r="A501" t="inlineStr">
        <is>
          <t>NICE:174990</t>
        </is>
      </c>
      <c r="B501" t="inlineStr">
        <is>
          <t>레이저텍코리아</t>
        </is>
      </c>
      <c r="C501" s="5" t="n">
        <v>87684163000</v>
      </c>
      <c r="D501" s="5" t="n">
        <v>50090633000</v>
      </c>
      <c r="E501" s="5" t="n">
        <v>37593531000</v>
      </c>
      <c r="F501" s="5" t="n">
        <v>74174555000</v>
      </c>
      <c r="G501" s="5" t="n">
        <v>17849965000</v>
      </c>
      <c r="H501" s="5" t="n">
        <v>48808697000</v>
      </c>
      <c r="I501" s="5" t="n">
        <v>11062510000</v>
      </c>
      <c r="J501" s="4" t="n">
        <v>1.726799845695496</v>
      </c>
      <c r="K501" s="4" t="n">
        <v>1.33240008354187</v>
      </c>
      <c r="L501" s="4" t="n">
        <v>0.2405999898910522</v>
      </c>
      <c r="M501" t="inlineStr">
        <is>
          <t>임춘갑</t>
        </is>
      </c>
      <c r="N501" t="inlineStr">
        <is>
          <t>031-8015-0540</t>
        </is>
      </c>
      <c r="O501" t="inlineStr">
        <is>
          <t>031-8015-0541</t>
        </is>
      </c>
      <c r="P501">
        <f>HYPERLINK("http://www.lasertec.co.jp", "http://www.lasertec.co.jp")</f>
        <v/>
      </c>
      <c r="Q501" t="inlineStr">
        <is>
          <t>2208605864</t>
        </is>
      </c>
      <c r="R501" t="inlineStr">
        <is>
          <t>1101112169476</t>
        </is>
      </c>
      <c r="S501" t="inlineStr">
        <is>
          <t>대상아님</t>
        </is>
      </c>
      <c r="T501" t="inlineStr">
        <is>
          <t>일반법인</t>
        </is>
      </c>
      <c r="U501" t="inlineStr">
        <is>
          <t>중견기업</t>
        </is>
      </c>
      <c r="V501" t="inlineStr">
        <is>
          <t>외부감사대상</t>
        </is>
      </c>
      <c r="W501" s="6" t="inlineStr">
        <is>
          <t>2001-02-12</t>
        </is>
      </c>
      <c r="X501" t="inlineStr">
        <is>
          <t>KRI:10G4659500</t>
        </is>
      </c>
      <c r="Y501" t="inlineStr">
        <is>
          <t>전기용 기계ㆍ장비 및 관련 기자재 도매업</t>
        </is>
      </c>
      <c r="Z501" t="inlineStr">
        <is>
          <t>반도체(MASK결함검사기,C/F수정기),LCD 장비 판매,무역,유지보수</t>
        </is>
      </c>
      <c r="AA501" t="inlineStr">
        <is>
          <t>경기 화성시 동탄구 영천동 844-1번지</t>
        </is>
      </c>
      <c r="AB501" t="inlineStr">
        <is>
          <t>경기 화성시 동탄구 동탄영천로 150</t>
        </is>
      </c>
    </row>
    <row r="502" ht="19.2" customHeight="1" s="1">
      <c r="A502" t="inlineStr">
        <is>
          <t>NICE:227551</t>
        </is>
      </c>
      <c r="B502" t="inlineStr">
        <is>
          <t>수양켐텍</t>
        </is>
      </c>
      <c r="C502" s="5" t="n">
        <v>31750693000</v>
      </c>
      <c r="D502" s="5" t="n">
        <v>5150463000</v>
      </c>
      <c r="E502" s="5" t="n">
        <v>26600230000</v>
      </c>
      <c r="F502" s="5" t="n">
        <v>34478977000</v>
      </c>
      <c r="G502" s="5" t="n">
        <v>9041062000</v>
      </c>
      <c r="H502" s="5" t="n">
        <v>28914500000</v>
      </c>
      <c r="I502" s="5" t="n">
        <v>6356842000</v>
      </c>
      <c r="J502" s="4" t="n">
        <v>5.017799854278564</v>
      </c>
      <c r="K502" s="4" t="n">
        <v>0.1935999989509583</v>
      </c>
      <c r="L502" s="4" t="n">
        <v>0.2621999979019165</v>
      </c>
      <c r="M502" t="inlineStr">
        <is>
          <t>박득영/박범호</t>
        </is>
      </c>
      <c r="N502" t="inlineStr">
        <is>
          <t>041-338-3370-8</t>
        </is>
      </c>
      <c r="P502" s="3">
        <f>HYPERLINK("http://www.sooyangchem.com", "http://www.sooyangchem.com")</f>
        <v/>
      </c>
      <c r="Q502" t="inlineStr">
        <is>
          <t>2158644206</t>
        </is>
      </c>
      <c r="R502" t="inlineStr">
        <is>
          <t>1101112808280</t>
        </is>
      </c>
      <c r="S502" t="inlineStr">
        <is>
          <t>대상아님</t>
        </is>
      </c>
      <c r="T502" t="inlineStr">
        <is>
          <t>일반법인</t>
        </is>
      </c>
      <c r="U502" t="inlineStr">
        <is>
          <t>중소기업</t>
        </is>
      </c>
      <c r="V502" t="inlineStr">
        <is>
          <t>외부감사대상</t>
        </is>
      </c>
      <c r="W502" s="6" t="inlineStr">
        <is>
          <t>1999-09-27</t>
        </is>
      </c>
      <c r="X502" t="inlineStr">
        <is>
          <t>KRI:10C2042100</t>
        </is>
      </c>
      <c r="Y502" t="inlineStr">
        <is>
          <t>계면활성제 제조업</t>
        </is>
      </c>
      <c r="Z502" t="inlineStr">
        <is>
          <t>계면활성제,화공약품,세제류 제조/세제류 도매,무역/연구개발</t>
        </is>
      </c>
      <c r="AA502" t="inlineStr">
        <is>
          <t>충남 예산군 고덕면 오추리 830번지</t>
        </is>
      </c>
      <c r="AB502" t="inlineStr">
        <is>
          <t>충남 예산군 고덕면 예당산단4길 80</t>
        </is>
      </c>
    </row>
    <row r="503" s="1">
      <c r="A503" t="inlineStr">
        <is>
          <t>NICE:040217</t>
        </is>
      </c>
      <c r="B503" t="inlineStr">
        <is>
          <t>테크센드포토마스크</t>
        </is>
      </c>
      <c r="C503" s="5" t="n">
        <v>189315753000</v>
      </c>
      <c r="D503" s="5" t="n">
        <v>46014810000</v>
      </c>
      <c r="E503" s="5" t="n">
        <v>143300943000</v>
      </c>
      <c r="F503" s="5" t="n">
        <v>169760328000</v>
      </c>
      <c r="G503" s="5" t="n">
        <v>42633395000</v>
      </c>
      <c r="H503" s="5" t="n">
        <v>150879154000</v>
      </c>
      <c r="I503" s="5" t="n">
        <v>25182459000</v>
      </c>
      <c r="J503" s="4" t="n">
        <v>3.601099729537964</v>
      </c>
      <c r="K503" s="4" t="n">
        <v>0.3210999965667725</v>
      </c>
      <c r="L503" s="4" t="n">
        <v>0.2511000037193298</v>
      </c>
      <c r="M503" t="inlineStr">
        <is>
          <t>전찬욱</t>
        </is>
      </c>
      <c r="N503" t="inlineStr">
        <is>
          <t>031-630-1103</t>
        </is>
      </c>
      <c r="O503" t="inlineStr">
        <is>
          <t>031-630-1115</t>
        </is>
      </c>
      <c r="P503">
        <f>HYPERLINK("http://www.photomask.com", "http://www.photomask.com")</f>
        <v/>
      </c>
      <c r="Q503" t="inlineStr">
        <is>
          <t>1268121892</t>
        </is>
      </c>
      <c r="R503" t="inlineStr">
        <is>
          <t>1344110008094</t>
        </is>
      </c>
      <c r="S503" t="inlineStr">
        <is>
          <t>대상아님</t>
        </is>
      </c>
      <c r="T503" t="inlineStr">
        <is>
          <t>일반법인</t>
        </is>
      </c>
      <c r="U503" t="inlineStr">
        <is>
          <t>중견기업</t>
        </is>
      </c>
      <c r="V503" t="inlineStr">
        <is>
          <t>외부감사대상</t>
        </is>
      </c>
      <c r="W503" s="6" t="inlineStr">
        <is>
          <t>1995-08-31</t>
        </is>
      </c>
      <c r="X503" t="inlineStr">
        <is>
          <t>KRI:10C2612100</t>
        </is>
      </c>
      <c r="Y503" t="inlineStr">
        <is>
          <t>발광 다이오드 제조업</t>
        </is>
      </c>
      <c r="Z503" t="inlineStr">
        <is>
          <t>포토마스크 제조,도매/산업용기계장비 무역</t>
        </is>
      </c>
      <c r="AA503" t="inlineStr">
        <is>
          <t>경기 이천시 신둔면 수하리 345-1번지</t>
        </is>
      </c>
      <c r="AB503" t="inlineStr">
        <is>
          <t>경기 이천시 신둔면 원적로290번길 91</t>
        </is>
      </c>
    </row>
    <row r="504" ht="19.2" customHeight="1" s="1">
      <c r="A504" t="inlineStr">
        <is>
          <t>NICE:F29163</t>
        </is>
      </c>
      <c r="B504" t="inlineStr">
        <is>
          <t>에코월드이엔씨</t>
        </is>
      </c>
      <c r="C504" s="5" t="n">
        <v>82526811000</v>
      </c>
      <c r="D504" s="5" t="n">
        <v>73590689000</v>
      </c>
      <c r="E504" s="5" t="n">
        <v>8936122000</v>
      </c>
      <c r="F504" s="5" t="n">
        <v>78582765000</v>
      </c>
      <c r="G504" s="5" t="n">
        <v>22336634000</v>
      </c>
      <c r="H504" s="5" t="n">
        <v>75428213000</v>
      </c>
      <c r="I504" s="5" t="n">
        <v>13420113000</v>
      </c>
      <c r="J504" s="4" t="n">
        <v>1.128099918365479</v>
      </c>
      <c r="K504" s="4" t="n">
        <v>8.235199928283691</v>
      </c>
      <c r="L504" s="4" t="n">
        <v>0.284199982881546</v>
      </c>
      <c r="M504" t="inlineStr">
        <is>
          <t>이광규</t>
        </is>
      </c>
      <c r="N504" t="inlineStr">
        <is>
          <t>031-595-8482</t>
        </is>
      </c>
      <c r="O504" t="inlineStr">
        <is>
          <t>031-595-8481</t>
        </is>
      </c>
      <c r="P504" s="3">
        <f>HYPERLINK("http://www.ewenc.com", "http://www.ewenc.com")</f>
        <v/>
      </c>
      <c r="Q504" t="inlineStr">
        <is>
          <t>1228199836</t>
        </is>
      </c>
      <c r="R504" t="inlineStr">
        <is>
          <t>1201110461632</t>
        </is>
      </c>
      <c r="S504" t="inlineStr">
        <is>
          <t>대상아님</t>
        </is>
      </c>
      <c r="T504" t="inlineStr">
        <is>
          <t>일반법인</t>
        </is>
      </c>
      <c r="U504" t="inlineStr">
        <is>
          <t>중소기업</t>
        </is>
      </c>
      <c r="V504" t="inlineStr">
        <is>
          <t>외부감사대상</t>
        </is>
      </c>
      <c r="W504" s="6" t="inlineStr">
        <is>
          <t>2008-04-10</t>
        </is>
      </c>
      <c r="X504" t="inlineStr">
        <is>
          <t>KRI:10L6812100</t>
        </is>
      </c>
      <c r="Y504" t="inlineStr">
        <is>
          <t>주거용 건물 개발 및 공급업</t>
        </is>
      </c>
      <c r="Z504" t="inlineStr">
        <is>
          <t>부동산 시행/건축공사,주택공사</t>
        </is>
      </c>
      <c r="AA504" t="inlineStr">
        <is>
          <t>경기 남양주시 화도읍 마석우리 410-1번지 302호</t>
        </is>
      </c>
      <c r="AB504" t="inlineStr">
        <is>
          <t>경기 남양주시 화도읍 마석로 84, 302호</t>
        </is>
      </c>
    </row>
    <row r="505" ht="19.2" customHeight="1" s="1">
      <c r="A505" t="inlineStr">
        <is>
          <t>NICE:613290</t>
        </is>
      </c>
      <c r="B505" t="inlineStr">
        <is>
          <t>중앙청과</t>
        </is>
      </c>
      <c r="C505" s="5" t="n">
        <v>81680925000</v>
      </c>
      <c r="D505" s="5" t="n">
        <v>21914054000</v>
      </c>
      <c r="E505" s="5" t="n">
        <v>59766870000</v>
      </c>
      <c r="F505" s="5" t="n">
        <v>46615420000</v>
      </c>
      <c r="G505" s="5" t="n">
        <v>7788878000</v>
      </c>
      <c r="H505" s="5" t="n">
        <v>36693218000</v>
      </c>
      <c r="I505" s="5" t="n">
        <v>8594926000</v>
      </c>
      <c r="J505" s="4" t="n">
        <v>3.550100088119507</v>
      </c>
      <c r="K505" s="4" t="n">
        <v>0.3666999638080597</v>
      </c>
      <c r="L505" s="4" t="n">
        <v>0.1670999825000763</v>
      </c>
      <c r="M505" t="inlineStr">
        <is>
          <t>이원석</t>
        </is>
      </c>
      <c r="N505" t="inlineStr">
        <is>
          <t>02-3435-3741</t>
        </is>
      </c>
      <c r="O505" t="inlineStr">
        <is>
          <t>02-3435-3751</t>
        </is>
      </c>
      <c r="P505" s="3">
        <f>HYPERLINK("http://www.ejoongang.co.kr", "http://www.ejoongang.co.kr")</f>
        <v/>
      </c>
      <c r="Q505" t="inlineStr">
        <is>
          <t>2158100426</t>
        </is>
      </c>
      <c r="R505" t="inlineStr">
        <is>
          <t>1101110614209</t>
        </is>
      </c>
      <c r="S505" t="inlineStr">
        <is>
          <t>대상아님</t>
        </is>
      </c>
      <c r="T505" t="inlineStr">
        <is>
          <t>일반법인</t>
        </is>
      </c>
      <c r="U505" t="inlineStr">
        <is>
          <t>중소기업</t>
        </is>
      </c>
      <c r="V505" t="inlineStr">
        <is>
          <t>외부감사대상</t>
        </is>
      </c>
      <c r="W505" s="6" t="inlineStr">
        <is>
          <t>1989-03-09</t>
        </is>
      </c>
      <c r="X505" t="inlineStr">
        <is>
          <t>KRI:10G4610200</t>
        </is>
      </c>
      <c r="Y505" t="inlineStr">
        <is>
          <t>음ㆍ식료품 및 담배 중개업</t>
        </is>
      </c>
      <c r="Z505" t="inlineStr">
        <is>
          <t>청과물(과실,채소) 수탁판매</t>
        </is>
      </c>
      <c r="AA505" t="inlineStr">
        <is>
          <t>서울 송파구 가락동 600번지</t>
        </is>
      </c>
      <c r="AB505" t="inlineStr">
        <is>
          <t>서울 송파구 양재대로 932</t>
        </is>
      </c>
    </row>
    <row r="506" ht="19.2" customHeight="1" s="1">
      <c r="A506" t="inlineStr">
        <is>
          <t>NICE:IQ7539</t>
        </is>
      </c>
      <c r="B506" t="inlineStr">
        <is>
          <t>경기이엔티</t>
        </is>
      </c>
      <c r="C506" s="5" t="n">
        <v>34035364000</v>
      </c>
      <c r="D506" s="5" t="n">
        <v>9810084000</v>
      </c>
      <c r="E506" s="5" t="n">
        <v>24225280000</v>
      </c>
      <c r="F506" s="5" t="n">
        <v>32655419000</v>
      </c>
      <c r="G506" s="5" t="n">
        <v>4026204000</v>
      </c>
      <c r="H506" s="5" t="n">
        <v>26350881000</v>
      </c>
      <c r="I506" s="5" t="n">
        <v>3106146000</v>
      </c>
      <c r="J506" s="4" t="n">
        <v>1.52240002155304</v>
      </c>
      <c r="K506" s="4" t="n">
        <v>0.4050000011920929</v>
      </c>
      <c r="L506" s="4" t="n">
        <v>0.1232999935746193</v>
      </c>
      <c r="M506" t="inlineStr">
        <is>
          <t>이정환</t>
        </is>
      </c>
      <c r="N506" t="inlineStr">
        <is>
          <t>031-355-8060</t>
        </is>
      </c>
      <c r="O506" t="inlineStr">
        <is>
          <t>031-355-8062</t>
        </is>
      </c>
      <c r="P506" s="3">
        <f>HYPERLINK("http://www.wik.co.kr", "http://www.wik.co.kr")</f>
        <v/>
      </c>
      <c r="Q506" t="inlineStr">
        <is>
          <t>4428700791</t>
        </is>
      </c>
      <c r="R506" t="inlineStr">
        <is>
          <t>1348110410647</t>
        </is>
      </c>
      <c r="S506" t="inlineStr">
        <is>
          <t>대상아님</t>
        </is>
      </c>
      <c r="T506" t="inlineStr">
        <is>
          <t>일반법인</t>
        </is>
      </c>
      <c r="U506" t="inlineStr">
        <is>
          <t>중소기업</t>
        </is>
      </c>
      <c r="V506" t="inlineStr">
        <is>
          <t>외부감사대상</t>
        </is>
      </c>
      <c r="W506" s="6" t="inlineStr">
        <is>
          <t>2017-06-01</t>
        </is>
      </c>
      <c r="X506" t="inlineStr">
        <is>
          <t>KRI:10E3823000</t>
        </is>
      </c>
      <c r="Y506" t="inlineStr">
        <is>
          <t>건설 폐기물 처리업</t>
        </is>
      </c>
      <c r="Z506" t="inlineStr">
        <is>
          <t>건설 폐기물 중간처리,수집운반/석면해체제거공사/골재가공 제조</t>
        </is>
      </c>
      <c r="AA506" t="inlineStr">
        <is>
          <t>경기 화성시 만세구 남양읍 신남리 595-4번지</t>
        </is>
      </c>
      <c r="AB506" t="inlineStr">
        <is>
          <t>경기 화성시 만세구 남양읍 신남안길 251-95</t>
        </is>
      </c>
    </row>
    <row r="507" s="1">
      <c r="A507" t="inlineStr">
        <is>
          <t>NICE:954411</t>
        </is>
      </c>
      <c r="B507" t="inlineStr">
        <is>
          <t>디에이치피이엔지</t>
        </is>
      </c>
      <c r="C507" s="5" t="n">
        <v>31527236000</v>
      </c>
      <c r="D507" s="5" t="n">
        <v>13903547000</v>
      </c>
      <c r="E507" s="5" t="n">
        <v>17623688000</v>
      </c>
      <c r="F507" s="5" t="n">
        <v>28053445000</v>
      </c>
      <c r="G507" s="5" t="n">
        <v>3597340000</v>
      </c>
      <c r="H507" s="5" t="n">
        <v>25893880000</v>
      </c>
      <c r="I507" s="5" t="n">
        <v>2927674000</v>
      </c>
      <c r="J507" s="4" t="n">
        <v>1.278799891471863</v>
      </c>
      <c r="K507" s="4" t="n">
        <v>0.7888999581336975</v>
      </c>
      <c r="L507" s="4" t="n">
        <v>0.1281999945640564</v>
      </c>
      <c r="M507" t="inlineStr">
        <is>
          <t>송영호</t>
        </is>
      </c>
      <c r="N507" t="inlineStr">
        <is>
          <t>055-340-8807</t>
        </is>
      </c>
      <c r="O507" t="inlineStr">
        <is>
          <t>055-340-8804</t>
        </is>
      </c>
      <c r="P507">
        <f>HYPERLINK("http://www.dhpeng.com", "http://www.dhpeng.com")</f>
        <v/>
      </c>
      <c r="Q507" t="inlineStr">
        <is>
          <t>6068148024</t>
        </is>
      </c>
      <c r="R507" t="inlineStr">
        <is>
          <t>1801110140383</t>
        </is>
      </c>
      <c r="S507" t="inlineStr">
        <is>
          <t>대상아님</t>
        </is>
      </c>
      <c r="T507" t="inlineStr">
        <is>
          <t>일반법인</t>
        </is>
      </c>
      <c r="U507" t="inlineStr">
        <is>
          <t>중소기업</t>
        </is>
      </c>
      <c r="V507" t="inlineStr">
        <is>
          <t>외부감사대상</t>
        </is>
      </c>
      <c r="W507" s="6" t="inlineStr">
        <is>
          <t>1978-12-01</t>
        </is>
      </c>
      <c r="X507" t="inlineStr">
        <is>
          <t>KRI:10C2917600</t>
        </is>
      </c>
      <c r="Y507" t="inlineStr">
        <is>
          <t>증류기, 열교환기 및 가스발생기 제조업</t>
        </is>
      </c>
      <c r="Z507" t="inlineStr">
        <is>
          <t>열교환기,산업기계,고무제품 제조</t>
        </is>
      </c>
      <c r="AA507" t="inlineStr">
        <is>
          <t>경남 김해시 한림면 병동리 136-1번지</t>
        </is>
      </c>
      <c r="AB507" t="inlineStr">
        <is>
          <t>경남 김해시 한림면 김해대로1022번길 105</t>
        </is>
      </c>
    </row>
    <row r="508" ht="19.2" customHeight="1" s="1">
      <c r="A508" t="inlineStr">
        <is>
          <t>NICE:H28065</t>
        </is>
      </c>
      <c r="B508" t="inlineStr">
        <is>
          <t>스마트코리아피씨비</t>
        </is>
      </c>
      <c r="C508" s="5" t="n">
        <v>102621295000</v>
      </c>
      <c r="D508" s="5" t="n">
        <v>17448103000</v>
      </c>
      <c r="E508" s="5" t="n">
        <v>85173193000</v>
      </c>
      <c r="F508" s="5" t="n">
        <v>77616802000</v>
      </c>
      <c r="G508" s="5" t="n">
        <v>14962071000</v>
      </c>
      <c r="H508" s="5" t="n">
        <v>67052021000</v>
      </c>
      <c r="I508" s="5" t="n">
        <v>11574955000</v>
      </c>
      <c r="J508" s="4" t="n">
        <v>2.134900093078613</v>
      </c>
      <c r="K508" s="4" t="n">
        <v>0.2048999965190887</v>
      </c>
      <c r="L508" s="4" t="n">
        <v>0.1928000003099442</v>
      </c>
      <c r="M508" t="inlineStr">
        <is>
          <t>서재환</t>
        </is>
      </c>
      <c r="N508" t="inlineStr">
        <is>
          <t>031-431-0504</t>
        </is>
      </c>
      <c r="O508" t="inlineStr">
        <is>
          <t>031-431-0514</t>
        </is>
      </c>
      <c r="P508" s="3">
        <f>HYPERLINK("http://www.koreapcb.com", "http://www.koreapcb.com")</f>
        <v/>
      </c>
      <c r="Q508" t="inlineStr">
        <is>
          <t>1408146360</t>
        </is>
      </c>
      <c r="R508" t="inlineStr">
        <is>
          <t>1355110215505</t>
        </is>
      </c>
      <c r="S508" t="inlineStr">
        <is>
          <t>대상아님</t>
        </is>
      </c>
      <c r="T508" t="inlineStr">
        <is>
          <t>일반법인</t>
        </is>
      </c>
      <c r="U508" t="inlineStr">
        <is>
          <t>중소기업</t>
        </is>
      </c>
      <c r="V508" t="inlineStr">
        <is>
          <t>외부감사대상</t>
        </is>
      </c>
      <c r="W508" s="6" t="inlineStr">
        <is>
          <t>2010-08-16</t>
        </is>
      </c>
      <c r="X508" t="inlineStr">
        <is>
          <t>KRI:10C2622100</t>
        </is>
      </c>
      <c r="Y508" t="inlineStr">
        <is>
          <t>인쇄회로기판용 적층판 제조업</t>
        </is>
      </c>
      <c r="Z508" t="inlineStr">
        <is>
          <t>인쇄회로기판 제조/부동산 임대</t>
        </is>
      </c>
      <c r="AA508" t="inlineStr">
        <is>
          <t>경기 안산시 단원구 성곡동 646-4번지 반월공단</t>
        </is>
      </c>
      <c r="AB508" t="inlineStr">
        <is>
          <t>경기 안산시 단원구 만해로229번길 21, 반월공단</t>
        </is>
      </c>
    </row>
    <row r="509" s="1">
      <c r="A509" t="inlineStr">
        <is>
          <t>NICE:710288</t>
        </is>
      </c>
      <c r="B509" t="inlineStr">
        <is>
          <t>천경</t>
        </is>
      </c>
      <c r="C509" s="5" t="n">
        <v>429846746000</v>
      </c>
      <c r="D509" s="5" t="n">
        <v>201188156000</v>
      </c>
      <c r="E509" s="5" t="n">
        <v>228658590000</v>
      </c>
      <c r="F509" s="5" t="n">
        <v>35549208000</v>
      </c>
      <c r="G509" s="5" t="n">
        <v>6479849000</v>
      </c>
      <c r="H509" s="5" t="n">
        <v>432200236000</v>
      </c>
      <c r="I509" s="5" t="n">
        <v>29938223000</v>
      </c>
      <c r="J509" s="4" t="n">
        <v>0.6008999943733215</v>
      </c>
      <c r="K509" s="4" t="n">
        <v>0.8798999786376953</v>
      </c>
      <c r="L509" s="4" t="n">
        <v>0.1822999864816666</v>
      </c>
      <c r="M509" t="inlineStr">
        <is>
          <t>서성훈</t>
        </is>
      </c>
      <c r="N509" t="inlineStr">
        <is>
          <t>055-383-8625</t>
        </is>
      </c>
      <c r="O509" t="inlineStr">
        <is>
          <t>055-383-7159</t>
        </is>
      </c>
      <c r="P509">
        <f>HYPERLINK("http://www.ckco.biz", "http://www.ckco.biz")</f>
        <v/>
      </c>
      <c r="Q509" t="inlineStr">
        <is>
          <t>6078117733</t>
        </is>
      </c>
      <c r="R509" t="inlineStr">
        <is>
          <t>1801110020189</t>
        </is>
      </c>
      <c r="S509" t="inlineStr">
        <is>
          <t>대상아님</t>
        </is>
      </c>
      <c r="T509" t="inlineStr">
        <is>
          <t>일반법인</t>
        </is>
      </c>
      <c r="U509" t="inlineStr">
        <is>
          <t>중견기업</t>
        </is>
      </c>
      <c r="V509" t="inlineStr">
        <is>
          <t>외부감사대상</t>
        </is>
      </c>
      <c r="W509" s="6" t="inlineStr">
        <is>
          <t>1974-02-02</t>
        </is>
      </c>
      <c r="X509" t="inlineStr">
        <is>
          <t>KRI:10H5012200</t>
        </is>
      </c>
      <c r="Y509" t="inlineStr">
        <is>
          <t>내항 화물 운송업</t>
        </is>
      </c>
      <c r="Z509" t="inlineStr">
        <is>
          <t>콘테이너 운송,복합운송주선,특수화물차 운송/일반건축공사/건설기계 대여(건설)/항만하역/창고</t>
        </is>
      </c>
      <c r="AA509" t="inlineStr">
        <is>
          <t>경남 양산시 물금읍 증산리 1416번지</t>
        </is>
      </c>
      <c r="AB509" t="inlineStr">
        <is>
          <t>경남 양산시 물금읍 제방로 285</t>
        </is>
      </c>
    </row>
    <row r="510" ht="19.2" customHeight="1" s="1">
      <c r="A510" t="inlineStr">
        <is>
          <t>NICE:156434</t>
        </is>
      </c>
      <c r="B510" t="inlineStr">
        <is>
          <t>성화산업</t>
        </is>
      </c>
      <c r="C510" s="5" t="n">
        <v>134135056000</v>
      </c>
      <c r="D510" s="5" t="n">
        <v>30363812000</v>
      </c>
      <c r="E510" s="5" t="n">
        <v>103771244000</v>
      </c>
      <c r="F510" s="5" t="n">
        <v>100874468000</v>
      </c>
      <c r="G510" s="5" t="n">
        <v>23130840000</v>
      </c>
      <c r="H510" s="5" t="n">
        <v>114444823000</v>
      </c>
      <c r="I510" s="5" t="n">
        <v>30887867000</v>
      </c>
      <c r="J510" s="4" t="n">
        <v>3.368399858474731</v>
      </c>
      <c r="K510" s="4" t="n">
        <v>0.292600005865097</v>
      </c>
      <c r="L510" s="4" t="n">
        <v>0.2292999923229218</v>
      </c>
      <c r="M510" t="inlineStr">
        <is>
          <t>노준형</t>
        </is>
      </c>
      <c r="N510" t="inlineStr">
        <is>
          <t>055-970-0200</t>
        </is>
      </c>
      <c r="O510" t="inlineStr">
        <is>
          <t>055-758-2944</t>
        </is>
      </c>
      <c r="P510" s="3">
        <f>HYPERLINK("http://www.seonghwa.co.kr", "http://www.seonghwa.co.kr")</f>
        <v/>
      </c>
      <c r="Q510" t="inlineStr">
        <is>
          <t>1148165558</t>
        </is>
      </c>
      <c r="R510" t="inlineStr">
        <is>
          <t>1244110002006</t>
        </is>
      </c>
      <c r="S510" t="inlineStr">
        <is>
          <t>대상아님</t>
        </is>
      </c>
      <c r="T510" t="inlineStr">
        <is>
          <t>일반법인</t>
        </is>
      </c>
      <c r="U510" t="inlineStr">
        <is>
          <t>중소기업</t>
        </is>
      </c>
      <c r="V510" t="inlineStr">
        <is>
          <t>외부감사대상</t>
        </is>
      </c>
      <c r="W510" s="6" t="inlineStr">
        <is>
          <t>1983-08-02</t>
        </is>
      </c>
      <c r="X510" t="inlineStr">
        <is>
          <t>KRI:10C2511300</t>
        </is>
      </c>
      <c r="Y510" t="inlineStr">
        <is>
          <t>육상 금속 골조 구조재 제조업</t>
        </is>
      </c>
      <c r="Z510" t="inlineStr">
        <is>
          <t>건축용자재(파이프행거),공장가공배관,철골제품 제조,도매,수출,엔지니어링/부동산 임대/인력,장비 대여</t>
        </is>
      </c>
      <c r="AA510" t="inlineStr">
        <is>
          <t>경남 진주시 이반성면 길성리 957번지</t>
        </is>
      </c>
      <c r="AB510" t="inlineStr">
        <is>
          <t>경남 진주시 이반성면 진마대로2498번길 34-2</t>
        </is>
      </c>
    </row>
    <row r="511" ht="19.2" customHeight="1" s="1">
      <c r="A511" t="inlineStr">
        <is>
          <t>NICE:J27375</t>
        </is>
      </c>
      <c r="B511" t="inlineStr">
        <is>
          <t>에스제이코리아산업</t>
        </is>
      </c>
      <c r="C511" s="5" t="n">
        <v>63480813000</v>
      </c>
      <c r="D511" s="5" t="n">
        <v>38707362000</v>
      </c>
      <c r="E511" s="5" t="n">
        <v>24773451000</v>
      </c>
      <c r="F511" s="5" t="n">
        <v>25375892000</v>
      </c>
      <c r="G511" s="5" t="n">
        <v>4156866000</v>
      </c>
      <c r="H511" s="5" t="n">
        <v>25141177000</v>
      </c>
      <c r="I511" s="5" t="n">
        <v>1094997000</v>
      </c>
      <c r="J511" s="4" t="n">
        <v>1.844099998474121</v>
      </c>
      <c r="K511" s="4" t="n">
        <v>1.5625</v>
      </c>
      <c r="L511" s="4" t="n">
        <v>0.163799986243248</v>
      </c>
      <c r="M511" t="inlineStr">
        <is>
          <t>박현철</t>
        </is>
      </c>
      <c r="N511" t="inlineStr">
        <is>
          <t>070-4187-2919</t>
        </is>
      </c>
      <c r="O511" t="inlineStr">
        <is>
          <t>043-724-2919</t>
        </is>
      </c>
      <c r="P511" s="3">
        <f>HYPERLINK("http://www.sjkorea07.com", "http://www.sjkorea07.com")</f>
        <v/>
      </c>
      <c r="Q511" t="inlineStr">
        <is>
          <t>1208799303</t>
        </is>
      </c>
      <c r="R511" t="inlineStr">
        <is>
          <t>1101115154292</t>
        </is>
      </c>
      <c r="S511" t="inlineStr">
        <is>
          <t>대상아님</t>
        </is>
      </c>
      <c r="T511" t="inlineStr">
        <is>
          <t>일반법인</t>
        </is>
      </c>
      <c r="U511" t="inlineStr">
        <is>
          <t>중소기업</t>
        </is>
      </c>
      <c r="V511" t="inlineStr">
        <is>
          <t>외부감사대상</t>
        </is>
      </c>
      <c r="W511" s="6" t="inlineStr">
        <is>
          <t>2013-06-10</t>
        </is>
      </c>
      <c r="X511" t="inlineStr">
        <is>
          <t>KRI:10C2929900</t>
        </is>
      </c>
      <c r="Y511" t="inlineStr">
        <is>
          <t>그 외 기타 특수목적용 기계 제조업</t>
        </is>
      </c>
      <c r="Z511" t="inlineStr">
        <is>
          <t>기계(페기물,재활용처리,산업용),가공,재생플라스틱원료,전자부품스크랩 제조/무역/부동산임대/기계서비스</t>
        </is>
      </c>
      <c r="AA511" t="inlineStr">
        <is>
          <t>충북 충주시 주덕읍 대곡리 67-19번지</t>
        </is>
      </c>
      <c r="AB511" t="inlineStr">
        <is>
          <t>충북 충주시 주덕읍 상전2길 15</t>
        </is>
      </c>
    </row>
    <row r="512" s="1">
      <c r="A512" t="inlineStr">
        <is>
          <t>NICE:041781</t>
        </is>
      </c>
      <c r="B512" t="inlineStr">
        <is>
          <t>에이엠엠케이</t>
        </is>
      </c>
      <c r="C512" s="5" t="n">
        <v>82979993000</v>
      </c>
      <c r="D512" s="5" t="n">
        <v>34662438000</v>
      </c>
      <c r="E512" s="5" t="n">
        <v>48317555000</v>
      </c>
      <c r="F512" s="5" t="n">
        <v>84673991000</v>
      </c>
      <c r="G512" s="5" t="n">
        <v>17382774000</v>
      </c>
      <c r="H512" s="5" t="n">
        <v>71561959000</v>
      </c>
      <c r="I512" s="5" t="n">
        <v>7982274000</v>
      </c>
      <c r="J512" s="4" t="n">
        <v>1.875399947166443</v>
      </c>
      <c r="K512" s="4" t="n">
        <v>0.7173999547958374</v>
      </c>
      <c r="L512" s="4" t="n">
        <v>0.2053000032901764</v>
      </c>
      <c r="M512" t="inlineStr">
        <is>
          <t>남종철</t>
        </is>
      </c>
      <c r="N512" t="inlineStr">
        <is>
          <t>031-725-7516</t>
        </is>
      </c>
      <c r="O512" t="inlineStr">
        <is>
          <t>031-704-1857</t>
        </is>
      </c>
      <c r="P512">
        <f>HYPERLINK("http://www.ammk.co.kr", "http://www.ammk.co.kr")</f>
        <v/>
      </c>
      <c r="Q512" t="inlineStr">
        <is>
          <t>1298118606</t>
        </is>
      </c>
      <c r="R512" t="inlineStr">
        <is>
          <t>1101140026573</t>
        </is>
      </c>
      <c r="S512" t="inlineStr">
        <is>
          <t>대상아님</t>
        </is>
      </c>
      <c r="T512" t="inlineStr">
        <is>
          <t>일반법인</t>
        </is>
      </c>
      <c r="U512" t="inlineStr">
        <is>
          <t>중소기업</t>
        </is>
      </c>
      <c r="V512" t="inlineStr">
        <is>
          <t>외부감사대상</t>
        </is>
      </c>
      <c r="W512" s="6" t="inlineStr">
        <is>
          <t>1996-01-25</t>
        </is>
      </c>
      <c r="X512" t="inlineStr">
        <is>
          <t>KRI:10C2622100</t>
        </is>
      </c>
      <c r="Y512" t="inlineStr">
        <is>
          <t>인쇄회로기판용 적층판 제조업</t>
        </is>
      </c>
      <c r="Z512" t="inlineStr">
        <is>
          <t>적층판제품,산업용테프론,가정용 요업제품 제조/비전기식 주방용품,날붙이 도매,무역,전자상거래</t>
        </is>
      </c>
      <c r="AA512" t="inlineStr">
        <is>
          <t>경기 성남시 분당구 서현동 254-4번지 여암빌딩 4층</t>
        </is>
      </c>
      <c r="AB512" t="inlineStr">
        <is>
          <t>경기 성남시 분당구 황새울로351번길 10, 4층 (서현동,여암빌딩)</t>
        </is>
      </c>
    </row>
    <row r="513" ht="19.2" customHeight="1" s="1">
      <c r="A513" t="inlineStr">
        <is>
          <t>NICE:662348</t>
        </is>
      </c>
      <c r="B513" t="inlineStr">
        <is>
          <t>탱크테크</t>
        </is>
      </c>
      <c r="C513" s="5" t="n">
        <v>67334250000</v>
      </c>
      <c r="D513" s="5" t="n">
        <v>45965003000</v>
      </c>
      <c r="E513" s="5" t="n">
        <v>21369247000</v>
      </c>
      <c r="F513" s="5" t="n">
        <v>61375347000</v>
      </c>
      <c r="G513" s="5" t="n">
        <v>7566060000</v>
      </c>
      <c r="H513" s="5" t="n">
        <v>53851850000</v>
      </c>
      <c r="I513" s="5" t="n">
        <v>6911676000</v>
      </c>
      <c r="J513" s="4" t="n">
        <v>1.032799959182739</v>
      </c>
      <c r="K513" s="4" t="n">
        <v>2.151000022888184</v>
      </c>
      <c r="L513" s="4" t="n">
        <v>0.1232999935746193</v>
      </c>
      <c r="M513" t="inlineStr">
        <is>
          <t>주광일/김영한</t>
        </is>
      </c>
      <c r="N513" t="inlineStr">
        <is>
          <t>051-979-1611</t>
        </is>
      </c>
      <c r="O513" t="inlineStr">
        <is>
          <t>051-979-1601</t>
        </is>
      </c>
      <c r="P513" s="3">
        <f>HYPERLINK("http://www.tanktech.co.kr", "http://www.tanktech.co.kr")</f>
        <v/>
      </c>
      <c r="Q513" t="inlineStr">
        <is>
          <t>6228102199</t>
        </is>
      </c>
      <c r="R513" t="inlineStr">
        <is>
          <t>1342110004393</t>
        </is>
      </c>
      <c r="S513" t="inlineStr">
        <is>
          <t>대상아님</t>
        </is>
      </c>
      <c r="T513" t="inlineStr">
        <is>
          <t>일반법인</t>
        </is>
      </c>
      <c r="U513" t="inlineStr">
        <is>
          <t>중소기업</t>
        </is>
      </c>
      <c r="V513" t="inlineStr">
        <is>
          <t>외부감사대상</t>
        </is>
      </c>
      <c r="W513" s="6" t="inlineStr">
        <is>
          <t>1991-03-06</t>
        </is>
      </c>
      <c r="X513" t="inlineStr">
        <is>
          <t>KRI:10C3111400</t>
        </is>
      </c>
      <c r="Y513" t="inlineStr">
        <is>
          <t>선박 구성 부분품 제조업</t>
        </is>
      </c>
      <c r="Z513" t="inlineStr">
        <is>
          <t>선박 건조,열교환기,산업용기계 제조/무역/태양광 발전/부동산 임대</t>
        </is>
      </c>
      <c r="AA513" t="inlineStr">
        <is>
          <t>부산 강서구 녹산동 1333-5번지</t>
        </is>
      </c>
      <c r="AB513" t="inlineStr">
        <is>
          <t>부산 강서구 낙동남로533번길 15</t>
        </is>
      </c>
    </row>
    <row r="514" ht="19.2" customHeight="1" s="1">
      <c r="A514" t="inlineStr">
        <is>
          <t>NICE:322377</t>
        </is>
      </c>
      <c r="B514" t="inlineStr">
        <is>
          <t>송월</t>
        </is>
      </c>
      <c r="C514" s="5" t="n">
        <v>219480287000</v>
      </c>
      <c r="D514" s="5" t="n">
        <v>37377244000</v>
      </c>
      <c r="E514" s="5" t="n">
        <v>182103043000</v>
      </c>
      <c r="F514" s="5" t="n">
        <v>126872344000</v>
      </c>
      <c r="G514" s="5" t="n">
        <v>14735600000</v>
      </c>
      <c r="H514" s="5" t="n">
        <v>134441154000</v>
      </c>
      <c r="I514" s="5" t="n">
        <v>16427643000</v>
      </c>
      <c r="J514" s="4" t="n">
        <v>3.116099834442139</v>
      </c>
      <c r="K514" s="4" t="n">
        <v>0.2053000032901764</v>
      </c>
      <c r="L514" s="4" t="n">
        <v>0.1160999909043312</v>
      </c>
      <c r="M514" t="inlineStr">
        <is>
          <t>박병대</t>
        </is>
      </c>
      <c r="N514" t="inlineStr">
        <is>
          <t>055-911-1000</t>
        </is>
      </c>
      <c r="O514" t="inlineStr">
        <is>
          <t>055-911-0990</t>
        </is>
      </c>
      <c r="P514" s="3">
        <f>HYPERLINK("http://www.songwol.com", "http://www.songwol.com")</f>
        <v/>
      </c>
      <c r="Q514" t="inlineStr">
        <is>
          <t>6078117714</t>
        </is>
      </c>
      <c r="R514" t="inlineStr">
        <is>
          <t>1801110021799</t>
        </is>
      </c>
      <c r="S514" t="inlineStr">
        <is>
          <t>대상아님</t>
        </is>
      </c>
      <c r="T514" t="inlineStr">
        <is>
          <t>일반법인</t>
        </is>
      </c>
      <c r="U514" t="inlineStr">
        <is>
          <t>중소기업</t>
        </is>
      </c>
      <c r="V514" t="inlineStr">
        <is>
          <t>외부감사대상</t>
        </is>
      </c>
      <c r="W514" s="6" t="inlineStr">
        <is>
          <t>1949-10-15</t>
        </is>
      </c>
      <c r="X514" t="inlineStr">
        <is>
          <t>KRI:10C1399900</t>
        </is>
      </c>
      <c r="Y514" t="inlineStr">
        <is>
          <t>그 외 기타 분류 안된 섬유제품 제조업</t>
        </is>
      </c>
      <c r="Z514" t="inlineStr">
        <is>
          <t>직물제품,염색,타올 제조/섬유제품,우산 도소매/부동산 임대/산업용기계 임대,임가공</t>
        </is>
      </c>
      <c r="AA514" t="inlineStr">
        <is>
          <t>경남 양산시 유산동 250번지</t>
        </is>
      </c>
      <c r="AB514" t="inlineStr">
        <is>
          <t>경남 양산시 유산공단7길 45</t>
        </is>
      </c>
    </row>
    <row r="515" s="1">
      <c r="A515" t="inlineStr">
        <is>
          <t>NICE:H92851</t>
        </is>
      </c>
      <c r="B515" t="inlineStr">
        <is>
          <t>신안천사김</t>
        </is>
      </c>
      <c r="C515" s="5" t="n">
        <v>167075390000</v>
      </c>
      <c r="D515" s="5" t="n">
        <v>35644683000</v>
      </c>
      <c r="E515" s="5" t="n">
        <v>131430707000</v>
      </c>
      <c r="F515" s="5" t="n">
        <v>143402412000</v>
      </c>
      <c r="G515" s="5" t="n">
        <v>28746200000</v>
      </c>
      <c r="H515" s="5" t="n">
        <v>142383339000</v>
      </c>
      <c r="I515" s="5" t="n">
        <v>23052956000</v>
      </c>
      <c r="J515" s="4" t="n">
        <v>3.06850004196167</v>
      </c>
      <c r="K515" s="4" t="n">
        <v>0.2712000012397766</v>
      </c>
      <c r="L515" s="4" t="n">
        <v>0.2004999816417694</v>
      </c>
      <c r="M515" t="inlineStr">
        <is>
          <t>권동혁</t>
        </is>
      </c>
      <c r="N515" t="inlineStr">
        <is>
          <t>061-246-7312</t>
        </is>
      </c>
      <c r="O515" t="inlineStr">
        <is>
          <t>061-246-7311</t>
        </is>
      </c>
      <c r="P515">
        <f>HYPERLINK("http://www.kimnara.co.kr", "http://www.kimnara.co.kr")</f>
        <v/>
      </c>
      <c r="Q515" t="inlineStr">
        <is>
          <t>4118172566</t>
        </is>
      </c>
      <c r="R515" t="inlineStr">
        <is>
          <t>2011110036320</t>
        </is>
      </c>
      <c r="S515" t="inlineStr">
        <is>
          <t>대상아님</t>
        </is>
      </c>
      <c r="T515" t="inlineStr">
        <is>
          <t>일반법인</t>
        </is>
      </c>
      <c r="U515" t="inlineStr">
        <is>
          <t>중소기업</t>
        </is>
      </c>
      <c r="V515" t="inlineStr">
        <is>
          <t>외부감사대상</t>
        </is>
      </c>
      <c r="W515" s="6" t="inlineStr">
        <is>
          <t>2012-03-07</t>
        </is>
      </c>
      <c r="X515" t="inlineStr">
        <is>
          <t>KRI:10C1022000</t>
        </is>
      </c>
      <c r="Y515" t="inlineStr">
        <is>
          <t>수산식물 가공 및 저장 처리업</t>
        </is>
      </c>
      <c r="Z515" t="inlineStr">
        <is>
          <t>수산식물 가공,저장처리</t>
        </is>
      </c>
      <c r="AA515" t="inlineStr">
        <is>
          <t>전남 신안군 압해읍 학교리 132-9번지</t>
        </is>
      </c>
      <c r="AB515" t="inlineStr">
        <is>
          <t>전남 신안군 압해읍 복룡로 368-20</t>
        </is>
      </c>
    </row>
    <row r="516" ht="19.2" customHeight="1" s="1">
      <c r="A516" t="inlineStr">
        <is>
          <t>NICE:790028</t>
        </is>
      </c>
      <c r="B516" t="inlineStr">
        <is>
          <t>한국도심공항자산관리</t>
        </is>
      </c>
      <c r="C516" s="5" t="n">
        <v>285781649000</v>
      </c>
      <c r="D516" s="5" t="n">
        <v>60090265000</v>
      </c>
      <c r="E516" s="5" t="n">
        <v>225691384000</v>
      </c>
      <c r="F516" s="5" t="n">
        <v>86099545000</v>
      </c>
      <c r="G516" s="5" t="n">
        <v>21159985000</v>
      </c>
      <c r="H516" s="5" t="n">
        <v>90771891000</v>
      </c>
      <c r="I516" s="5" t="n">
        <v>21245230000</v>
      </c>
      <c r="J516" s="4" t="n">
        <v>2.190899848937988</v>
      </c>
      <c r="K516" s="4" t="n">
        <v>0.2662000060081482</v>
      </c>
      <c r="L516" s="4" t="n">
        <v>0.2457999885082245</v>
      </c>
      <c r="M516" t="inlineStr">
        <is>
          <t>김고현</t>
        </is>
      </c>
      <c r="N516" t="inlineStr">
        <is>
          <t>02-551-0077</t>
        </is>
      </c>
      <c r="O516" t="inlineStr">
        <is>
          <t>02-551-0803</t>
        </is>
      </c>
      <c r="P516" s="3">
        <f>HYPERLINK("http://www.caltasset.co.kr", "http://www.caltasset.co.kr")</f>
        <v/>
      </c>
      <c r="Q516" t="inlineStr">
        <is>
          <t>1208102048</t>
        </is>
      </c>
      <c r="R516" t="inlineStr">
        <is>
          <t>1101110274368</t>
        </is>
      </c>
      <c r="S516" t="inlineStr">
        <is>
          <t>대상아님</t>
        </is>
      </c>
      <c r="T516" t="inlineStr">
        <is>
          <t>일반법인</t>
        </is>
      </c>
      <c r="U516" t="inlineStr">
        <is>
          <t>중견기업</t>
        </is>
      </c>
      <c r="V516" t="inlineStr">
        <is>
          <t>외부감사대상</t>
        </is>
      </c>
      <c r="W516" s="6" t="inlineStr">
        <is>
          <t>1980-04-26</t>
        </is>
      </c>
      <c r="X516" t="inlineStr">
        <is>
          <t>KRI:10H5293100</t>
        </is>
      </c>
      <c r="Y516" t="inlineStr">
        <is>
          <t>공항 운영업</t>
        </is>
      </c>
      <c r="Z516" t="inlineStr">
        <is>
          <t>도심공항터미널/공항리무진버스 운행,항공 운송보조/여행사/부동산 임대,관리</t>
        </is>
      </c>
      <c r="AA516" t="inlineStr">
        <is>
          <t>서울 강남구 삼성동 159-6번지</t>
        </is>
      </c>
      <c r="AB516" t="inlineStr">
        <is>
          <t>서울 강남구 테헤란로87길 22</t>
        </is>
      </c>
    </row>
    <row r="517" ht="19.2" customHeight="1" s="1">
      <c r="A517" t="inlineStr">
        <is>
          <t>NICE:468698</t>
        </is>
      </c>
      <c r="B517" t="inlineStr">
        <is>
          <t>동화산업</t>
        </is>
      </c>
      <c r="C517" s="5" t="n">
        <v>24617461000</v>
      </c>
      <c r="D517" s="5" t="n">
        <v>6173274000</v>
      </c>
      <c r="E517" s="5" t="n">
        <v>18444187000</v>
      </c>
      <c r="F517" s="5" t="n">
        <v>24347689000</v>
      </c>
      <c r="G517" s="5" t="n">
        <v>3697950000</v>
      </c>
      <c r="H517" s="5" t="n">
        <v>19648753000</v>
      </c>
      <c r="I517" s="5" t="n">
        <v>5574951000</v>
      </c>
      <c r="J517" s="4" t="n">
        <v>2.331300020217896</v>
      </c>
      <c r="K517" s="4" t="n">
        <v>0.3347000181674957</v>
      </c>
      <c r="L517" s="4" t="n">
        <v>0.1518999934196472</v>
      </c>
      <c r="M517" t="inlineStr">
        <is>
          <t>이우각</t>
        </is>
      </c>
      <c r="N517" t="inlineStr">
        <is>
          <t>032-816-4457</t>
        </is>
      </c>
      <c r="O517" t="inlineStr">
        <is>
          <t>032-816-4463</t>
        </is>
      </c>
      <c r="P517" s="3">
        <f>HYPERLINK("http://www.dhmtech.com", "http://www.dhmtech.com")</f>
        <v/>
      </c>
      <c r="Q517" t="inlineStr">
        <is>
          <t>1318195853</t>
        </is>
      </c>
      <c r="R517" t="inlineStr">
        <is>
          <t>1201110398017</t>
        </is>
      </c>
      <c r="S517" t="inlineStr">
        <is>
          <t>대상아님</t>
        </is>
      </c>
      <c r="T517" t="inlineStr">
        <is>
          <t>일반법인</t>
        </is>
      </c>
      <c r="U517" t="inlineStr">
        <is>
          <t>중소기업</t>
        </is>
      </c>
      <c r="V517" t="inlineStr">
        <is>
          <t>외부감사대상</t>
        </is>
      </c>
      <c r="W517" s="6" t="inlineStr">
        <is>
          <t>2006-03-09</t>
        </is>
      </c>
      <c r="X517" t="inlineStr">
        <is>
          <t>KRI:10F4220100</t>
        </is>
      </c>
      <c r="Y517" t="inlineStr">
        <is>
          <t>배관 및 냉ㆍ난방 공사업</t>
        </is>
      </c>
      <c r="Z517" t="inlineStr">
        <is>
          <t>가스시설공사/배관자제 제조/사업시설관리/산업용기계,장비 임대</t>
        </is>
      </c>
      <c r="AA517" t="inlineStr">
        <is>
          <t>인천 남동구 고잔동 665-21번지</t>
        </is>
      </c>
      <c r="AB517" t="inlineStr">
        <is>
          <t>인천 남동구 남동동로124번길 25</t>
        </is>
      </c>
    </row>
    <row r="518" s="1">
      <c r="A518" t="inlineStr">
        <is>
          <t>NICE:E96481</t>
        </is>
      </c>
      <c r="B518" t="inlineStr">
        <is>
          <t>하모니렌트카</t>
        </is>
      </c>
      <c r="C518" s="5" t="n">
        <v>334286504000</v>
      </c>
      <c r="D518" s="5" t="n">
        <v>290662822000</v>
      </c>
      <c r="E518" s="5" t="n">
        <v>43623682000</v>
      </c>
      <c r="F518" s="5" t="n">
        <v>133840100000</v>
      </c>
      <c r="G518" s="5" t="n">
        <v>20864507000</v>
      </c>
      <c r="H518" s="5" t="n">
        <v>95322594000</v>
      </c>
      <c r="I518" s="5" t="n">
        <v>18895054000</v>
      </c>
      <c r="J518" s="4" t="n">
        <v>0.1982999891042709</v>
      </c>
      <c r="K518" s="4" t="n">
        <v>6.662999629974365</v>
      </c>
      <c r="L518" s="4" t="n">
        <v>0.1559000015258789</v>
      </c>
      <c r="M518" t="inlineStr">
        <is>
          <t>김위연</t>
        </is>
      </c>
      <c r="N518" t="inlineStr">
        <is>
          <t>02-1588-5802</t>
        </is>
      </c>
      <c r="O518" t="inlineStr">
        <is>
          <t>02-6442-7977</t>
        </is>
      </c>
      <c r="P518">
        <f>HYPERLINK("http://harmonyrentcar.com", "http://harmonyrentcar.com")</f>
        <v/>
      </c>
      <c r="Q518" t="inlineStr">
        <is>
          <t>1098631667</t>
        </is>
      </c>
      <c r="R518" t="inlineStr">
        <is>
          <t>1101114699603</t>
        </is>
      </c>
      <c r="S518" t="inlineStr">
        <is>
          <t>대상아님</t>
        </is>
      </c>
      <c r="T518" t="inlineStr">
        <is>
          <t>일반법인</t>
        </is>
      </c>
      <c r="U518" t="inlineStr">
        <is>
          <t>중소기업</t>
        </is>
      </c>
      <c r="V518" t="inlineStr">
        <is>
          <t>외부감사대상</t>
        </is>
      </c>
      <c r="W518" s="6" t="inlineStr">
        <is>
          <t>2011-10-04</t>
        </is>
      </c>
      <c r="X518" t="inlineStr">
        <is>
          <t>KRI:10N7611000</t>
        </is>
      </c>
      <c r="Y518" t="inlineStr">
        <is>
          <t>자동차 임대업</t>
        </is>
      </c>
      <c r="Z518" t="inlineStr">
        <is>
          <t>차량 대여/자동차렌트 리스중개</t>
        </is>
      </c>
      <c r="AA518" t="inlineStr">
        <is>
          <t>서울 강서구 가양동 1498번지 강서한강자이타워 비901호,비902호</t>
        </is>
      </c>
      <c r="AB518" t="inlineStr">
        <is>
          <t>서울 강서구 양천로 401, 비901호,비902호 (가양동,강서한강자이타워)</t>
        </is>
      </c>
    </row>
    <row r="519" s="1">
      <c r="A519" t="inlineStr">
        <is>
          <t>NICE:212323</t>
        </is>
      </c>
      <c r="B519" t="inlineStr">
        <is>
          <t>통해</t>
        </is>
      </c>
      <c r="C519" s="5" t="n">
        <v>15529241000</v>
      </c>
      <c r="D519" s="5" t="n">
        <v>8381888000</v>
      </c>
      <c r="E519" s="5" t="n">
        <v>7147353000</v>
      </c>
      <c r="F519" s="5" t="n">
        <v>20505870000</v>
      </c>
      <c r="G519" s="5" t="n">
        <v>2074982000</v>
      </c>
      <c r="H519" s="5" t="n">
        <v>12535216000</v>
      </c>
      <c r="I519" s="5" t="n">
        <v>1162373000</v>
      </c>
      <c r="J519" s="4" t="n">
        <v>6.304999828338623</v>
      </c>
      <c r="K519" s="4" t="n">
        <v>1.172699928283691</v>
      </c>
      <c r="L519" s="4" t="n">
        <v>0.1011999994516373</v>
      </c>
      <c r="M519" t="inlineStr">
        <is>
          <t>전용일</t>
        </is>
      </c>
      <c r="N519" t="inlineStr">
        <is>
          <t>02-2043-8111</t>
        </is>
      </c>
      <c r="O519" t="inlineStr">
        <is>
          <t>02-2043-7111</t>
        </is>
      </c>
      <c r="P519">
        <f>HYPERLINK("http://www.thgec.com", "http://www.thgec.com")</f>
        <v/>
      </c>
      <c r="Q519" t="inlineStr">
        <is>
          <t>2158197106</t>
        </is>
      </c>
      <c r="R519" t="inlineStr">
        <is>
          <t>1101112062050</t>
        </is>
      </c>
      <c r="S519" t="inlineStr">
        <is>
          <t>대상아님</t>
        </is>
      </c>
      <c r="T519" t="inlineStr">
        <is>
          <t>일반법인</t>
        </is>
      </c>
      <c r="U519" t="inlineStr">
        <is>
          <t>중소기업</t>
        </is>
      </c>
      <c r="V519" t="inlineStr">
        <is>
          <t>외부감사대상</t>
        </is>
      </c>
      <c r="W519" s="6" t="inlineStr">
        <is>
          <t>2000-09-01</t>
        </is>
      </c>
      <c r="X519" t="inlineStr">
        <is>
          <t>KRI:10F4231200</t>
        </is>
      </c>
      <c r="Y519" t="inlineStr">
        <is>
          <t>내부 전기배선 공사업</t>
        </is>
      </c>
      <c r="Z519" t="inlineStr">
        <is>
          <t>전기공사,정보통신공사업,태양광발전장치류 및 발전시스템 제조 및 판매, 설치업,배전반 및 전기 자동제어반, 환경제어기 제조 및 판매, 설치업,태양광, 풍력발</t>
        </is>
      </c>
      <c r="AA519" t="inlineStr">
        <is>
          <t>서울 송파구 문정동 642-3번지 문정에스케이브이1지엘메트로시티 C동 911호</t>
        </is>
      </c>
      <c r="AB519" t="inlineStr">
        <is>
          <t>서울 송파구 법원로 128, C동 911호 (문정동,문정에스케이브이1지엘메트로시티)</t>
        </is>
      </c>
    </row>
    <row r="520" ht="19.2" customHeight="1" s="1">
      <c r="A520" t="inlineStr">
        <is>
          <t>NICE:HW2351</t>
        </is>
      </c>
      <c r="B520" t="inlineStr">
        <is>
          <t>도이치오토월드</t>
        </is>
      </c>
      <c r="C520" s="5" t="n">
        <v>466078047000</v>
      </c>
      <c r="D520" s="5" t="n">
        <v>307653337000</v>
      </c>
      <c r="E520" s="5" t="n">
        <v>158424709000</v>
      </c>
      <c r="F520" s="5" t="n">
        <v>27351827000</v>
      </c>
      <c r="G520" s="5" t="n">
        <v>15548589000</v>
      </c>
      <c r="H520" s="5" t="n">
        <v>24794515000</v>
      </c>
      <c r="I520" s="5" t="n">
        <v>11425826000</v>
      </c>
      <c r="J520" s="4" t="n">
        <v>0.006199999712407589</v>
      </c>
      <c r="K520" s="4" t="n">
        <v>1.941999912261963</v>
      </c>
      <c r="L520" s="4" t="n">
        <v>0.5684999823570251</v>
      </c>
      <c r="M520" t="inlineStr">
        <is>
          <t>장준호/정동원</t>
        </is>
      </c>
      <c r="N520" t="inlineStr">
        <is>
          <t>031-8065-5608</t>
        </is>
      </c>
      <c r="O520" t="inlineStr">
        <is>
          <t>031-8065-5609</t>
        </is>
      </c>
      <c r="P520" s="3">
        <f>HYPERLINK("http://www.dautoworld.com", "http://www.dautoworld.com")</f>
        <v/>
      </c>
      <c r="Q520" t="inlineStr">
        <is>
          <t>3098600615</t>
        </is>
      </c>
      <c r="R520" t="inlineStr">
        <is>
          <t>1345110307494</t>
        </is>
      </c>
      <c r="S520" t="inlineStr">
        <is>
          <t>대상아님</t>
        </is>
      </c>
      <c r="T520" t="inlineStr">
        <is>
          <t>일반법인</t>
        </is>
      </c>
      <c r="U520" t="inlineStr">
        <is>
          <t>중견기업</t>
        </is>
      </c>
      <c r="V520" t="inlineStr">
        <is>
          <t>외부감사대상</t>
        </is>
      </c>
      <c r="W520" s="6" t="inlineStr">
        <is>
          <t>2016-11-29</t>
        </is>
      </c>
      <c r="X520" t="inlineStr">
        <is>
          <t>KRI:10L6812200</t>
        </is>
      </c>
      <c r="Y520" t="inlineStr">
        <is>
          <t>비주거용 건물 개발 및 공급업</t>
        </is>
      </c>
      <c r="Z520" t="inlineStr">
        <is>
          <t>부동산 개발,운영,임대</t>
        </is>
      </c>
      <c r="AA520" t="inlineStr">
        <is>
          <t>경기 용인시 기흥구 영덕동 1005번지 흥덕아이티밸리 타워동 2211호</t>
        </is>
      </c>
      <c r="AB520" t="inlineStr">
        <is>
          <t>경기 용인시 기흥구 흥덕1로 13, 타워동 2211호 (영덕동,흥덕아이티밸리)</t>
        </is>
      </c>
    </row>
    <row r="521" s="1">
      <c r="A521" t="inlineStr">
        <is>
          <t>NICE:489996</t>
        </is>
      </c>
      <c r="B521" t="inlineStr">
        <is>
          <t>디스커버믹스테크매뉴팩처링</t>
        </is>
      </c>
      <c r="C521" s="5" t="n">
        <v>74077713000</v>
      </c>
      <c r="D521" s="5" t="n">
        <v>69118160000</v>
      </c>
      <c r="E521" s="5" t="n">
        <v>4959553000</v>
      </c>
      <c r="F521" s="5" t="n">
        <v>55185504000</v>
      </c>
      <c r="G521" s="5" t="n">
        <v>6642761000</v>
      </c>
      <c r="H521" s="5" t="n">
        <v>50446315000</v>
      </c>
      <c r="I521" s="5" t="n">
        <v>7077132000</v>
      </c>
      <c r="J521" s="4" t="n">
        <v>1.029000043869019</v>
      </c>
      <c r="K521" s="4" t="n">
        <v>13.93639945983887</v>
      </c>
      <c r="L521" s="4" t="n">
        <v>0.120399996638298</v>
      </c>
      <c r="M521" t="inlineStr">
        <is>
          <t>박광희/다윈알로이스사우어</t>
        </is>
      </c>
      <c r="N521" t="inlineStr">
        <is>
          <t>070-4266-4800</t>
        </is>
      </c>
      <c r="O521" t="inlineStr">
        <is>
          <t>062-946-3504</t>
        </is>
      </c>
      <c r="P521">
        <f>HYPERLINK("http://www.discovermixtech.co.kr", "http://www.discovermixtech.co.kr")</f>
        <v/>
      </c>
      <c r="Q521" t="inlineStr">
        <is>
          <t>1078657787</t>
        </is>
      </c>
      <c r="R521" t="inlineStr">
        <is>
          <t>1101113134981</t>
        </is>
      </c>
      <c r="S521" t="inlineStr">
        <is>
          <t>대상아님</t>
        </is>
      </c>
      <c r="T521" t="inlineStr">
        <is>
          <t>일반법인</t>
        </is>
      </c>
      <c r="U521" t="inlineStr">
        <is>
          <t>중소기업</t>
        </is>
      </c>
      <c r="V521" t="inlineStr">
        <is>
          <t>외부감사대상</t>
        </is>
      </c>
      <c r="W521" s="6" t="inlineStr">
        <is>
          <t>2004-12-21</t>
        </is>
      </c>
      <c r="X521" t="inlineStr">
        <is>
          <t>KRI:10C3033200</t>
        </is>
      </c>
      <c r="Y521" t="inlineStr">
        <is>
          <t>자동차용 신품 전기장치 제조업</t>
        </is>
      </c>
      <c r="Z521" t="inlineStr">
        <is>
          <t>자동차용 전자배터리 제조/도소매</t>
        </is>
      </c>
      <c r="AA521" t="inlineStr">
        <is>
          <t>광주 광산구 옥동 1234-11번지 평동외국인전용공단</t>
        </is>
      </c>
      <c r="AB521" t="inlineStr">
        <is>
          <t>광주 광산구 평동산단로 249 (옥동,평동외국인전용공단)</t>
        </is>
      </c>
    </row>
    <row r="522" ht="19.2" customHeight="1" s="1">
      <c r="A522" t="inlineStr">
        <is>
          <t>NICE:385077</t>
        </is>
      </c>
      <c r="B522" t="inlineStr">
        <is>
          <t>한국스파이렉스사코</t>
        </is>
      </c>
      <c r="C522" s="5" t="n">
        <v>65391666000</v>
      </c>
      <c r="D522" s="5" t="n">
        <v>30766041000</v>
      </c>
      <c r="E522" s="5" t="n">
        <v>34625625000</v>
      </c>
      <c r="F522" s="5" t="n">
        <v>109703909000</v>
      </c>
      <c r="G522" s="5" t="n">
        <v>24080352000</v>
      </c>
      <c r="H522" s="5" t="n">
        <v>113874190000</v>
      </c>
      <c r="I522" s="5" t="n">
        <v>27692108000</v>
      </c>
      <c r="J522" s="4" t="n">
        <v>1.708199977874756</v>
      </c>
      <c r="K522" s="4" t="n">
        <v>0.8884999752044678</v>
      </c>
      <c r="L522" s="4" t="n">
        <v>0.2195000052452087</v>
      </c>
      <c r="M522" t="inlineStr">
        <is>
          <t>김창용/리수아이와</t>
        </is>
      </c>
      <c r="N522" t="inlineStr">
        <is>
          <t>02-3489-3489</t>
        </is>
      </c>
      <c r="O522" t="inlineStr">
        <is>
          <t>02-525-2279</t>
        </is>
      </c>
      <c r="P522" s="3">
        <f>HYPERLINK("http://www.spiraxsarco.com/kr", "http://www.spiraxsarco.com/kr")</f>
        <v/>
      </c>
      <c r="Q522" t="inlineStr">
        <is>
          <t>2148144547</t>
        </is>
      </c>
      <c r="R522" t="inlineStr">
        <is>
          <t>1201110009664</t>
        </is>
      </c>
      <c r="S522" t="inlineStr">
        <is>
          <t>대상아님</t>
        </is>
      </c>
      <c r="T522" t="inlineStr">
        <is>
          <t>일반법인</t>
        </is>
      </c>
      <c r="U522" t="inlineStr">
        <is>
          <t>중견기업</t>
        </is>
      </c>
      <c r="V522" t="inlineStr">
        <is>
          <t>외부감사대상</t>
        </is>
      </c>
      <c r="W522" s="6" t="inlineStr">
        <is>
          <t>1978-05-26</t>
        </is>
      </c>
      <c r="X522" t="inlineStr">
        <is>
          <t>KRI:10C2721500</t>
        </is>
      </c>
      <c r="Y522" t="inlineStr">
        <is>
          <t>기기용 자동측정 및 제어장치 제조업</t>
        </is>
      </c>
      <c r="Z522" t="inlineStr">
        <is>
          <t>스팀트랩,에너지절약기기,감압밸브,펌프 제조/화학제품 도소매,무역/일반서적 출판</t>
        </is>
      </c>
      <c r="AA522" t="inlineStr">
        <is>
          <t>서울 동작구 사당동 1030-7번지</t>
        </is>
      </c>
      <c r="AB522" t="inlineStr">
        <is>
          <t>서울 동작구 사당로30길 99</t>
        </is>
      </c>
    </row>
    <row r="523" ht="19.2" customHeight="1" s="1">
      <c r="A523" t="inlineStr">
        <is>
          <t>NICE:H79999</t>
        </is>
      </c>
      <c r="B523" t="inlineStr">
        <is>
          <t>대원에스디</t>
        </is>
      </c>
      <c r="C523" s="5" t="n">
        <v>42936418000</v>
      </c>
      <c r="D523" s="5" t="n">
        <v>13105044000</v>
      </c>
      <c r="E523" s="5" t="n">
        <v>29831374000</v>
      </c>
      <c r="F523" s="5" t="n">
        <v>47331511000</v>
      </c>
      <c r="G523" s="5" t="n">
        <v>11873634000</v>
      </c>
      <c r="H523" s="5" t="n">
        <v>38153047000</v>
      </c>
      <c r="I523" s="5" t="n">
        <v>4161344000</v>
      </c>
      <c r="J523" s="4" t="n">
        <v>2.041199922561646</v>
      </c>
      <c r="K523" s="4" t="n">
        <v>0.439300000667572</v>
      </c>
      <c r="L523" s="4" t="n">
        <v>0.250900000333786</v>
      </c>
      <c r="M523" t="inlineStr">
        <is>
          <t>신재호</t>
        </is>
      </c>
      <c r="N523" t="inlineStr">
        <is>
          <t>053-581-4438</t>
        </is>
      </c>
      <c r="O523" t="inlineStr">
        <is>
          <t>053-581-4439</t>
        </is>
      </c>
      <c r="P523" s="3" t="n"/>
      <c r="Q523" t="inlineStr">
        <is>
          <t>5038196305</t>
        </is>
      </c>
      <c r="R523" t="inlineStr">
        <is>
          <t>1701110440272</t>
        </is>
      </c>
      <c r="S523" t="inlineStr">
        <is>
          <t>대상아님</t>
        </is>
      </c>
      <c r="T523" t="inlineStr">
        <is>
          <t>일반법인</t>
        </is>
      </c>
      <c r="U523" t="inlineStr">
        <is>
          <t>중소기업</t>
        </is>
      </c>
      <c r="V523" t="inlineStr">
        <is>
          <t>외부감사대상</t>
        </is>
      </c>
      <c r="W523" s="6" t="inlineStr">
        <is>
          <t>2011-09-29</t>
        </is>
      </c>
      <c r="X523" t="inlineStr">
        <is>
          <t>KRI:10C2721600</t>
        </is>
      </c>
      <c r="Y523" t="inlineStr">
        <is>
          <t>산업처리공정 제어장비 제조업</t>
        </is>
      </c>
      <c r="Z523" t="inlineStr">
        <is>
          <t>산업처리공정 제어장비,특수목적용기계,산업용로봇 제조</t>
        </is>
      </c>
      <c r="AA523" t="inlineStr">
        <is>
          <t>대구 달성군 다사읍 세천리 1670-7번지</t>
        </is>
      </c>
      <c r="AB523" t="inlineStr">
        <is>
          <t>대구 달성군 다사읍 세천로1길 88</t>
        </is>
      </c>
    </row>
    <row r="524" ht="19.2" customHeight="1" s="1">
      <c r="A524" t="inlineStr">
        <is>
          <t>NICE:153642</t>
        </is>
      </c>
      <c r="B524" t="inlineStr">
        <is>
          <t>케이엠알</t>
        </is>
      </c>
      <c r="C524" s="5" t="n">
        <v>30407977000</v>
      </c>
      <c r="D524" s="5" t="n">
        <v>15286748000</v>
      </c>
      <c r="E524" s="5" t="n">
        <v>15121229000</v>
      </c>
      <c r="F524" s="5" t="n">
        <v>46667648000</v>
      </c>
      <c r="G524" s="5" t="n">
        <v>5396884000</v>
      </c>
      <c r="H524" s="5" t="n">
        <v>46506819000</v>
      </c>
      <c r="I524" s="5" t="n">
        <v>3346582000</v>
      </c>
      <c r="J524" s="4" t="n">
        <v>2.087100028991699</v>
      </c>
      <c r="K524" s="4" t="n">
        <v>1.010899901390076</v>
      </c>
      <c r="L524" s="4" t="n">
        <v>0.1156000047922134</v>
      </c>
      <c r="M524" t="inlineStr">
        <is>
          <t>정동진/조연식</t>
        </is>
      </c>
      <c r="N524" t="inlineStr">
        <is>
          <t>031-386-2550</t>
        </is>
      </c>
      <c r="O524" t="inlineStr">
        <is>
          <t>031-386-2559</t>
        </is>
      </c>
      <c r="P524" s="3">
        <f>HYPERLINK("http://www.ikmr.com", "http://www.ikmr.com")</f>
        <v/>
      </c>
      <c r="Q524" t="inlineStr">
        <is>
          <t>1238154133</t>
        </is>
      </c>
      <c r="R524" t="inlineStr">
        <is>
          <t>1341110071500</t>
        </is>
      </c>
      <c r="S524" t="inlineStr">
        <is>
          <t>대상아님</t>
        </is>
      </c>
      <c r="T524" t="inlineStr">
        <is>
          <t>일반법인</t>
        </is>
      </c>
      <c r="U524" t="inlineStr">
        <is>
          <t>중소기업</t>
        </is>
      </c>
      <c r="V524" t="inlineStr">
        <is>
          <t>외부감사대상</t>
        </is>
      </c>
      <c r="W524" s="6" t="inlineStr">
        <is>
          <t>2000-02-01</t>
        </is>
      </c>
      <c r="X524" t="inlineStr">
        <is>
          <t>KRI:10G4659200</t>
        </is>
      </c>
      <c r="Y524" t="inlineStr">
        <is>
          <t>의료기기 도매업</t>
        </is>
      </c>
      <c r="Z524" t="inlineStr">
        <is>
          <t>진단용의료기기 도소매,무역,유지보수</t>
        </is>
      </c>
      <c r="AA524" t="inlineStr">
        <is>
          <t>경기 안양시 동안구 관양동 934-4번지 금륜빌딩</t>
        </is>
      </c>
      <c r="AB524" t="inlineStr">
        <is>
          <t>경기 안양시 동안구 흥안대로439번길 26 (관양동,금륜빌딩)</t>
        </is>
      </c>
    </row>
    <row r="525" ht="19.2" customHeight="1" s="1">
      <c r="A525" t="inlineStr">
        <is>
          <t>NICE:H58715</t>
        </is>
      </c>
      <c r="B525" t="inlineStr">
        <is>
          <t>써모스코리아</t>
        </is>
      </c>
      <c r="C525" s="5" t="n">
        <v>26281518000</v>
      </c>
      <c r="D525" s="5" t="n">
        <v>2772766000</v>
      </c>
      <c r="E525" s="5" t="n">
        <v>23508752000</v>
      </c>
      <c r="F525" s="5" t="n">
        <v>34473074000</v>
      </c>
      <c r="G525" s="5" t="n">
        <v>3975236000</v>
      </c>
      <c r="H525" s="5" t="n">
        <v>34025821000</v>
      </c>
      <c r="I525" s="5" t="n">
        <v>5488930000</v>
      </c>
      <c r="J525" s="4" t="n">
        <v>9.08080005645752</v>
      </c>
      <c r="K525" s="4" t="n">
        <v>0.1178999990224838</v>
      </c>
      <c r="L525" s="4" t="n">
        <v>0.1152999922633171</v>
      </c>
      <c r="M525" t="inlineStr">
        <is>
          <t>스즈키유이치로</t>
        </is>
      </c>
      <c r="N525" t="inlineStr">
        <is>
          <t>1577-8396</t>
        </is>
      </c>
      <c r="O525" t="inlineStr">
        <is>
          <t>02-3272-9957</t>
        </is>
      </c>
      <c r="P525" s="3">
        <f>HYPERLINK("http://www.thermos.kr", "http://www.thermos.kr")</f>
        <v/>
      </c>
      <c r="Q525" t="inlineStr">
        <is>
          <t>1058757624</t>
        </is>
      </c>
      <c r="R525" t="inlineStr">
        <is>
          <t>1101114602276</t>
        </is>
      </c>
      <c r="S525" t="inlineStr">
        <is>
          <t>대상아님</t>
        </is>
      </c>
      <c r="T525" t="inlineStr">
        <is>
          <t>일반법인</t>
        </is>
      </c>
      <c r="U525" t="inlineStr">
        <is>
          <t>중소기업</t>
        </is>
      </c>
      <c r="V525" t="inlineStr">
        <is>
          <t>외부감사대상</t>
        </is>
      </c>
      <c r="W525" s="6" t="inlineStr">
        <is>
          <t>2011-05-16</t>
        </is>
      </c>
      <c r="X525" t="inlineStr">
        <is>
          <t>KRI:10G4680000</t>
        </is>
      </c>
      <c r="Y525" t="inlineStr">
        <is>
          <t>상품 종합 도매업</t>
        </is>
      </c>
      <c r="Z525" t="inlineStr">
        <is>
          <t>무역(보온병,도시락)</t>
        </is>
      </c>
      <c r="AA525" t="inlineStr">
        <is>
          <t>서울 영등포구 여의도동 28-1번지 전국경제인연합회관 22층</t>
        </is>
      </c>
      <c r="AB525" t="inlineStr">
        <is>
          <t>서울 영등포구 여의대로 24, 22층 (여의도동,전국경제인연합회관)</t>
        </is>
      </c>
    </row>
    <row r="526" ht="19.2" customHeight="1" s="1">
      <c r="A526" t="inlineStr">
        <is>
          <t>NICE:HG0419</t>
        </is>
      </c>
      <c r="B526" t="inlineStr">
        <is>
          <t>닐슨미디어코리아</t>
        </is>
      </c>
      <c r="C526" s="5" t="n">
        <v>11693835000</v>
      </c>
      <c r="D526" s="5" t="n">
        <v>5461251000</v>
      </c>
      <c r="E526" s="5" t="n">
        <v>6232584000</v>
      </c>
      <c r="F526" s="5" t="n">
        <v>22024206000</v>
      </c>
      <c r="G526" s="5" t="n">
        <v>3916544000</v>
      </c>
      <c r="H526" s="5" t="n">
        <v>23365431000</v>
      </c>
      <c r="I526" s="5" t="n">
        <v>5591908000</v>
      </c>
      <c r="J526" s="4" t="n">
        <v>1.849900007247925</v>
      </c>
      <c r="K526" s="4" t="n">
        <v>0.8762000203132629</v>
      </c>
      <c r="L526" s="4" t="n">
        <v>0.1777999997138977</v>
      </c>
      <c r="M526" t="inlineStr">
        <is>
          <t>김민석</t>
        </is>
      </c>
      <c r="N526" t="inlineStr">
        <is>
          <t>02-2122-7000</t>
        </is>
      </c>
      <c r="O526" t="inlineStr">
        <is>
          <t>02-753-3761</t>
        </is>
      </c>
      <c r="P526" s="3">
        <f>HYPERLINK("http://www.nielsenkorea.co.kr", "http://www.nielsenkorea.co.kr")</f>
        <v/>
      </c>
      <c r="Q526" t="inlineStr">
        <is>
          <t>3038700138</t>
        </is>
      </c>
      <c r="R526" t="inlineStr">
        <is>
          <t>1101140163185</t>
        </is>
      </c>
      <c r="S526" t="inlineStr">
        <is>
          <t>대상아님</t>
        </is>
      </c>
      <c r="T526" t="inlineStr">
        <is>
          <t>일반법인</t>
        </is>
      </c>
      <c r="U526" t="inlineStr">
        <is>
          <t>중소기업</t>
        </is>
      </c>
      <c r="V526" t="inlineStr">
        <is>
          <t>외부감사대상</t>
        </is>
      </c>
      <c r="W526" s="6" t="inlineStr">
        <is>
          <t>2015-06-08</t>
        </is>
      </c>
      <c r="X526" t="inlineStr">
        <is>
          <t>KRI:10M7140000</t>
        </is>
      </c>
      <c r="Y526" t="inlineStr">
        <is>
          <t>시장조사 및 여론조사업</t>
        </is>
      </c>
      <c r="Z526" t="inlineStr">
        <is>
          <t>시장조사,여론조사/소프트웨어 개발,공급,데이터베이스,자료 처리/온라인정보 제공</t>
        </is>
      </c>
      <c r="AA526" t="inlineStr">
        <is>
          <t>서울 중구 중림동 419번지</t>
        </is>
      </c>
      <c r="AB526" t="inlineStr">
        <is>
          <t>서울 중구 서소문로 50</t>
        </is>
      </c>
    </row>
    <row r="527" s="1">
      <c r="A527" t="inlineStr">
        <is>
          <t>NICE:F29290</t>
        </is>
      </c>
      <c r="B527" t="inlineStr">
        <is>
          <t>넷앤드</t>
        </is>
      </c>
      <c r="C527" s="5" t="n">
        <v>27106122000</v>
      </c>
      <c r="D527" s="5" t="n">
        <v>7404287000</v>
      </c>
      <c r="E527" s="5" t="n">
        <v>19701835000</v>
      </c>
      <c r="F527" s="5" t="n">
        <v>34919782000</v>
      </c>
      <c r="G527" s="5" t="n">
        <v>5236906000</v>
      </c>
      <c r="H527" s="5" t="n">
        <v>31168407000</v>
      </c>
      <c r="I527" s="5" t="n">
        <v>3328506000</v>
      </c>
      <c r="J527" s="4" t="n">
        <v>4.385200023651123</v>
      </c>
      <c r="K527" s="4" t="n">
        <v>0.3758000135421753</v>
      </c>
      <c r="L527" s="4" t="n">
        <v>0.1499999910593033</v>
      </c>
      <c r="M527" t="inlineStr">
        <is>
          <t>신호철</t>
        </is>
      </c>
      <c r="N527" t="inlineStr">
        <is>
          <t>02-2661-1410</t>
        </is>
      </c>
      <c r="O527" t="inlineStr">
        <is>
          <t>02-2661-1420</t>
        </is>
      </c>
      <c r="P527">
        <f>HYPERLINK("http://www.netand.co.kr", "http://www.netand.co.kr")</f>
        <v/>
      </c>
      <c r="Q527" t="inlineStr">
        <is>
          <t>1098611375</t>
        </is>
      </c>
      <c r="R527" t="inlineStr">
        <is>
          <t>1101113809435</t>
        </is>
      </c>
      <c r="S527" t="inlineStr">
        <is>
          <t>대상아님</t>
        </is>
      </c>
      <c r="T527" t="inlineStr">
        <is>
          <t>일반법인</t>
        </is>
      </c>
      <c r="U527" t="inlineStr">
        <is>
          <t>중소기업</t>
        </is>
      </c>
      <c r="V527" t="inlineStr">
        <is>
          <t>외부감사대상</t>
        </is>
      </c>
      <c r="W527" s="6" t="inlineStr">
        <is>
          <t>2007-12-21</t>
        </is>
      </c>
      <c r="X527" t="inlineStr">
        <is>
          <t>KRI:10J5822200</t>
        </is>
      </c>
      <c r="Y527" t="inlineStr">
        <is>
          <t>응용 소프트웨어 개발 및 공급업</t>
        </is>
      </c>
      <c r="Z527" t="inlineStr">
        <is>
          <t>소프트웨어 개발,무역</t>
        </is>
      </c>
      <c r="AA527" t="inlineStr">
        <is>
          <t>서울 영등포구 여의도동 44-23번지 하남빌딩 1001호 , 1002호, 1003호, 1004호, 1005호, 1006호, 1007호, 1008호, 1009호, 1010호</t>
        </is>
      </c>
      <c r="AB527" t="inlineStr">
        <is>
          <t>서울 영등포구 의사당대로1길 25, 1001호, 1002호, 1003호, 1004호, 1005호, 1006호, 1007호, 1008호, 1009호, 1010호 (여의도동,하남빌딩)</t>
        </is>
      </c>
    </row>
    <row r="528" ht="19.2" customHeight="1" s="1">
      <c r="A528" t="inlineStr">
        <is>
          <t>NICE:F18713</t>
        </is>
      </c>
      <c r="B528" t="inlineStr">
        <is>
          <t>퍼틸레인</t>
        </is>
      </c>
      <c r="C528" s="5" t="n">
        <v>61700412000</v>
      </c>
      <c r="D528" s="5" t="n">
        <v>47678226000</v>
      </c>
      <c r="E528" s="5" t="n">
        <v>14022185000</v>
      </c>
      <c r="F528" s="5" t="n">
        <v>25848571000</v>
      </c>
      <c r="G528" s="5" t="n">
        <v>2842664000</v>
      </c>
      <c r="H528" s="5" t="n">
        <v>27431825000</v>
      </c>
      <c r="I528" s="5" t="n">
        <v>3197269000</v>
      </c>
      <c r="J528" s="4" t="n">
        <v>0.65829998254776</v>
      </c>
      <c r="K528" s="4" t="n">
        <v>3.400199890136719</v>
      </c>
      <c r="L528" s="4" t="n">
        <v>0.1099999994039536</v>
      </c>
      <c r="M528" t="inlineStr">
        <is>
          <t>김진</t>
        </is>
      </c>
      <c r="N528" t="inlineStr">
        <is>
          <t>02-546-7377</t>
        </is>
      </c>
      <c r="O528" t="inlineStr">
        <is>
          <t>02-546-7379</t>
        </is>
      </c>
      <c r="P528" s="3">
        <f>HYPERLINK("http://www.fertilerains.com", "http://www.fertilerains.com")</f>
        <v/>
      </c>
      <c r="Q528" t="inlineStr">
        <is>
          <t>2118836090</t>
        </is>
      </c>
      <c r="R528" t="inlineStr">
        <is>
          <t>1101114232114</t>
        </is>
      </c>
      <c r="S528" t="inlineStr">
        <is>
          <t>대상아님</t>
        </is>
      </c>
      <c r="T528" t="inlineStr">
        <is>
          <t>일반법인</t>
        </is>
      </c>
      <c r="U528" t="inlineStr">
        <is>
          <t>중소기업</t>
        </is>
      </c>
      <c r="V528" t="inlineStr">
        <is>
          <t>외부감사대상</t>
        </is>
      </c>
      <c r="W528" s="6" t="inlineStr">
        <is>
          <t>2009-12-02</t>
        </is>
      </c>
      <c r="X528" t="inlineStr">
        <is>
          <t>KRI:10M7131000</t>
        </is>
      </c>
      <c r="Y528" t="inlineStr">
        <is>
          <t>광고 대행업</t>
        </is>
      </c>
      <c r="Z528" t="inlineStr">
        <is>
          <t>광고 대행,홈페이지 구축,운영소프트웨어 개발,공급</t>
        </is>
      </c>
      <c r="AA528" t="inlineStr">
        <is>
          <t>서울 강남구 역삼동 704-48번지</t>
        </is>
      </c>
      <c r="AB528" t="inlineStr">
        <is>
          <t>서울 강남구 테헤란로51길 21</t>
        </is>
      </c>
    </row>
    <row r="529" s="1">
      <c r="A529" t="inlineStr">
        <is>
          <t>NICE:C09953</t>
        </is>
      </c>
      <c r="B529" t="inlineStr">
        <is>
          <t>베페사징크코리아</t>
        </is>
      </c>
      <c r="C529" s="5" t="n">
        <v>120499532000</v>
      </c>
      <c r="D529" s="5" t="n">
        <v>31171961000</v>
      </c>
      <c r="E529" s="5" t="n">
        <v>89327572000</v>
      </c>
      <c r="F529" s="5" t="n">
        <v>86936805000</v>
      </c>
      <c r="G529" s="5" t="n">
        <v>25293054000</v>
      </c>
      <c r="H529" s="5" t="n">
        <v>59775327000</v>
      </c>
      <c r="I529" s="5" t="n">
        <v>8721435000</v>
      </c>
      <c r="J529" s="4" t="n">
        <v>1.487299919128418</v>
      </c>
      <c r="K529" s="4" t="n">
        <v>0.3490000069141388</v>
      </c>
      <c r="L529" s="4" t="n">
        <v>0.2908999919891357</v>
      </c>
      <c r="M529" t="inlineStr">
        <is>
          <t>이훈기</t>
        </is>
      </c>
      <c r="N529" t="inlineStr">
        <is>
          <t>054-777-3111</t>
        </is>
      </c>
      <c r="O529" t="inlineStr">
        <is>
          <t>054-777-3115</t>
        </is>
      </c>
      <c r="Q529" t="inlineStr">
        <is>
          <t>6088167537</t>
        </is>
      </c>
      <c r="R529" t="inlineStr">
        <is>
          <t>1943110020056</t>
        </is>
      </c>
      <c r="S529" t="inlineStr">
        <is>
          <t>대상아님</t>
        </is>
      </c>
      <c r="T529" t="inlineStr">
        <is>
          <t>일반법인</t>
        </is>
      </c>
      <c r="U529" t="inlineStr">
        <is>
          <t>중소기업</t>
        </is>
      </c>
      <c r="V529" t="inlineStr">
        <is>
          <t>외부감사대상</t>
        </is>
      </c>
      <c r="W529" s="6" t="inlineStr">
        <is>
          <t>2007-06-20</t>
        </is>
      </c>
      <c r="X529" t="inlineStr">
        <is>
          <t>KRI:10C2421300</t>
        </is>
      </c>
      <c r="Y529" t="inlineStr">
        <is>
          <t>연 및 아연 제련, 정련 및 합금 제조업</t>
        </is>
      </c>
      <c r="Z529" t="inlineStr">
        <is>
          <t>조산화아연,합금 제조</t>
        </is>
      </c>
      <c r="AA529" t="inlineStr">
        <is>
          <t>경북 경주시 천북면 오야리 산18번지</t>
        </is>
      </c>
      <c r="AB529" t="inlineStr">
        <is>
          <t>경북 경주시 천북면 천북산단로 265-15</t>
        </is>
      </c>
    </row>
    <row r="530" ht="19.2" customHeight="1" s="1">
      <c r="A530" t="inlineStr">
        <is>
          <t>NICE:036681</t>
        </is>
      </c>
      <c r="B530" t="inlineStr">
        <is>
          <t>한덕화학</t>
        </is>
      </c>
      <c r="C530" s="5" t="n">
        <v>118685887000</v>
      </c>
      <c r="D530" s="5" t="n">
        <v>15290790000</v>
      </c>
      <c r="E530" s="5" t="n">
        <v>103395097000</v>
      </c>
      <c r="F530" s="5" t="n">
        <v>130380521000</v>
      </c>
      <c r="G530" s="5" t="n">
        <v>25505005000</v>
      </c>
      <c r="H530" s="5" t="n">
        <v>106736676000</v>
      </c>
      <c r="I530" s="5" t="n">
        <v>15088871000</v>
      </c>
      <c r="J530" s="4" t="n">
        <v>3.790799856185913</v>
      </c>
      <c r="K530" s="4" t="n">
        <v>0.1479000002145767</v>
      </c>
      <c r="L530" s="4" t="n">
        <v>0.1955999881029129</v>
      </c>
      <c r="M530" t="inlineStr">
        <is>
          <t>안효택/나카노테츠야</t>
        </is>
      </c>
      <c r="N530" t="inlineStr">
        <is>
          <t>02-6974-4897</t>
        </is>
      </c>
      <c r="O530" t="inlineStr">
        <is>
          <t>02-6974-4899</t>
        </is>
      </c>
      <c r="P530" s="3">
        <f>HYPERLINK("http://www.hantok.com", "http://www.hantok.com")</f>
        <v/>
      </c>
      <c r="Q530" t="inlineStr">
        <is>
          <t>1048136755</t>
        </is>
      </c>
      <c r="R530" t="inlineStr">
        <is>
          <t>1101111144388</t>
        </is>
      </c>
      <c r="S530" t="inlineStr">
        <is>
          <t>대상아님</t>
        </is>
      </c>
      <c r="T530" t="inlineStr">
        <is>
          <t>일반법인</t>
        </is>
      </c>
      <c r="U530" t="inlineStr">
        <is>
          <t>대기업</t>
        </is>
      </c>
      <c r="V530" t="inlineStr">
        <is>
          <t>외부감사대상</t>
        </is>
      </c>
      <c r="W530" s="6" t="inlineStr">
        <is>
          <t>1995-04-01</t>
        </is>
      </c>
      <c r="X530" t="inlineStr">
        <is>
          <t>KRI:10C2049100</t>
        </is>
      </c>
      <c r="Y530" t="inlineStr">
        <is>
          <t>감광재료 및 관련 화학제품 제조업</t>
        </is>
      </c>
      <c r="Z530" t="inlineStr">
        <is>
          <t>전자공업용약품,TMAH 제조,도매</t>
        </is>
      </c>
      <c r="AA530" t="inlineStr">
        <is>
          <t>서울 강남구 대치동 946-1번지 글라스타워빌딩 2층</t>
        </is>
      </c>
      <c r="AB530" t="inlineStr">
        <is>
          <t>서울 강남구 테헤란로 534, 2층 (대치동,글라스타워빌딩)</t>
        </is>
      </c>
    </row>
    <row r="531" s="1">
      <c r="A531" t="inlineStr">
        <is>
          <t>NICE:267869</t>
        </is>
      </c>
      <c r="B531" t="inlineStr">
        <is>
          <t>이노블록</t>
        </is>
      </c>
      <c r="C531" s="5" t="n">
        <v>58583509000</v>
      </c>
      <c r="D531" s="5" t="n">
        <v>15472704000</v>
      </c>
      <c r="E531" s="5" t="n">
        <v>43110804000</v>
      </c>
      <c r="F531" s="5" t="n">
        <v>30854154000</v>
      </c>
      <c r="G531" s="5" t="n">
        <v>3576510000</v>
      </c>
      <c r="H531" s="5" t="n">
        <v>32464607000</v>
      </c>
      <c r="I531" s="5" t="n">
        <v>3554668000</v>
      </c>
      <c r="J531" s="4" t="n">
        <v>0.9759999513626099</v>
      </c>
      <c r="K531" s="4" t="n">
        <v>0.3588999807834625</v>
      </c>
      <c r="L531" s="4" t="n">
        <v>0.1159000024199486</v>
      </c>
      <c r="M531" t="inlineStr">
        <is>
          <t>한용택</t>
        </is>
      </c>
      <c r="N531" t="inlineStr">
        <is>
          <t>031-358-4711</t>
        </is>
      </c>
      <c r="O531" t="inlineStr">
        <is>
          <t>031-358-4713</t>
        </is>
      </c>
      <c r="P531">
        <f>HYPERLINK("http://www.innoblock.co.kr", "http://www.innoblock.co.kr")</f>
        <v/>
      </c>
      <c r="Q531" t="inlineStr">
        <is>
          <t>1238134082</t>
        </is>
      </c>
      <c r="R531" t="inlineStr">
        <is>
          <t>1341110040125</t>
        </is>
      </c>
      <c r="S531" t="inlineStr">
        <is>
          <t>대상아님</t>
        </is>
      </c>
      <c r="T531" t="inlineStr">
        <is>
          <t>일반법인</t>
        </is>
      </c>
      <c r="U531" t="inlineStr">
        <is>
          <t>중소기업</t>
        </is>
      </c>
      <c r="V531" t="inlineStr">
        <is>
          <t>외부감사대상</t>
        </is>
      </c>
      <c r="W531" s="6" t="inlineStr">
        <is>
          <t>1971-03-01</t>
        </is>
      </c>
      <c r="X531" t="inlineStr">
        <is>
          <t>KRI:10C2332400</t>
        </is>
      </c>
      <c r="Y531" t="inlineStr">
        <is>
          <t>콘크리트 타일, 기와, 벽돌 및 블록 제조업</t>
        </is>
      </c>
      <c r="Z531" t="inlineStr">
        <is>
          <t>블록,보도블록,콘크리트 제품 제조</t>
        </is>
      </c>
      <c r="AA531" t="inlineStr">
        <is>
          <t>경기 화성시 만세구 팔탄면 서근리 7-15번지</t>
        </is>
      </c>
      <c r="AB531" t="inlineStr">
        <is>
          <t>경기 화성시 만세구 팔탄면 석포로74번길 10-46</t>
        </is>
      </c>
    </row>
    <row r="532" ht="19.2" customHeight="1" s="1">
      <c r="A532" t="inlineStr">
        <is>
          <t>NICE:H54728</t>
        </is>
      </c>
      <c r="B532" t="inlineStr">
        <is>
          <t>한주케미칼</t>
        </is>
      </c>
      <c r="C532" s="5" t="n">
        <v>26922838000</v>
      </c>
      <c r="D532" s="5" t="n">
        <v>10476902000</v>
      </c>
      <c r="E532" s="5" t="n">
        <v>16445937000</v>
      </c>
      <c r="F532" s="5" t="n">
        <v>31436330000</v>
      </c>
      <c r="G532" s="5" t="n">
        <v>7092437000</v>
      </c>
      <c r="H532" s="5" t="n">
        <v>41134114000</v>
      </c>
      <c r="I532" s="5" t="n">
        <v>9197471000</v>
      </c>
      <c r="J532" s="4" t="n">
        <v>2.690700054168701</v>
      </c>
      <c r="K532" s="4" t="n">
        <v>0.6370999813079834</v>
      </c>
      <c r="L532" s="4" t="n">
        <v>0.2255999892950058</v>
      </c>
      <c r="M532" t="inlineStr">
        <is>
          <t>김동준</t>
        </is>
      </c>
      <c r="N532" t="inlineStr">
        <is>
          <t>031-357-5601</t>
        </is>
      </c>
      <c r="O532" t="inlineStr">
        <is>
          <t>031-357-5603</t>
        </is>
      </c>
      <c r="P532" s="3">
        <f>HYPERLINK("http://www.hanjufire.com", "http://www.hanjufire.com")</f>
        <v/>
      </c>
      <c r="Q532" t="inlineStr">
        <is>
          <t>1248713030</t>
        </is>
      </c>
      <c r="R532" t="inlineStr">
        <is>
          <t>1348110215716</t>
        </is>
      </c>
      <c r="S532" t="inlineStr">
        <is>
          <t>대상아님</t>
        </is>
      </c>
      <c r="T532" t="inlineStr">
        <is>
          <t>일반법인</t>
        </is>
      </c>
      <c r="U532" t="inlineStr">
        <is>
          <t>중소기업</t>
        </is>
      </c>
      <c r="V532" t="inlineStr">
        <is>
          <t>외부감사대상</t>
        </is>
      </c>
      <c r="W532" s="6" t="inlineStr">
        <is>
          <t>2011-04-22</t>
        </is>
      </c>
      <c r="X532" t="inlineStr">
        <is>
          <t>KRI:10C2919300</t>
        </is>
      </c>
      <c r="Y532" t="inlineStr">
        <is>
          <t>분사기 및 소화기 제조업</t>
        </is>
      </c>
      <c r="Z532" t="inlineStr">
        <is>
          <t>소화기,소방설비,하론가스,소화가스,냉매가스 제조/창고</t>
        </is>
      </c>
      <c r="AA532" t="inlineStr">
        <is>
          <t>경기 화성시 만세구 남양읍 남양리 1027-4번지</t>
        </is>
      </c>
      <c r="AB532" t="inlineStr">
        <is>
          <t>경기 화성시 만세구 남양읍 쌍송북로 52-18</t>
        </is>
      </c>
    </row>
    <row r="533" ht="19.2" customHeight="1" s="1">
      <c r="A533" t="inlineStr">
        <is>
          <t>NICE:018298</t>
        </is>
      </c>
      <c r="B533" t="inlineStr">
        <is>
          <t>한신전자</t>
        </is>
      </c>
      <c r="C533" s="5" t="n">
        <v>21480786000</v>
      </c>
      <c r="D533" s="5" t="n">
        <v>2906647000</v>
      </c>
      <c r="E533" s="5" t="n">
        <v>18574139000</v>
      </c>
      <c r="F533" s="5" t="n">
        <v>28058983000</v>
      </c>
      <c r="G533" s="5" t="n">
        <v>3991968000</v>
      </c>
      <c r="H533" s="5" t="n">
        <v>25727382000</v>
      </c>
      <c r="I533" s="5" t="n">
        <v>3149726000</v>
      </c>
      <c r="J533" s="4" t="n">
        <v>6.27299976348877</v>
      </c>
      <c r="K533" s="4" t="n">
        <v>0.1564999967813492</v>
      </c>
      <c r="L533" s="4" t="n">
        <v>0.1422999948263168</v>
      </c>
      <c r="M533" t="inlineStr">
        <is>
          <t>김용오/김태오</t>
        </is>
      </c>
      <c r="N533" t="inlineStr">
        <is>
          <t>051-410-1500</t>
        </is>
      </c>
      <c r="O533" t="inlineStr">
        <is>
          <t>051-410-1510</t>
        </is>
      </c>
      <c r="P533" s="3">
        <f>HYPERLINK("http://www.한신전자.com", "http://www.한신전자.com")</f>
        <v/>
      </c>
      <c r="Q533" t="inlineStr">
        <is>
          <t>6018124987</t>
        </is>
      </c>
      <c r="R533" t="inlineStr">
        <is>
          <t>1801110158550</t>
        </is>
      </c>
      <c r="S533" t="inlineStr">
        <is>
          <t>대상아님</t>
        </is>
      </c>
      <c r="T533" t="inlineStr">
        <is>
          <t>일반법인</t>
        </is>
      </c>
      <c r="U533" t="inlineStr">
        <is>
          <t>중소기업</t>
        </is>
      </c>
      <c r="V533" t="inlineStr">
        <is>
          <t>외부감사대상</t>
        </is>
      </c>
      <c r="W533" s="6" t="inlineStr">
        <is>
          <t>1988-12-16</t>
        </is>
      </c>
      <c r="X533" t="inlineStr">
        <is>
          <t>KRI:10C2642900</t>
        </is>
      </c>
      <c r="Y533" t="inlineStr">
        <is>
          <t>기타 무선 통신장비 제조업</t>
        </is>
      </c>
      <c r="Z533" t="inlineStr">
        <is>
          <t>무선통신장비,전자기기 제조,도소매/정보통신공사</t>
        </is>
      </c>
      <c r="AA533" t="inlineStr">
        <is>
          <t>부산 영도구 영선동4가 34번지</t>
        </is>
      </c>
      <c r="AB533" t="inlineStr">
        <is>
          <t>부산 영도구 남항남로 45</t>
        </is>
      </c>
    </row>
    <row r="534" ht="19.2" customHeight="1" s="1">
      <c r="A534" t="inlineStr">
        <is>
          <t>NICE:085323</t>
        </is>
      </c>
      <c r="B534" t="inlineStr">
        <is>
          <t>매직캔</t>
        </is>
      </c>
      <c r="C534" s="5" t="n">
        <v>47693440000</v>
      </c>
      <c r="D534" s="5" t="n">
        <v>21930072000</v>
      </c>
      <c r="E534" s="5" t="n">
        <v>25763368000</v>
      </c>
      <c r="F534" s="5" t="n">
        <v>25976019000</v>
      </c>
      <c r="G534" s="5" t="n">
        <v>3780547000</v>
      </c>
      <c r="H534" s="5" t="n">
        <v>26210250000</v>
      </c>
      <c r="I534" s="5" t="n">
        <v>3096240000</v>
      </c>
      <c r="J534" s="4" t="n">
        <v>1.59660005569458</v>
      </c>
      <c r="K534" s="4" t="n">
        <v>0.8511999845504761</v>
      </c>
      <c r="L534" s="4" t="n">
        <v>0.1455000042915344</v>
      </c>
      <c r="M534" t="inlineStr">
        <is>
          <t>장광옥</t>
        </is>
      </c>
      <c r="N534" t="inlineStr">
        <is>
          <t>041-541-2557</t>
        </is>
      </c>
      <c r="O534" t="inlineStr">
        <is>
          <t>041-541-2555</t>
        </is>
      </c>
      <c r="P534" s="3">
        <f>HYPERLINK("http://www.magikan.co.kr", "http://www.magikan.co.kr")</f>
        <v/>
      </c>
      <c r="Q534" t="inlineStr">
        <is>
          <t>1248178837</t>
        </is>
      </c>
      <c r="R534" t="inlineStr">
        <is>
          <t>1348110055138</t>
        </is>
      </c>
      <c r="S534" t="inlineStr">
        <is>
          <t>대상아님</t>
        </is>
      </c>
      <c r="T534" t="inlineStr">
        <is>
          <t>일반법인</t>
        </is>
      </c>
      <c r="U534" t="inlineStr">
        <is>
          <t>중소기업</t>
        </is>
      </c>
      <c r="V534" t="inlineStr">
        <is>
          <t>외부감사대상</t>
        </is>
      </c>
      <c r="W534" s="6" t="inlineStr">
        <is>
          <t>2000-11-23</t>
        </is>
      </c>
      <c r="X534" t="inlineStr">
        <is>
          <t>KRI:10C2229900</t>
        </is>
      </c>
      <c r="Y534" t="inlineStr">
        <is>
          <t>그 외 기타 플라스틱 제품 제조업</t>
        </is>
      </c>
      <c r="Z534" t="inlineStr">
        <is>
          <t>병마개,조립금속제품,플라스틱제품,금속제품,의료용구 제조/무역,전자상거래</t>
        </is>
      </c>
      <c r="AA534" t="inlineStr">
        <is>
          <t>충남 아산시 인주면 걸매리 1038번지</t>
        </is>
      </c>
      <c r="AB534" t="inlineStr">
        <is>
          <t>충남 아산시 인주면 인주산단로 75-61</t>
        </is>
      </c>
    </row>
    <row r="535" ht="19.2" customHeight="1" s="1">
      <c r="A535" t="inlineStr">
        <is>
          <t>NICE:JS5196</t>
        </is>
      </c>
      <c r="B535" t="inlineStr">
        <is>
          <t>파메어스</t>
        </is>
      </c>
      <c r="C535" s="5" t="n">
        <v>42784745000</v>
      </c>
      <c r="D535" s="5" t="n">
        <v>25455845000</v>
      </c>
      <c r="E535" s="5" t="n">
        <v>17328900000</v>
      </c>
      <c r="F535" s="5" t="n">
        <v>68129599000</v>
      </c>
      <c r="G535" s="5" t="n">
        <v>11398198000</v>
      </c>
      <c r="H535" s="5" t="n">
        <v>49997927000</v>
      </c>
      <c r="I535" s="5" t="n">
        <v>10020488000</v>
      </c>
      <c r="J535" s="4" t="n">
        <v>1.788699865341187</v>
      </c>
      <c r="K535" s="4" t="n">
        <v>1.468999862670898</v>
      </c>
      <c r="L535" s="4" t="n">
        <v>0.1672999858856201</v>
      </c>
      <c r="M535" t="inlineStr">
        <is>
          <t>장윤성</t>
        </is>
      </c>
      <c r="P535" s="3" t="n"/>
      <c r="Q535" t="inlineStr">
        <is>
          <t>5848101409</t>
        </is>
      </c>
      <c r="R535" t="inlineStr">
        <is>
          <t>1101117203592</t>
        </is>
      </c>
      <c r="S535" t="inlineStr">
        <is>
          <t>대상아님</t>
        </is>
      </c>
      <c r="T535" t="inlineStr">
        <is>
          <t>일반법인</t>
        </is>
      </c>
      <c r="U535" t="inlineStr">
        <is>
          <t>중소기업</t>
        </is>
      </c>
      <c r="V535" t="inlineStr">
        <is>
          <t>외부감사대상</t>
        </is>
      </c>
      <c r="W535" s="6" t="inlineStr">
        <is>
          <t>2019-08-14</t>
        </is>
      </c>
      <c r="X535" t="inlineStr">
        <is>
          <t>KRI:10C2042300</t>
        </is>
      </c>
      <c r="Y535" t="inlineStr">
        <is>
          <t>화장품 제조업</t>
        </is>
      </c>
      <c r="Z535" t="inlineStr">
        <is>
          <t>화장품 제조,도소매,수출,전자상거래,방문판매/소프트웨어자문,개발,공급</t>
        </is>
      </c>
      <c r="AA535" t="inlineStr">
        <is>
          <t>서울 용산구 한강로3가 98번지 센트럴파크타워 20층</t>
        </is>
      </c>
      <c r="AB535" t="inlineStr">
        <is>
          <t>서울 용산구 서빙고로 17, 20층 (한강로3가,센트럴파크타워)</t>
        </is>
      </c>
    </row>
    <row r="536" ht="19.2" customHeight="1" s="1">
      <c r="A536" t="inlineStr">
        <is>
          <t>NICE:T44024</t>
        </is>
      </c>
      <c r="B536" t="inlineStr">
        <is>
          <t>지엔텍</t>
        </is>
      </c>
      <c r="C536" s="5" t="n">
        <v>98535611000</v>
      </c>
      <c r="D536" s="5" t="n">
        <v>51001111000</v>
      </c>
      <c r="E536" s="5" t="n">
        <v>47534499000</v>
      </c>
      <c r="F536" s="5" t="n">
        <v>31034756000</v>
      </c>
      <c r="G536" s="5" t="n">
        <v>4591525000</v>
      </c>
      <c r="H536" s="5" t="n">
        <v>38689740000</v>
      </c>
      <c r="I536" s="5" t="n">
        <v>5859111000</v>
      </c>
      <c r="J536" s="4" t="n">
        <v>2.07480001449585</v>
      </c>
      <c r="K536" s="4" t="n">
        <v>1.0728999376297</v>
      </c>
      <c r="L536" s="4" t="n">
        <v>0.1479000002145767</v>
      </c>
      <c r="M536" t="inlineStr">
        <is>
          <t>윤영선</t>
        </is>
      </c>
      <c r="N536" t="inlineStr">
        <is>
          <t>02-2684-6522</t>
        </is>
      </c>
      <c r="O536" t="inlineStr">
        <is>
          <t>02-2684-6523</t>
        </is>
      </c>
      <c r="P536" s="3">
        <f>HYPERLINK("http://www.zanca.co.kr/", "http://www.zanca.co.kr/")</f>
        <v/>
      </c>
      <c r="Q536" t="inlineStr">
        <is>
          <t>1408132380</t>
        </is>
      </c>
      <c r="R536" t="inlineStr">
        <is>
          <t>1349110039536</t>
        </is>
      </c>
      <c r="S536" t="inlineStr">
        <is>
          <t>대상아님</t>
        </is>
      </c>
      <c r="T536" t="inlineStr">
        <is>
          <t>일반법인</t>
        </is>
      </c>
      <c r="U536" t="inlineStr">
        <is>
          <t>중소기업</t>
        </is>
      </c>
      <c r="V536" t="inlineStr">
        <is>
          <t>외부감사대상</t>
        </is>
      </c>
      <c r="W536" s="6" t="inlineStr">
        <is>
          <t>2008-11-20</t>
        </is>
      </c>
      <c r="X536" t="inlineStr">
        <is>
          <t>KRI:10C3330900</t>
        </is>
      </c>
      <c r="Y536" t="inlineStr">
        <is>
          <t>기타 운동 및 경기용구 제조업</t>
        </is>
      </c>
      <c r="Z536" t="inlineStr">
        <is>
          <t>스포츠용품,안전장비 제조/부동산 임대,비주거용건물 개발,공급</t>
        </is>
      </c>
      <c r="AA536" t="inlineStr">
        <is>
          <t>경기 광명시 노온사동 572-109번지</t>
        </is>
      </c>
      <c r="AB536" t="inlineStr">
        <is>
          <t>경기 광명시 사들로68번길 1</t>
        </is>
      </c>
    </row>
    <row r="537" ht="19.2" customHeight="1" s="1">
      <c r="A537" t="inlineStr">
        <is>
          <t>NICE:761618</t>
        </is>
      </c>
      <c r="B537" t="inlineStr">
        <is>
          <t>엔에스하이텍</t>
        </is>
      </c>
      <c r="C537" s="5" t="n">
        <v>46682032000</v>
      </c>
      <c r="D537" s="5" t="n">
        <v>15386417000</v>
      </c>
      <c r="E537" s="5" t="n">
        <v>31295615000</v>
      </c>
      <c r="F537" s="5" t="n">
        <v>22294121000</v>
      </c>
      <c r="G537" s="5" t="n">
        <v>5269859000</v>
      </c>
      <c r="H537" s="5" t="n">
        <v>19942950000</v>
      </c>
      <c r="I537" s="5" t="n">
        <v>3555842000</v>
      </c>
      <c r="J537" s="4" t="n">
        <v>0.6455999612808228</v>
      </c>
      <c r="K537" s="4" t="n">
        <v>0.491599977016449</v>
      </c>
      <c r="L537" s="4" t="n">
        <v>0.2363999933004379</v>
      </c>
      <c r="M537" t="inlineStr">
        <is>
          <t>김봉섭/김상희</t>
        </is>
      </c>
      <c r="N537" t="inlineStr">
        <is>
          <t>031-491-2806</t>
        </is>
      </c>
      <c r="O537" t="inlineStr">
        <is>
          <t>031-491-9030</t>
        </is>
      </c>
      <c r="P537" s="3" t="n"/>
      <c r="Q537" t="inlineStr">
        <is>
          <t>1348618374</t>
        </is>
      </c>
      <c r="R537" t="inlineStr">
        <is>
          <t>1314110160897</t>
        </is>
      </c>
      <c r="S537" t="inlineStr">
        <is>
          <t>대상아님</t>
        </is>
      </c>
      <c r="T537" t="inlineStr">
        <is>
          <t>일반법인</t>
        </is>
      </c>
      <c r="U537" t="inlineStr">
        <is>
          <t>중소기업</t>
        </is>
      </c>
      <c r="V537" t="inlineStr">
        <is>
          <t>외부감사대상</t>
        </is>
      </c>
      <c r="W537" s="6" t="inlineStr">
        <is>
          <t>2004-11-01</t>
        </is>
      </c>
      <c r="X537" t="inlineStr">
        <is>
          <t>KRI:10C3039900</t>
        </is>
      </c>
      <c r="Y537" t="inlineStr">
        <is>
          <t>그 외 자동차용 신품 부품 제조업</t>
        </is>
      </c>
      <c r="Z537" t="inlineStr">
        <is>
          <t>자동차부품,금형 제조</t>
        </is>
      </c>
      <c r="AA537" t="inlineStr">
        <is>
          <t>경기 안산시 단원구 원시동 724번지</t>
        </is>
      </c>
      <c r="AB537" t="inlineStr">
        <is>
          <t>경기 안산시 단원구 산단로163번길 97-32</t>
        </is>
      </c>
    </row>
    <row r="538" ht="19.2" customHeight="1" s="1">
      <c r="A538" t="inlineStr">
        <is>
          <t>NICE:E89635</t>
        </is>
      </c>
      <c r="B538" t="inlineStr">
        <is>
          <t>제이에이치트레이드</t>
        </is>
      </c>
      <c r="C538" s="5" t="n">
        <v>16776230000</v>
      </c>
      <c r="D538" s="5" t="n">
        <v>3782711000</v>
      </c>
      <c r="E538" s="5" t="n">
        <v>12993518000</v>
      </c>
      <c r="F538" s="5" t="n">
        <v>23393385000</v>
      </c>
      <c r="G538" s="5" t="n">
        <v>3255180000</v>
      </c>
      <c r="H538" s="5" t="n">
        <v>16809721000</v>
      </c>
      <c r="I538" s="5" t="n">
        <v>1403276000</v>
      </c>
      <c r="J538" s="4" t="n">
        <v>3.557699918746948</v>
      </c>
      <c r="K538" s="4" t="n">
        <v>0.2910999953746796</v>
      </c>
      <c r="L538" s="4" t="n">
        <v>0.1391000002622604</v>
      </c>
      <c r="M538" t="inlineStr">
        <is>
          <t>김정환</t>
        </is>
      </c>
      <c r="N538" t="inlineStr">
        <is>
          <t>02-572-8990</t>
        </is>
      </c>
      <c r="O538" t="inlineStr">
        <is>
          <t>02-572-8991</t>
        </is>
      </c>
      <c r="P538" s="3" t="n"/>
      <c r="Q538" t="inlineStr">
        <is>
          <t>2208841525</t>
        </is>
      </c>
      <c r="R538" t="inlineStr">
        <is>
          <t>1101114904325</t>
        </is>
      </c>
      <c r="S538" t="inlineStr">
        <is>
          <t>대상아님</t>
        </is>
      </c>
      <c r="T538" t="inlineStr">
        <is>
          <t>일반법인</t>
        </is>
      </c>
      <c r="U538" t="inlineStr">
        <is>
          <t>중소기업</t>
        </is>
      </c>
      <c r="V538" t="inlineStr">
        <is>
          <t>외부감사대상</t>
        </is>
      </c>
      <c r="W538" s="6" t="inlineStr">
        <is>
          <t>2012-06-29</t>
        </is>
      </c>
      <c r="X538" t="inlineStr">
        <is>
          <t>KRI:10G4673900</t>
        </is>
      </c>
      <c r="Y538" t="inlineStr">
        <is>
          <t>기타 화학물질 및 화학제품 도매업</t>
        </is>
      </c>
      <c r="Z538" t="inlineStr">
        <is>
          <t>화학물질,화학제품 도소매</t>
        </is>
      </c>
      <c r="AA538" t="inlineStr">
        <is>
          <t>서울 서초구 서초동 1364-2번지 영진빌딩 302호</t>
        </is>
      </c>
      <c r="AB538" t="inlineStr">
        <is>
          <t>서울 서초구 서운로 18, 302호 (서초동,영진빌딩)</t>
        </is>
      </c>
    </row>
    <row r="539" ht="19.2" customHeight="1" s="1">
      <c r="A539" t="inlineStr">
        <is>
          <t>NICE:687309</t>
        </is>
      </c>
      <c r="B539" t="inlineStr">
        <is>
          <t>랄프로렌코리아</t>
        </is>
      </c>
      <c r="C539" s="5" t="n">
        <v>559915740000</v>
      </c>
      <c r="D539" s="5" t="n">
        <v>86636760000</v>
      </c>
      <c r="E539" s="5" t="n">
        <v>473278980000</v>
      </c>
      <c r="F539" s="5" t="n">
        <v>533722306000</v>
      </c>
      <c r="G539" s="5" t="n">
        <v>161566865000</v>
      </c>
      <c r="H539" s="5" t="n">
        <v>517629581000</v>
      </c>
      <c r="I539" s="5" t="n">
        <v>155725358000</v>
      </c>
      <c r="J539" s="4" t="n">
        <v>6.030399799346924</v>
      </c>
      <c r="K539" s="4" t="n">
        <v>0.1830999851226807</v>
      </c>
      <c r="L539" s="4" t="n">
        <v>0.3026999831199646</v>
      </c>
      <c r="M539" t="inlineStr">
        <is>
          <t>샨성권김</t>
        </is>
      </c>
      <c r="N539" t="inlineStr">
        <is>
          <t>02-6004-0066</t>
        </is>
      </c>
      <c r="O539" t="inlineStr">
        <is>
          <t>02-6004-0271</t>
        </is>
      </c>
      <c r="P539" s="3">
        <f>HYPERLINK("http://www.ralphlauren.co.kr", "http://www.ralphlauren.co.kr")</f>
        <v/>
      </c>
      <c r="Q539" t="inlineStr">
        <is>
          <t>1208700270</t>
        </is>
      </c>
      <c r="R539" t="inlineStr">
        <is>
          <t>1101140061321</t>
        </is>
      </c>
      <c r="S539" t="inlineStr">
        <is>
          <t>대상아님</t>
        </is>
      </c>
      <c r="T539" t="inlineStr">
        <is>
          <t>일반법인</t>
        </is>
      </c>
      <c r="U539" t="inlineStr">
        <is>
          <t>중소기업</t>
        </is>
      </c>
      <c r="V539" t="inlineStr">
        <is>
          <t>외부감사대상</t>
        </is>
      </c>
      <c r="W539" s="6" t="inlineStr">
        <is>
          <t>2006-04-10</t>
        </is>
      </c>
      <c r="X539" t="inlineStr">
        <is>
          <t>KRI:10G4641300</t>
        </is>
      </c>
      <c r="Y539" t="inlineStr">
        <is>
          <t>남녀용 겉옷 및 셔츠 도매업</t>
        </is>
      </c>
      <c r="Z539" t="inlineStr">
        <is>
          <t>의류제품,장신구 도소매,무역,전자상거래/컨설팅</t>
        </is>
      </c>
      <c r="AA539" t="inlineStr">
        <is>
          <t>서울 강남구 논현동 119번지 19층</t>
        </is>
      </c>
      <c r="AB539" t="inlineStr">
        <is>
          <t>서울 강남구 학동로 343, 19층</t>
        </is>
      </c>
    </row>
    <row r="540" ht="19.2" customHeight="1" s="1">
      <c r="A540" t="inlineStr">
        <is>
          <t>NICE:JA3203</t>
        </is>
      </c>
      <c r="B540" t="inlineStr">
        <is>
          <t>에프제이보험중개</t>
        </is>
      </c>
      <c r="C540" s="5" t="n">
        <v>51232472000</v>
      </c>
      <c r="D540" s="5" t="n">
        <v>27564469000</v>
      </c>
      <c r="E540" s="5" t="n">
        <v>23668002000</v>
      </c>
      <c r="F540" s="5" t="n">
        <v>26502571000</v>
      </c>
      <c r="G540" s="5" t="n">
        <v>12953894000</v>
      </c>
      <c r="H540" s="5" t="n">
        <v>17260486000</v>
      </c>
      <c r="I540" s="5" t="n">
        <v>7179281000</v>
      </c>
      <c r="J540" s="4" t="n">
        <v>1.695199966430664</v>
      </c>
      <c r="K540" s="4" t="n">
        <v>1.164600014686584</v>
      </c>
      <c r="L540" s="4" t="n">
        <v>0.4887999892234802</v>
      </c>
      <c r="M540" t="inlineStr">
        <is>
          <t>신영주/홍우철</t>
        </is>
      </c>
      <c r="N540" t="inlineStr">
        <is>
          <t>02-2135-9460</t>
        </is>
      </c>
      <c r="O540" t="inlineStr">
        <is>
          <t>070-4758-9556</t>
        </is>
      </c>
      <c r="P540" s="3" t="n"/>
      <c r="Q540" t="inlineStr">
        <is>
          <t>1568801071</t>
        </is>
      </c>
      <c r="R540" t="inlineStr">
        <is>
          <t>1101116682367</t>
        </is>
      </c>
      <c r="S540" t="inlineStr">
        <is>
          <t>대상아님</t>
        </is>
      </c>
      <c r="T540" t="inlineStr">
        <is>
          <t>일반법인</t>
        </is>
      </c>
      <c r="U540" t="inlineStr">
        <is>
          <t>중소기업</t>
        </is>
      </c>
      <c r="V540" t="inlineStr">
        <is>
          <t>외부감사대상</t>
        </is>
      </c>
      <c r="W540" s="6" t="inlineStr">
        <is>
          <t>2018-03-09</t>
        </is>
      </c>
      <c r="X540" t="inlineStr">
        <is>
          <t>KRI:10K6620200</t>
        </is>
      </c>
      <c r="Y540" t="inlineStr">
        <is>
          <t>보험 대리 및 중개업</t>
        </is>
      </c>
      <c r="Z540" t="inlineStr">
        <is>
          <t>보험 중개</t>
        </is>
      </c>
      <c r="AA540" t="inlineStr">
        <is>
          <t>서울 서초구 서초동 1355-8번지 중앙로얄오피스텔 18층</t>
        </is>
      </c>
      <c r="AB540" t="inlineStr">
        <is>
          <t>서울 서초구 서운로 13, 18층 (서초동,중앙로얄오피스텔)</t>
        </is>
      </c>
    </row>
    <row r="541" s="1">
      <c r="A541" t="inlineStr">
        <is>
          <t>NICE:159367</t>
        </is>
      </c>
      <c r="B541" t="inlineStr">
        <is>
          <t>제노에너지</t>
        </is>
      </c>
      <c r="C541" s="5" t="n">
        <v>49904050000</v>
      </c>
      <c r="D541" s="5" t="n">
        <v>3026703000</v>
      </c>
      <c r="E541" s="5" t="n">
        <v>46877347000</v>
      </c>
      <c r="F541" s="5" t="n">
        <v>25596099000</v>
      </c>
      <c r="G541" s="5" t="n">
        <v>8338897000</v>
      </c>
      <c r="H541" s="5" t="n">
        <v>22152407000</v>
      </c>
      <c r="I541" s="5" t="n">
        <v>6144866000</v>
      </c>
      <c r="J541" s="4" t="n">
        <v>14.80439949035645</v>
      </c>
      <c r="K541" s="4" t="n">
        <v>0.06459999829530716</v>
      </c>
      <c r="L541" s="4" t="n">
        <v>0.3258000016212463</v>
      </c>
      <c r="M541" t="inlineStr">
        <is>
          <t>김성철</t>
        </is>
      </c>
      <c r="N541" t="inlineStr">
        <is>
          <t>031-355-3511</t>
        </is>
      </c>
      <c r="O541" t="inlineStr">
        <is>
          <t>031-355-3513</t>
        </is>
      </c>
      <c r="P541">
        <f>HYPERLINK("http://www.xenoenergy.com", "http://www.xenoenergy.com")</f>
        <v/>
      </c>
      <c r="Q541" t="inlineStr">
        <is>
          <t>2148656408</t>
        </is>
      </c>
      <c r="R541" t="inlineStr">
        <is>
          <t>1101111941536</t>
        </is>
      </c>
      <c r="S541" t="inlineStr">
        <is>
          <t>대상아님</t>
        </is>
      </c>
      <c r="T541" t="inlineStr">
        <is>
          <t>일반법인</t>
        </is>
      </c>
      <c r="U541" t="inlineStr">
        <is>
          <t>중소기업</t>
        </is>
      </c>
      <c r="V541" t="inlineStr">
        <is>
          <t>외부감사대상</t>
        </is>
      </c>
      <c r="W541" s="6" t="inlineStr">
        <is>
          <t>2000-04-17</t>
        </is>
      </c>
      <c r="X541" t="inlineStr">
        <is>
          <t>KRI:10C2820100</t>
        </is>
      </c>
      <c r="Y541" t="inlineStr">
        <is>
          <t>일차전지 제조업</t>
        </is>
      </c>
      <c r="Z541" t="inlineStr">
        <is>
          <t>리튬파우더,첨단전지 제조</t>
        </is>
      </c>
      <c r="AA541" t="inlineStr">
        <is>
          <t>경기 화성시 남양읍 무송리 470-20번지</t>
        </is>
      </c>
      <c r="AB541" t="inlineStr">
        <is>
          <t>경기 화성시 남양읍 무하로 70-7</t>
        </is>
      </c>
    </row>
    <row r="542" ht="19.2" customHeight="1" s="1">
      <c r="A542" t="inlineStr">
        <is>
          <t>NICE:HI1258</t>
        </is>
      </c>
      <c r="B542" t="inlineStr">
        <is>
          <t>한국파크골프</t>
        </is>
      </c>
      <c r="C542" s="5" t="n">
        <v>23851745000</v>
      </c>
      <c r="D542" s="5" t="n">
        <v>15908478000</v>
      </c>
      <c r="E542" s="5" t="n">
        <v>7943267000</v>
      </c>
      <c r="F542" s="5" t="n">
        <v>25209812000</v>
      </c>
      <c r="G542" s="5" t="n">
        <v>3081691000</v>
      </c>
      <c r="H542" s="5" t="n">
        <v>17312137000</v>
      </c>
      <c r="I542" s="5" t="n">
        <v>2777831000</v>
      </c>
      <c r="J542" s="4" t="n">
        <v>2.311199903488159</v>
      </c>
      <c r="K542" s="4" t="n">
        <v>2.002799987792969</v>
      </c>
      <c r="L542" s="4" t="n">
        <v>0.1221999973058701</v>
      </c>
      <c r="M542" t="inlineStr">
        <is>
          <t>장세주</t>
        </is>
      </c>
      <c r="P542" s="3" t="n"/>
      <c r="Q542" t="inlineStr">
        <is>
          <t>4178150876</t>
        </is>
      </c>
      <c r="R542" t="inlineStr">
        <is>
          <t>1701110575805</t>
        </is>
      </c>
      <c r="S542" t="inlineStr">
        <is>
          <t>대상아님</t>
        </is>
      </c>
      <c r="T542" t="inlineStr">
        <is>
          <t>일반법인</t>
        </is>
      </c>
      <c r="U542" t="inlineStr">
        <is>
          <t>중소기업</t>
        </is>
      </c>
      <c r="V542" t="inlineStr">
        <is>
          <t>외부감사대상</t>
        </is>
      </c>
      <c r="W542" s="6" t="inlineStr">
        <is>
          <t>2015-08-17</t>
        </is>
      </c>
      <c r="X542" t="inlineStr">
        <is>
          <t>KRI:10C3330900</t>
        </is>
      </c>
      <c r="Y542" t="inlineStr">
        <is>
          <t>기타 운동 및 경기용구 제조업</t>
        </is>
      </c>
      <c r="Z542" t="inlineStr">
        <is>
          <t>파크골프채,보호필름 및 비닐제조업,진공성형트레이제조업,실내건축공사업,파크골프용품,기타산업용품,통신판매,국내외여행업</t>
        </is>
      </c>
      <c r="AA542" t="inlineStr">
        <is>
          <t>대구 달서구 월암동 922-5번지</t>
        </is>
      </c>
      <c r="AB542" t="inlineStr">
        <is>
          <t>대구 달서구 성서공단남로32길 50</t>
        </is>
      </c>
    </row>
    <row r="543" ht="19.2" customHeight="1" s="1">
      <c r="A543" t="inlineStr">
        <is>
          <t>NICE:387182</t>
        </is>
      </c>
      <c r="B543" t="inlineStr">
        <is>
          <t>한국시설안전연구원</t>
        </is>
      </c>
      <c r="C543" s="5" t="n">
        <v>18429252000</v>
      </c>
      <c r="D543" s="5" t="n">
        <v>2376804000</v>
      </c>
      <c r="E543" s="5" t="n">
        <v>16052448000</v>
      </c>
      <c r="F543" s="5" t="n">
        <v>23076868000</v>
      </c>
      <c r="G543" s="5" t="n">
        <v>3165260000</v>
      </c>
      <c r="H543" s="5" t="n">
        <v>19273692000</v>
      </c>
      <c r="I543" s="5" t="n">
        <v>1316566000</v>
      </c>
      <c r="J543" s="4" t="n">
        <v>6.986199855804443</v>
      </c>
      <c r="K543" s="4" t="n">
        <v>0.1481000036001205</v>
      </c>
      <c r="L543" s="4" t="n">
        <v>0.1371999979019165</v>
      </c>
      <c r="M543" t="inlineStr">
        <is>
          <t>엄경득</t>
        </is>
      </c>
      <c r="N543" t="inlineStr">
        <is>
          <t>02-562-2255</t>
        </is>
      </c>
      <c r="O543" t="inlineStr">
        <is>
          <t>02-562-2235</t>
        </is>
      </c>
      <c r="P543" s="3">
        <f>HYPERLINK("http://www.kisri.co.kr/", "http://www.kisri.co.kr/")</f>
        <v/>
      </c>
      <c r="Q543" t="inlineStr">
        <is>
          <t>2208704241</t>
        </is>
      </c>
      <c r="R543" t="inlineStr">
        <is>
          <t>1101113166744</t>
        </is>
      </c>
      <c r="S543" t="inlineStr">
        <is>
          <t>대상아님</t>
        </is>
      </c>
      <c r="T543" t="inlineStr">
        <is>
          <t>일반법인</t>
        </is>
      </c>
      <c r="U543" t="inlineStr">
        <is>
          <t>중소기업</t>
        </is>
      </c>
      <c r="V543" t="inlineStr">
        <is>
          <t>외부감사대상</t>
        </is>
      </c>
      <c r="W543" s="6" t="inlineStr">
        <is>
          <t>2005-02-05</t>
        </is>
      </c>
      <c r="X543" t="inlineStr">
        <is>
          <t>KRI:10M7212100</t>
        </is>
      </c>
      <c r="Y543" t="inlineStr">
        <is>
          <t>건물 및 토목 엔지니어링 서비스업</t>
        </is>
      </c>
      <c r="Z543" t="inlineStr">
        <is>
          <t>토목,건축 엔지니어링,원자력발전안전성관련구조물 점검,토목,건축,계측기기 개발,공급</t>
        </is>
      </c>
      <c r="AA543" t="inlineStr">
        <is>
          <t>서울 성동구 성수동1가 656-3번지 서울숲포휴 6층</t>
        </is>
      </c>
      <c r="AB543" t="inlineStr">
        <is>
          <t>서울 성동구 왕십리로 58, 6층 (성수동1가,서울숲포휴)</t>
        </is>
      </c>
    </row>
    <row r="544" ht="19.2" customHeight="1" s="1">
      <c r="A544" t="inlineStr">
        <is>
          <t>NICE:M34055</t>
        </is>
      </c>
      <c r="B544" t="inlineStr">
        <is>
          <t>아레텍</t>
        </is>
      </c>
      <c r="C544" s="5" t="n">
        <v>17634394000</v>
      </c>
      <c r="D544" s="5" t="n">
        <v>4535341000</v>
      </c>
      <c r="E544" s="5" t="n">
        <v>13099053000</v>
      </c>
      <c r="F544" s="5" t="n">
        <v>23783854000</v>
      </c>
      <c r="G544" s="5" t="n">
        <v>5552573000</v>
      </c>
      <c r="H544" s="5" t="n">
        <v>12440344000</v>
      </c>
      <c r="I544" s="5" t="n">
        <v>2019178000</v>
      </c>
      <c r="J544" s="4" t="n">
        <v>3.307399749755859</v>
      </c>
      <c r="K544" s="4" t="n">
        <v>0.3461999893188477</v>
      </c>
      <c r="L544" s="4" t="n">
        <v>0.2335000038146973</v>
      </c>
      <c r="M544" t="inlineStr">
        <is>
          <t>이학원</t>
        </is>
      </c>
      <c r="N544" t="inlineStr">
        <is>
          <t>053-588-1740</t>
        </is>
      </c>
      <c r="O544" t="inlineStr">
        <is>
          <t>053-592-1740</t>
        </is>
      </c>
      <c r="P544" s="3">
        <f>HYPERLINK("http://www.are-tech.co.kr", "http://www.are-tech.co.kr")</f>
        <v/>
      </c>
      <c r="Q544" t="inlineStr">
        <is>
          <t>5148196800</t>
        </is>
      </c>
      <c r="R544" t="inlineStr">
        <is>
          <t>1701110547086</t>
        </is>
      </c>
      <c r="S544" t="inlineStr">
        <is>
          <t>대상아님</t>
        </is>
      </c>
      <c r="T544" t="inlineStr">
        <is>
          <t>일반법인</t>
        </is>
      </c>
      <c r="U544" t="inlineStr">
        <is>
          <t>중소기업</t>
        </is>
      </c>
      <c r="V544" t="inlineStr">
        <is>
          <t>외부감사대상</t>
        </is>
      </c>
      <c r="W544" s="6" t="inlineStr">
        <is>
          <t>2014-11-14</t>
        </is>
      </c>
      <c r="X544" t="inlineStr">
        <is>
          <t>KRI:10C2612900</t>
        </is>
      </c>
      <c r="Y544" t="inlineStr">
        <is>
          <t>기타 반도체소자 제조업</t>
        </is>
      </c>
      <c r="Z544" t="inlineStr">
        <is>
          <t>반도체디스플레이장비 제조/부동산 임대/컴퓨터,주변기기 도소매</t>
        </is>
      </c>
      <c r="AA544" t="inlineStr">
        <is>
          <t>대구 달성군 다사읍 세천리 1668-10번지 2동</t>
        </is>
      </c>
      <c r="AB544" t="inlineStr">
        <is>
          <t>대구 달성군 다사읍 세천로7길 17-10, 2동</t>
        </is>
      </c>
    </row>
    <row r="545" s="1">
      <c r="A545" t="inlineStr">
        <is>
          <t>NICE:050670</t>
        </is>
      </c>
      <c r="B545" t="inlineStr">
        <is>
          <t>한국에스엠씨</t>
        </is>
      </c>
      <c r="C545" s="5" t="n">
        <v>828147654000</v>
      </c>
      <c r="D545" s="5" t="n">
        <v>76497140000</v>
      </c>
      <c r="E545" s="5" t="n">
        <v>751650514000</v>
      </c>
      <c r="F545" s="5" t="n">
        <v>496443923000</v>
      </c>
      <c r="G545" s="5" t="n">
        <v>57984287000</v>
      </c>
      <c r="H545" s="5" t="n">
        <v>559145052000</v>
      </c>
      <c r="I545" s="5" t="n">
        <v>67397798000</v>
      </c>
      <c r="J545" s="4" t="n">
        <v>10.94769954681396</v>
      </c>
      <c r="K545" s="4" t="n">
        <v>0.1018000021576881</v>
      </c>
      <c r="L545" s="4" t="n">
        <v>0.1168000027537346</v>
      </c>
      <c r="M545" t="inlineStr">
        <is>
          <t>사사히라나오요시</t>
        </is>
      </c>
      <c r="N545" t="inlineStr">
        <is>
          <t>02-3219-0700</t>
        </is>
      </c>
      <c r="O545" t="inlineStr">
        <is>
          <t>02-3219-0702</t>
        </is>
      </c>
      <c r="P545">
        <f>HYPERLINK("http://www.smckorea.co.kr", "http://www.smckorea.co.kr")</f>
        <v/>
      </c>
      <c r="Q545" t="inlineStr">
        <is>
          <t>1098142868</t>
        </is>
      </c>
      <c r="R545" t="inlineStr">
        <is>
          <t>1101111138761</t>
        </is>
      </c>
      <c r="S545" t="inlineStr">
        <is>
          <t>대상아님</t>
        </is>
      </c>
      <c r="T545" t="inlineStr">
        <is>
          <t>일반법인</t>
        </is>
      </c>
      <c r="U545" t="inlineStr">
        <is>
          <t>중견기업</t>
        </is>
      </c>
      <c r="V545" t="inlineStr">
        <is>
          <t>외부감사대상</t>
        </is>
      </c>
      <c r="W545" s="6" t="inlineStr">
        <is>
          <t>1995-03-17</t>
        </is>
      </c>
      <c r="X545" t="inlineStr">
        <is>
          <t>KRI:10G4659900</t>
        </is>
      </c>
      <c r="Y545" t="inlineStr">
        <is>
          <t>그 외 기타 기계 및 장비 도매업</t>
        </is>
      </c>
      <c r="Z545" t="inlineStr">
        <is>
          <t>공압보조기기,진공기기,자동화제어기기 도매,수출입,제조,A/S</t>
        </is>
      </c>
      <c r="AA545" t="inlineStr">
        <is>
          <t>서울 영등포구 여의도동 18-3번지 스카우트빌딩 8층</t>
        </is>
      </c>
      <c r="AB545" t="inlineStr">
        <is>
          <t>서울 영등포구 국회대로62길 14, 8층 (여의도동,스카우트빌딩)</t>
        </is>
      </c>
    </row>
    <row r="546" ht="19.2" customHeight="1" s="1">
      <c r="A546" t="inlineStr">
        <is>
          <t>NICE:030330</t>
        </is>
      </c>
      <c r="B546" t="inlineStr">
        <is>
          <t>에스더블유해운</t>
        </is>
      </c>
      <c r="C546" s="5" t="n">
        <v>189955859000</v>
      </c>
      <c r="D546" s="5" t="n">
        <v>165704644000</v>
      </c>
      <c r="E546" s="5" t="n">
        <v>24251216000</v>
      </c>
      <c r="F546" s="5" t="n">
        <v>38716344000</v>
      </c>
      <c r="G546" s="5" t="n">
        <v>4442567000</v>
      </c>
      <c r="H546" s="5" t="n">
        <v>39039398000</v>
      </c>
      <c r="I546" s="5" t="n">
        <v>4637234000</v>
      </c>
      <c r="J546" s="4" t="n">
        <v>2.52049994468689</v>
      </c>
      <c r="K546" s="4" t="n">
        <v>6.832799911499023</v>
      </c>
      <c r="L546" s="4" t="n">
        <v>0.1146999970078468</v>
      </c>
      <c r="M546" t="inlineStr">
        <is>
          <t>강성훈/최영근</t>
        </is>
      </c>
      <c r="N546" t="inlineStr">
        <is>
          <t>02-397-7608</t>
        </is>
      </c>
      <c r="O546" t="inlineStr">
        <is>
          <t>02-734-8981</t>
        </is>
      </c>
      <c r="P546" s="3" t="n"/>
      <c r="Q546" t="inlineStr">
        <is>
          <t>1028133387</t>
        </is>
      </c>
      <c r="R546" t="inlineStr">
        <is>
          <t>1101110996392</t>
        </is>
      </c>
      <c r="S546" t="inlineStr">
        <is>
          <t>대상아님</t>
        </is>
      </c>
      <c r="T546" t="inlineStr">
        <is>
          <t>일반법인</t>
        </is>
      </c>
      <c r="U546" t="inlineStr">
        <is>
          <t>중소기업</t>
        </is>
      </c>
      <c r="V546" t="inlineStr">
        <is>
          <t>외부감사대상</t>
        </is>
      </c>
      <c r="W546" s="6" t="inlineStr">
        <is>
          <t>1993-12-23</t>
        </is>
      </c>
      <c r="X546" t="inlineStr">
        <is>
          <t>KRI:10H5011200</t>
        </is>
      </c>
      <c r="Y546" t="inlineStr">
        <is>
          <t>외항 화물 운송업</t>
        </is>
      </c>
      <c r="Z546" t="inlineStr">
        <is>
          <t>외항부정기화물 운송,복합운송 주선,선박관리</t>
        </is>
      </c>
      <c r="AA546" t="inlineStr">
        <is>
          <t>서울 강남구 도곡동 467-23번지 인스토피아빌딩 707호</t>
        </is>
      </c>
      <c r="AB546" t="inlineStr">
        <is>
          <t>서울 강남구 언주로 120, 707호 (도곡동,인스토피아빌딩)</t>
        </is>
      </c>
    </row>
    <row r="547" ht="19.2" customHeight="1" s="1">
      <c r="A547" t="inlineStr">
        <is>
          <t>NICE:311472</t>
        </is>
      </c>
      <c r="B547" t="inlineStr">
        <is>
          <t>한국코카콜라</t>
        </is>
      </c>
      <c r="C547" s="5" t="n">
        <v>126647270000</v>
      </c>
      <c r="D547" s="5" t="n">
        <v>57648615000</v>
      </c>
      <c r="E547" s="5" t="n">
        <v>68998654000</v>
      </c>
      <c r="F547" s="5" t="n">
        <v>297531599000</v>
      </c>
      <c r="G547" s="5" t="n">
        <v>74628900000</v>
      </c>
      <c r="H547" s="5" t="n">
        <v>307938238000</v>
      </c>
      <c r="I547" s="5" t="n">
        <v>68679629000</v>
      </c>
      <c r="J547" s="4" t="n">
        <v>1.325599908828735</v>
      </c>
      <c r="K547" s="4" t="n">
        <v>0.8355000019073486</v>
      </c>
      <c r="L547" s="4" t="n">
        <v>0.2507999837398529</v>
      </c>
      <c r="M547" t="inlineStr">
        <is>
          <t>이준엽</t>
        </is>
      </c>
      <c r="N547" t="inlineStr">
        <is>
          <t>031-450-5900</t>
        </is>
      </c>
      <c r="O547" t="inlineStr">
        <is>
          <t>031-455-3243</t>
        </is>
      </c>
      <c r="P547" s="3">
        <f>HYPERLINK("http://www.coca-cola.com", "http://www.coca-cola.com")</f>
        <v/>
      </c>
      <c r="Q547" t="inlineStr">
        <is>
          <t>1388102807</t>
        </is>
      </c>
      <c r="R547" t="inlineStr">
        <is>
          <t>1352140000279</t>
        </is>
      </c>
      <c r="S547" t="inlineStr">
        <is>
          <t>대상아님</t>
        </is>
      </c>
      <c r="T547" t="inlineStr">
        <is>
          <t>일반법인</t>
        </is>
      </c>
      <c r="U547" t="inlineStr">
        <is>
          <t>중견기업</t>
        </is>
      </c>
      <c r="V547" t="inlineStr">
        <is>
          <t>외부감사대상</t>
        </is>
      </c>
      <c r="W547" s="6" t="inlineStr">
        <is>
          <t>1974-01-29</t>
        </is>
      </c>
      <c r="X547" t="inlineStr">
        <is>
          <t>KRI:10C1120900</t>
        </is>
      </c>
      <c r="Y547" t="inlineStr">
        <is>
          <t>기타 비알코올 음료 제조업</t>
        </is>
      </c>
      <c r="Z547" t="inlineStr">
        <is>
          <t>청량음료(코카콜라,환타),기호음료원제 제조,도매</t>
        </is>
      </c>
      <c r="AA547" t="inlineStr">
        <is>
          <t>경기 의왕시 고천동 289-1번지</t>
        </is>
      </c>
      <c r="AB547" t="inlineStr">
        <is>
          <t>경기 의왕시 고천공업로 5</t>
        </is>
      </c>
    </row>
    <row r="548" ht="19.2" customHeight="1" s="1">
      <c r="A548" t="inlineStr">
        <is>
          <t>NICE:245030</t>
        </is>
      </c>
      <c r="B548" t="inlineStr">
        <is>
          <t>군산레져산업</t>
        </is>
      </c>
      <c r="C548" s="5" t="n">
        <v>117136257000</v>
      </c>
      <c r="D548" s="5" t="n">
        <v>30745463000</v>
      </c>
      <c r="E548" s="5" t="n">
        <v>86390794000</v>
      </c>
      <c r="F548" s="5" t="n">
        <v>31697352000</v>
      </c>
      <c r="G548" s="5" t="n">
        <v>6683287000</v>
      </c>
      <c r="H548" s="5" t="n">
        <v>30785428000</v>
      </c>
      <c r="I548" s="5" t="n">
        <v>6272126000</v>
      </c>
      <c r="J548" s="4" t="n">
        <v>1.389299869537354</v>
      </c>
      <c r="K548" s="4" t="n">
        <v>0.35589998960495</v>
      </c>
      <c r="L548" s="4" t="n">
        <v>0.2107999920845032</v>
      </c>
      <c r="M548" t="inlineStr">
        <is>
          <t>김강학/김강호</t>
        </is>
      </c>
      <c r="N548" t="inlineStr">
        <is>
          <t>063-472-3300</t>
        </is>
      </c>
      <c r="O548" t="inlineStr">
        <is>
          <t>063-472-3333</t>
        </is>
      </c>
      <c r="P548" s="3">
        <f>HYPERLINK("http://www.gunsancc.net", "http://www.gunsancc.net")</f>
        <v/>
      </c>
      <c r="Q548" t="inlineStr">
        <is>
          <t>4018123409</t>
        </is>
      </c>
      <c r="R548" t="inlineStr">
        <is>
          <t>2111110016156</t>
        </is>
      </c>
      <c r="S548" t="inlineStr">
        <is>
          <t>대상아님</t>
        </is>
      </c>
      <c r="T548" t="inlineStr">
        <is>
          <t>일반법인</t>
        </is>
      </c>
      <c r="U548" t="inlineStr">
        <is>
          <t>중소기업</t>
        </is>
      </c>
      <c r="V548" t="inlineStr">
        <is>
          <t>외부감사대상</t>
        </is>
      </c>
      <c r="W548" s="6" t="inlineStr">
        <is>
          <t>2003-02-06</t>
        </is>
      </c>
      <c r="X548" t="inlineStr">
        <is>
          <t>KRI:10R9112100</t>
        </is>
      </c>
      <c r="Y548" t="inlineStr">
        <is>
          <t>골프장 운영업</t>
        </is>
      </c>
      <c r="Z548" t="inlineStr">
        <is>
          <t>골프장 운영</t>
        </is>
      </c>
      <c r="AA548" t="inlineStr">
        <is>
          <t>전북 군산시 옥서면 옥봉리 1727-1번지</t>
        </is>
      </c>
      <c r="AB548" t="inlineStr">
        <is>
          <t>전북 군산시 옥서면 남군산로 1911-7</t>
        </is>
      </c>
    </row>
    <row r="549" ht="19.2" customHeight="1" s="1">
      <c r="A549" t="inlineStr">
        <is>
          <t>NICE:169326</t>
        </is>
      </c>
      <c r="B549" t="inlineStr">
        <is>
          <t>로봇앤드디자인</t>
        </is>
      </c>
      <c r="C549" s="5" t="n">
        <v>109100813000</v>
      </c>
      <c r="D549" s="5" t="n">
        <v>13524723000</v>
      </c>
      <c r="E549" s="5" t="n">
        <v>95576090000</v>
      </c>
      <c r="F549" s="5" t="n">
        <v>71086839000</v>
      </c>
      <c r="G549" s="5" t="n">
        <v>14815070000</v>
      </c>
      <c r="H549" s="5" t="n">
        <v>78866805000</v>
      </c>
      <c r="I549" s="5" t="n">
        <v>17903882000</v>
      </c>
      <c r="J549" s="4" t="n">
        <v>5.606899738311768</v>
      </c>
      <c r="K549" s="4" t="n">
        <v>0.1414999961853027</v>
      </c>
      <c r="L549" s="4" t="n">
        <v>0.2083999961614609</v>
      </c>
      <c r="M549" t="inlineStr">
        <is>
          <t>김진오/한진석</t>
        </is>
      </c>
      <c r="N549" t="inlineStr">
        <is>
          <t>031-708-2684</t>
        </is>
      </c>
      <c r="O549" t="inlineStr">
        <is>
          <t>031-706-9093</t>
        </is>
      </c>
      <c r="P549" s="3">
        <f>HYPERLINK("http://www.rnd.re.kr", "http://www.rnd.re.kr")</f>
        <v/>
      </c>
      <c r="Q549" t="inlineStr">
        <is>
          <t>1128151761</t>
        </is>
      </c>
      <c r="R549" t="inlineStr">
        <is>
          <t>1101111667893</t>
        </is>
      </c>
      <c r="S549" t="inlineStr">
        <is>
          <t>대상아님</t>
        </is>
      </c>
      <c r="T549" t="inlineStr">
        <is>
          <t>일반법인</t>
        </is>
      </c>
      <c r="U549" t="inlineStr">
        <is>
          <t>중소기업</t>
        </is>
      </c>
      <c r="V549" t="inlineStr">
        <is>
          <t>외부감사대상</t>
        </is>
      </c>
      <c r="W549" s="6" t="inlineStr">
        <is>
          <t>1999-03-22</t>
        </is>
      </c>
      <c r="X549" t="inlineStr">
        <is>
          <t>KRI:10C2928000</t>
        </is>
      </c>
      <c r="Y549" t="inlineStr">
        <is>
          <t>산업용 로봇 제조업</t>
        </is>
      </c>
      <c r="Z549" t="inlineStr">
        <is>
          <t>산업용로봇,자동화시스템,초저온장비,바이오용기 제조/무역/연구개발</t>
        </is>
      </c>
      <c r="AA549" t="inlineStr">
        <is>
          <t>경기 용인시 처인구 고림동 919번지</t>
        </is>
      </c>
      <c r="AB549" t="inlineStr">
        <is>
          <t>경기 용인시 처인구 경안천로 364</t>
        </is>
      </c>
    </row>
    <row r="550" ht="19.2" customHeight="1" s="1">
      <c r="A550" t="inlineStr">
        <is>
          <t>NICE:001767</t>
        </is>
      </c>
      <c r="B550" t="inlineStr">
        <is>
          <t>동광화학</t>
        </is>
      </c>
      <c r="C550" s="5" t="n">
        <v>76283297000</v>
      </c>
      <c r="D550" s="5" t="n">
        <v>33282422000</v>
      </c>
      <c r="E550" s="5" t="n">
        <v>43000874000</v>
      </c>
      <c r="F550" s="5" t="n">
        <v>40081594000</v>
      </c>
      <c r="G550" s="5" t="n">
        <v>4377697000</v>
      </c>
      <c r="H550" s="5" t="n">
        <v>42000706000</v>
      </c>
      <c r="I550" s="5" t="n">
        <v>8216501000</v>
      </c>
      <c r="J550" s="4" t="n">
        <v>1.118899941444397</v>
      </c>
      <c r="K550" s="4" t="n">
        <v>0.7739999890327454</v>
      </c>
      <c r="L550" s="4" t="n">
        <v>0.1092000007629395</v>
      </c>
      <c r="M550" t="inlineStr">
        <is>
          <t>최남호/최두준</t>
        </is>
      </c>
      <c r="N550" t="inlineStr">
        <is>
          <t>02-538-0386</t>
        </is>
      </c>
      <c r="O550" t="inlineStr">
        <is>
          <t>02-538-8107</t>
        </is>
      </c>
      <c r="P550" s="3" t="n"/>
      <c r="Q550" t="inlineStr">
        <is>
          <t>1178114460</t>
        </is>
      </c>
      <c r="R550" t="inlineStr">
        <is>
          <t>1101110349179</t>
        </is>
      </c>
      <c r="S550" t="inlineStr">
        <is>
          <t>대상아님</t>
        </is>
      </c>
      <c r="T550" t="inlineStr">
        <is>
          <t>일반법인</t>
        </is>
      </c>
      <c r="U550" t="inlineStr">
        <is>
          <t>중소기업</t>
        </is>
      </c>
      <c r="V550" t="inlineStr">
        <is>
          <t>외부감사대상</t>
        </is>
      </c>
      <c r="W550" s="6" t="inlineStr">
        <is>
          <t>1983-05-02</t>
        </is>
      </c>
      <c r="X550" t="inlineStr">
        <is>
          <t>KRI:10C2012100</t>
        </is>
      </c>
      <c r="Y550" t="inlineStr">
        <is>
          <t>산업용 가스 제조업</t>
        </is>
      </c>
      <c r="Z550" t="inlineStr">
        <is>
          <t>고체,액체 탄산가스,드라이아이스 제조,도매</t>
        </is>
      </c>
      <c r="AA550" t="inlineStr">
        <is>
          <t>서울 강남구 대치동 1001-8번지 동남유화빌딩</t>
        </is>
      </c>
      <c r="AB550" t="inlineStr">
        <is>
          <t>서울 강남구 영동대로86길 12 (대치동,동남유화빌딩)</t>
        </is>
      </c>
    </row>
    <row r="551" s="1">
      <c r="A551" t="inlineStr">
        <is>
          <t>NICE:E65281</t>
        </is>
      </c>
      <c r="B551" t="inlineStr">
        <is>
          <t>하이테코</t>
        </is>
      </c>
      <c r="C551" s="5" t="n">
        <v>60690731000</v>
      </c>
      <c r="D551" s="5" t="n">
        <v>25228327000</v>
      </c>
      <c r="E551" s="5" t="n">
        <v>35462404000</v>
      </c>
      <c r="F551" s="5" t="n">
        <v>58543791000</v>
      </c>
      <c r="G551" s="5" t="n">
        <v>6039181000</v>
      </c>
      <c r="H551" s="5" t="n">
        <v>52749886000</v>
      </c>
      <c r="I551" s="5" t="n">
        <v>4614334000</v>
      </c>
      <c r="J551" s="4" t="n">
        <v>1.835500001907349</v>
      </c>
      <c r="K551" s="4" t="n">
        <v>0.7113999724388123</v>
      </c>
      <c r="L551" s="4" t="n">
        <v>0.1031999960541725</v>
      </c>
      <c r="M551" t="inlineStr">
        <is>
          <t>박성종/이길태</t>
        </is>
      </c>
      <c r="N551" t="inlineStr">
        <is>
          <t>070-4825-2192</t>
        </is>
      </c>
      <c r="O551" t="inlineStr">
        <is>
          <t>031-319-8665</t>
        </is>
      </c>
      <c r="Q551" t="inlineStr">
        <is>
          <t>1408157339</t>
        </is>
      </c>
      <c r="R551" t="inlineStr">
        <is>
          <t>1355110230074</t>
        </is>
      </c>
      <c r="S551" t="inlineStr">
        <is>
          <t>대상아님</t>
        </is>
      </c>
      <c r="T551" t="inlineStr">
        <is>
          <t>일반법인</t>
        </is>
      </c>
      <c r="U551" t="inlineStr">
        <is>
          <t>중소기업</t>
        </is>
      </c>
      <c r="V551" t="inlineStr">
        <is>
          <t>외부감사대상</t>
        </is>
      </c>
      <c r="W551" s="6" t="inlineStr">
        <is>
          <t>2011-10-24</t>
        </is>
      </c>
      <c r="X551" t="inlineStr">
        <is>
          <t>KRI:10G4653900</t>
        </is>
      </c>
      <c r="Y551" t="inlineStr">
        <is>
          <t>기타 산업용 기계 및 장비 도매업</t>
        </is>
      </c>
      <c r="Z551" t="inlineStr">
        <is>
          <t>기계공구,절삭가공공구 도소매</t>
        </is>
      </c>
      <c r="AA551" t="inlineStr">
        <is>
          <t>경기 시흥시 정왕동 2664-1번지</t>
        </is>
      </c>
      <c r="AB551" t="inlineStr">
        <is>
          <t>경기 시흥시 엠티브이24로 27</t>
        </is>
      </c>
    </row>
    <row r="552" ht="19.2" customHeight="1" s="1">
      <c r="A552" t="inlineStr">
        <is>
          <t>NICE:820880</t>
        </is>
      </c>
      <c r="B552" t="inlineStr">
        <is>
          <t>사호축산영농조합법인</t>
        </is>
      </c>
      <c r="C552" s="5" t="n">
        <v>34229850000</v>
      </c>
      <c r="D552" s="5" t="n">
        <v>16866021000</v>
      </c>
      <c r="E552" s="5" t="n">
        <v>17363830000</v>
      </c>
      <c r="F552" s="5" t="n">
        <v>25111032000</v>
      </c>
      <c r="G552" s="5" t="n">
        <v>5386687000</v>
      </c>
      <c r="H552" s="5" t="n">
        <v>18641921000</v>
      </c>
      <c r="I552" s="5" t="n">
        <v>1920189000</v>
      </c>
      <c r="J552" s="4" t="n">
        <v>0.7580999732017517</v>
      </c>
      <c r="K552" s="4" t="n">
        <v>0.971299946308136</v>
      </c>
      <c r="L552" s="4" t="n">
        <v>0.2145000100135803</v>
      </c>
      <c r="M552" t="inlineStr">
        <is>
          <t>이창주</t>
        </is>
      </c>
      <c r="N552" t="inlineStr">
        <is>
          <t>041-641-9600</t>
        </is>
      </c>
      <c r="O552" t="inlineStr">
        <is>
          <t>041-641-2158</t>
        </is>
      </c>
      <c r="P552" s="3" t="n"/>
      <c r="Q552" t="inlineStr">
        <is>
          <t>3138103580</t>
        </is>
      </c>
      <c r="R552" t="inlineStr">
        <is>
          <t>1645710001953</t>
        </is>
      </c>
      <c r="S552" t="inlineStr">
        <is>
          <t>대상아님</t>
        </is>
      </c>
      <c r="T552" t="inlineStr">
        <is>
          <t>일반법인</t>
        </is>
      </c>
      <c r="U552" t="inlineStr">
        <is>
          <t>중견기업</t>
        </is>
      </c>
      <c r="V552" t="inlineStr">
        <is>
          <t>외부감사비대상</t>
        </is>
      </c>
      <c r="W552" s="6" t="inlineStr">
        <is>
          <t>1996-09-21</t>
        </is>
      </c>
      <c r="X552" t="inlineStr">
        <is>
          <t>KRI:10A0122000</t>
        </is>
      </c>
      <c r="Y552" t="inlineStr">
        <is>
          <t>양돈업</t>
        </is>
      </c>
      <c r="Z552" t="inlineStr">
        <is>
          <t>양돈</t>
        </is>
      </c>
      <c r="AA552" t="inlineStr">
        <is>
          <t>충남 보령시 천북면 학성리 428-1번지</t>
        </is>
      </c>
      <c r="AB552" t="inlineStr">
        <is>
          <t>충남 보령시 천북면 사호장은로 107-107</t>
        </is>
      </c>
    </row>
    <row r="553" ht="19.2" customHeight="1" s="1">
      <c r="A553" t="inlineStr">
        <is>
          <t>NICE:OO1581</t>
        </is>
      </c>
      <c r="B553" t="inlineStr">
        <is>
          <t>요아정</t>
        </is>
      </c>
      <c r="C553" s="5" t="n">
        <v>20119502000</v>
      </c>
      <c r="D553" s="5" t="n">
        <v>9576307000</v>
      </c>
      <c r="E553" s="5" t="n">
        <v>10543195000</v>
      </c>
      <c r="F553" s="5" t="n">
        <v>59754918000</v>
      </c>
      <c r="G553" s="5" t="n">
        <v>13406012000</v>
      </c>
      <c r="H553" s="5" t="n">
        <v>47107833000</v>
      </c>
      <c r="I553" s="5" t="n">
        <v>12091020000</v>
      </c>
      <c r="J553" s="4" t="n">
        <v>1.520299911499023</v>
      </c>
      <c r="K553" s="4" t="n">
        <v>0.90829998254776</v>
      </c>
      <c r="L553" s="4" t="n">
        <v>0.2242999970912933</v>
      </c>
      <c r="M553" t="inlineStr">
        <is>
          <t>박현희</t>
        </is>
      </c>
      <c r="N553" t="inlineStr">
        <is>
          <t>1551-8106</t>
        </is>
      </c>
      <c r="P553" s="3">
        <f>HYPERLINK("http://yoajung.co.kr", "http://yoajung.co.kr")</f>
        <v/>
      </c>
      <c r="Q553" t="inlineStr">
        <is>
          <t>6968602195</t>
        </is>
      </c>
      <c r="R553" t="inlineStr">
        <is>
          <t>1101117976454</t>
        </is>
      </c>
      <c r="S553" t="inlineStr">
        <is>
          <t>대상아님</t>
        </is>
      </c>
      <c r="T553" t="inlineStr">
        <is>
          <t>일반법인</t>
        </is>
      </c>
      <c r="U553" t="inlineStr">
        <is>
          <t>중소기업</t>
        </is>
      </c>
      <c r="V553" t="inlineStr">
        <is>
          <t>외부감사대상</t>
        </is>
      </c>
      <c r="W553" s="6" t="inlineStr">
        <is>
          <t>2021-08-02</t>
        </is>
      </c>
      <c r="X553" t="inlineStr">
        <is>
          <t>KRI:10G4632500</t>
        </is>
      </c>
      <c r="Y553" t="inlineStr">
        <is>
          <t>커피 및 차류 도매업</t>
        </is>
      </c>
      <c r="Z553" t="inlineStr">
        <is>
          <t>커피,차류 도매/경영컨설팅</t>
        </is>
      </c>
      <c r="AA553" t="inlineStr">
        <is>
          <t>서울 성동구 성수동2가 280번지 1201호, 1202호, 1203호, 1204호, 1205호</t>
        </is>
      </c>
      <c r="AB553" t="inlineStr">
        <is>
          <t>서울 성동구 아차산로17길 48, 1201호, 1202호, 1203호, 1204호, 1205호</t>
        </is>
      </c>
    </row>
    <row r="554" ht="19.2" customHeight="1" s="1">
      <c r="A554" t="inlineStr">
        <is>
          <t>NICE:007560</t>
        </is>
      </c>
      <c r="B554" t="inlineStr">
        <is>
          <t>한국카라겐</t>
        </is>
      </c>
      <c r="C554" s="5" t="n">
        <v>32518545000</v>
      </c>
      <c r="D554" s="5" t="n">
        <v>5028161000</v>
      </c>
      <c r="E554" s="5" t="n">
        <v>27490385000</v>
      </c>
      <c r="F554" s="5" t="n">
        <v>41448130000</v>
      </c>
      <c r="G554" s="5" t="n">
        <v>12090650000</v>
      </c>
      <c r="H554" s="5" t="n">
        <v>32879865000</v>
      </c>
      <c r="I554" s="5" t="n">
        <v>8805207000</v>
      </c>
      <c r="J554" s="4" t="n">
        <v>8.387800216674805</v>
      </c>
      <c r="K554" s="4" t="n">
        <v>0.1829000115394592</v>
      </c>
      <c r="L554" s="4" t="n">
        <v>0.291700005531311</v>
      </c>
      <c r="M554" t="inlineStr">
        <is>
          <t>김진선</t>
        </is>
      </c>
      <c r="N554" t="inlineStr">
        <is>
          <t>02-773-6501</t>
        </is>
      </c>
      <c r="O554" t="inlineStr">
        <is>
          <t>02-774-9740</t>
        </is>
      </c>
      <c r="P554" s="3">
        <f>HYPERLINK("http://www.kocara.com", "http://www.kocara.com")</f>
        <v/>
      </c>
      <c r="Q554" t="inlineStr">
        <is>
          <t>1048124166</t>
        </is>
      </c>
      <c r="R554" t="inlineStr">
        <is>
          <t>1101110241119</t>
        </is>
      </c>
      <c r="S554" t="inlineStr">
        <is>
          <t>대상아님</t>
        </is>
      </c>
      <c r="T554" t="inlineStr">
        <is>
          <t>일반법인</t>
        </is>
      </c>
      <c r="U554" t="inlineStr">
        <is>
          <t>중소기업</t>
        </is>
      </c>
      <c r="V554" t="inlineStr">
        <is>
          <t>외부감사대상</t>
        </is>
      </c>
      <c r="W554" s="6" t="inlineStr">
        <is>
          <t>1978-11-01</t>
        </is>
      </c>
      <c r="X554" t="inlineStr">
        <is>
          <t>KRI:10C1074900</t>
        </is>
      </c>
      <c r="Y554" t="inlineStr">
        <is>
          <t>기타 식품 첨가물 제조업</t>
        </is>
      </c>
      <c r="Z554" t="inlineStr">
        <is>
          <t>식품첨가물,식품 제조,가공/농수산물 도매</t>
        </is>
      </c>
      <c r="AA554" t="inlineStr">
        <is>
          <t>서울 중구 북창동 21번지 해남빌딩 신관 1022호</t>
        </is>
      </c>
      <c r="AB554" t="inlineStr">
        <is>
          <t>서울 중구 세종대로 64, 신관 1022호 (북창동,해남빌딩)</t>
        </is>
      </c>
    </row>
    <row r="555" ht="19.2" customHeight="1" s="1">
      <c r="A555" t="inlineStr">
        <is>
          <t>NICE:298891</t>
        </is>
      </c>
      <c r="B555" t="inlineStr">
        <is>
          <t>신동</t>
        </is>
      </c>
      <c r="C555" s="5" t="n">
        <v>29622849000</v>
      </c>
      <c r="D555" s="5" t="n">
        <v>11897587000</v>
      </c>
      <c r="E555" s="5" t="n">
        <v>17725262000</v>
      </c>
      <c r="F555" s="5" t="n">
        <v>32166450000</v>
      </c>
      <c r="G555" s="5" t="n">
        <v>3242266000</v>
      </c>
      <c r="H555" s="5" t="n">
        <v>30607846000</v>
      </c>
      <c r="I555" s="5" t="n">
        <v>1388369000</v>
      </c>
      <c r="J555" s="4" t="n">
        <v>2.469499826431274</v>
      </c>
      <c r="K555" s="4" t="n">
        <v>0.6712000370025635</v>
      </c>
      <c r="L555" s="4" t="n">
        <v>0.1008000001311302</v>
      </c>
      <c r="M555" t="inlineStr">
        <is>
          <t>김형중</t>
        </is>
      </c>
      <c r="N555" t="inlineStr">
        <is>
          <t>033-591-7255</t>
        </is>
      </c>
      <c r="O555" t="inlineStr">
        <is>
          <t>033-591-1297</t>
        </is>
      </c>
      <c r="P555" s="3" t="n"/>
      <c r="Q555" t="inlineStr">
        <is>
          <t>2258102116</t>
        </is>
      </c>
      <c r="R555" t="inlineStr">
        <is>
          <t>1101110725816</t>
        </is>
      </c>
      <c r="S555" t="inlineStr">
        <is>
          <t>대상아님</t>
        </is>
      </c>
      <c r="T555" t="inlineStr">
        <is>
          <t>일반법인</t>
        </is>
      </c>
      <c r="U555" t="inlineStr">
        <is>
          <t>중소기업</t>
        </is>
      </c>
      <c r="V555" t="inlineStr">
        <is>
          <t>외부감사대상</t>
        </is>
      </c>
      <c r="W555" s="6" t="inlineStr">
        <is>
          <t>1990-10-16</t>
        </is>
      </c>
      <c r="X555" t="inlineStr">
        <is>
          <t>KRI:10B0711000</t>
        </is>
      </c>
      <c r="Y555" t="inlineStr">
        <is>
          <t>석회석 및 점토 광업</t>
        </is>
      </c>
      <c r="Z555" t="inlineStr">
        <is>
          <t>석회석,쇄골재 채취/광물 분쇄</t>
        </is>
      </c>
      <c r="AA555" t="inlineStr">
        <is>
          <t>강원 정선군 남면 문곡리 산330번지</t>
        </is>
      </c>
      <c r="AB555" t="inlineStr">
        <is>
          <t>강원 정선군 남면 곰골길 159-13</t>
        </is>
      </c>
    </row>
    <row r="556" ht="19.2" customHeight="1" s="1">
      <c r="A556" t="inlineStr">
        <is>
          <t>NICE:069884</t>
        </is>
      </c>
      <c r="B556" t="inlineStr">
        <is>
          <t>신한종합건축사사무소</t>
        </is>
      </c>
      <c r="C556" s="5" t="n">
        <v>49693532000</v>
      </c>
      <c r="D556" s="5" t="n">
        <v>19964772000</v>
      </c>
      <c r="E556" s="5" t="n">
        <v>29728761000</v>
      </c>
      <c r="F556" s="5" t="n">
        <v>46721630000</v>
      </c>
      <c r="G556" s="5" t="n">
        <v>5796892000</v>
      </c>
      <c r="H556" s="5" t="n">
        <v>53094241000</v>
      </c>
      <c r="I556" s="5" t="n">
        <v>7818008000</v>
      </c>
      <c r="J556" s="4" t="n">
        <v>2.106899976730347</v>
      </c>
      <c r="K556" s="4" t="n">
        <v>0.6716000437736511</v>
      </c>
      <c r="L556" s="4" t="n">
        <v>0.1240999922156334</v>
      </c>
      <c r="M556" t="inlineStr">
        <is>
          <t>송영인</t>
        </is>
      </c>
      <c r="N556" t="inlineStr">
        <is>
          <t>02-405-8114</t>
        </is>
      </c>
      <c r="O556" t="inlineStr">
        <is>
          <t>02-405-8100</t>
        </is>
      </c>
      <c r="P556" s="3">
        <f>HYPERLINK("http://www.shinhana.com", "http://www.shinhana.com")</f>
        <v/>
      </c>
      <c r="Q556" t="inlineStr">
        <is>
          <t>2158123448</t>
        </is>
      </c>
      <c r="R556" t="inlineStr">
        <is>
          <t>1101110192875</t>
        </is>
      </c>
      <c r="S556" t="inlineStr">
        <is>
          <t>대상아님</t>
        </is>
      </c>
      <c r="T556" t="inlineStr">
        <is>
          <t>일반법인</t>
        </is>
      </c>
      <c r="U556" t="inlineStr">
        <is>
          <t>중소기업</t>
        </is>
      </c>
      <c r="V556" t="inlineStr">
        <is>
          <t>외부감사대상</t>
        </is>
      </c>
      <c r="W556" s="6" t="inlineStr">
        <is>
          <t>1976-03-09</t>
        </is>
      </c>
      <c r="X556" t="inlineStr">
        <is>
          <t>KRI:10M7211100</t>
        </is>
      </c>
      <c r="Y556" t="inlineStr">
        <is>
          <t>건축설계 및 관련 서비스업</t>
        </is>
      </c>
      <c r="Z556" t="inlineStr">
        <is>
          <t>건축 시공감리,설계감리,사업개발,타당성검토용역/학술,연구용역/부동산 임대</t>
        </is>
      </c>
      <c r="AA556" t="inlineStr">
        <is>
          <t>서울 강남구 삼성동 168-23번지 정석빌딩 2층-4층</t>
        </is>
      </c>
      <c r="AB556" t="inlineStr">
        <is>
          <t>서울 강남구 테헤란로103길 17, 2층-4층 (삼성동,정석빌딩)</t>
        </is>
      </c>
    </row>
    <row r="557" ht="19.2" customHeight="1" s="1">
      <c r="A557" t="inlineStr">
        <is>
          <t>NICE:470730</t>
        </is>
      </c>
      <c r="B557" t="inlineStr">
        <is>
          <t>퀄컴씨디엠에이테크날러지코리아</t>
        </is>
      </c>
      <c r="C557" s="5" t="n">
        <v>86316156000</v>
      </c>
      <c r="D557" s="5" t="n">
        <v>52473387000</v>
      </c>
      <c r="E557" s="5" t="n">
        <v>33842769000</v>
      </c>
      <c r="F557" s="5" t="n">
        <v>138503708000</v>
      </c>
      <c r="G557" s="5" t="n">
        <v>35056234000</v>
      </c>
      <c r="H557" s="5" t="n">
        <v>145219685000</v>
      </c>
      <c r="I557" s="5" t="n">
        <v>33492760000</v>
      </c>
      <c r="J557" s="4" t="n">
        <v>1.522699952125549</v>
      </c>
      <c r="K557" s="4" t="n">
        <v>1.55050003528595</v>
      </c>
      <c r="L557" s="4" t="n">
        <v>0.2530999779701233</v>
      </c>
      <c r="M557" t="inlineStr">
        <is>
          <t>디셈버그린엔리케즈</t>
        </is>
      </c>
      <c r="N557" t="inlineStr">
        <is>
          <t>02-3404-1114</t>
        </is>
      </c>
      <c r="O557" t="inlineStr">
        <is>
          <t>02-3404-1123</t>
        </is>
      </c>
      <c r="P557" s="3" t="n"/>
      <c r="Q557" t="inlineStr">
        <is>
          <t>1208196449</t>
        </is>
      </c>
      <c r="R557" t="inlineStr">
        <is>
          <t>1101140029923</t>
        </is>
      </c>
      <c r="S557" t="inlineStr">
        <is>
          <t>대상아님</t>
        </is>
      </c>
      <c r="T557" t="inlineStr">
        <is>
          <t>일반법인</t>
        </is>
      </c>
      <c r="U557" t="inlineStr">
        <is>
          <t>중소기업</t>
        </is>
      </c>
      <c r="V557" t="inlineStr">
        <is>
          <t>외부감사대상</t>
        </is>
      </c>
      <c r="W557" s="6" t="inlineStr">
        <is>
          <t>1999-12-06</t>
        </is>
      </c>
      <c r="X557" t="inlineStr">
        <is>
          <t>KRI:10C2642900</t>
        </is>
      </c>
      <c r="Y557" t="inlineStr">
        <is>
          <t>기타 무선 통신장비 제조업</t>
        </is>
      </c>
      <c r="Z557" t="inlineStr">
        <is>
          <t>무선통신장치 제조/통신장비,전기용기계장비,산업용장비 도매,중개</t>
        </is>
      </c>
      <c r="AA557" t="inlineStr">
        <is>
          <t>서울 용산구 한강로2가 424번지 15층</t>
        </is>
      </c>
      <c r="AB557" t="inlineStr">
        <is>
          <t>서울 용산구 한강대로 100, 15층</t>
        </is>
      </c>
    </row>
    <row r="558" ht="19.2" customHeight="1" s="1">
      <c r="A558" t="inlineStr">
        <is>
          <t>NICE:I91960</t>
        </is>
      </c>
      <c r="B558" t="inlineStr">
        <is>
          <t>알씨씨</t>
        </is>
      </c>
      <c r="C558" s="5" t="n">
        <v>18694753000</v>
      </c>
      <c r="D558" s="5" t="n">
        <v>2659833000</v>
      </c>
      <c r="E558" s="5" t="n">
        <v>16034920000</v>
      </c>
      <c r="F558" s="5" t="n">
        <v>38026605000</v>
      </c>
      <c r="G558" s="5" t="n">
        <v>5433188000</v>
      </c>
      <c r="H558" s="5" t="n">
        <v>29700693000</v>
      </c>
      <c r="I558" s="5" t="n">
        <v>6661490000</v>
      </c>
      <c r="J558" s="4" t="n">
        <v>5.311399936676025</v>
      </c>
      <c r="K558" s="4" t="n">
        <v>0.1658999919891357</v>
      </c>
      <c r="L558" s="4" t="n">
        <v>0.1428999900817871</v>
      </c>
      <c r="M558" t="inlineStr">
        <is>
          <t>이의현</t>
        </is>
      </c>
      <c r="N558" t="inlineStr">
        <is>
          <t>02-518-2891</t>
        </is>
      </c>
      <c r="O558" t="inlineStr">
        <is>
          <t>02-518-2892</t>
        </is>
      </c>
      <c r="P558" s="3">
        <f>HYPERLINK("https://rawrow.com/", "https://rawrow.com/")</f>
        <v/>
      </c>
      <c r="Q558" t="inlineStr">
        <is>
          <t>1058783267</t>
        </is>
      </c>
      <c r="R558" t="inlineStr">
        <is>
          <t>1101115059848</t>
        </is>
      </c>
      <c r="S558" t="inlineStr">
        <is>
          <t>대상아님</t>
        </is>
      </c>
      <c r="T558" t="inlineStr">
        <is>
          <t>일반법인</t>
        </is>
      </c>
      <c r="U558" t="inlineStr">
        <is>
          <t>중소기업</t>
        </is>
      </c>
      <c r="V558" t="inlineStr">
        <is>
          <t>외부감사대상</t>
        </is>
      </c>
      <c r="W558" s="6" t="inlineStr">
        <is>
          <t>2013-01-31</t>
        </is>
      </c>
      <c r="X558" t="inlineStr">
        <is>
          <t>KRI:10G4649100</t>
        </is>
      </c>
      <c r="Y558" t="inlineStr">
        <is>
          <t>가방 및 보호용 케이스 도매업</t>
        </is>
      </c>
      <c r="Z558" t="inlineStr">
        <is>
          <t>가방,잡화,안경,중고상품 도소매,수입,수출,통신 판매,전자상거래</t>
        </is>
      </c>
      <c r="AA558" t="inlineStr">
        <is>
          <t>서울 성동구 성수동2가 315-4번지 엠지빌딩 2층</t>
        </is>
      </c>
      <c r="AB558" t="inlineStr">
        <is>
          <t>서울 성동구 성수이로 89, 2층 (성수동2가,엠지빌딩)</t>
        </is>
      </c>
    </row>
    <row r="559" ht="19.2" customHeight="1" s="1">
      <c r="A559" t="inlineStr">
        <is>
          <t>NICE:H68173</t>
        </is>
      </c>
      <c r="B559" t="inlineStr">
        <is>
          <t>두원산업</t>
        </is>
      </c>
      <c r="C559" s="5" t="n">
        <v>50090583000</v>
      </c>
      <c r="D559" s="5" t="n">
        <v>30068459000</v>
      </c>
      <c r="E559" s="5" t="n">
        <v>20022124000</v>
      </c>
      <c r="F559" s="5" t="n">
        <v>25107026000</v>
      </c>
      <c r="G559" s="5" t="n">
        <v>3745797000</v>
      </c>
      <c r="H559" s="5" t="n">
        <v>24321183000</v>
      </c>
      <c r="I559" s="5" t="n">
        <v>3059318000</v>
      </c>
      <c r="J559" s="4" t="n">
        <v>0.4191999733448029</v>
      </c>
      <c r="K559" s="4" t="n">
        <v>1.501799941062927</v>
      </c>
      <c r="L559" s="4" t="n">
        <v>0.1491999924182892</v>
      </c>
      <c r="M559" t="inlineStr">
        <is>
          <t>박선천</t>
        </is>
      </c>
      <c r="N559" t="inlineStr">
        <is>
          <t>061-751-6077</t>
        </is>
      </c>
      <c r="O559" t="inlineStr">
        <is>
          <t>061-751-6078</t>
        </is>
      </c>
      <c r="P559" s="3" t="n"/>
      <c r="Q559" t="inlineStr">
        <is>
          <t>4168178847</t>
        </is>
      </c>
      <c r="R559" t="inlineStr">
        <is>
          <t>2013110046507</t>
        </is>
      </c>
      <c r="S559" t="inlineStr">
        <is>
          <t>대상아님</t>
        </is>
      </c>
      <c r="T559" t="inlineStr">
        <is>
          <t>일반법인</t>
        </is>
      </c>
      <c r="U559" t="inlineStr">
        <is>
          <t>중소기업</t>
        </is>
      </c>
      <c r="V559" t="inlineStr">
        <is>
          <t>외부감사대상</t>
        </is>
      </c>
      <c r="W559" s="6" t="inlineStr">
        <is>
          <t>2011-06-30</t>
        </is>
      </c>
      <c r="X559" t="inlineStr">
        <is>
          <t>KRI:10C2399900</t>
        </is>
      </c>
      <c r="Y559" t="inlineStr">
        <is>
          <t>그 외 기타 분류 안된 비금속 광물제품 제조업</t>
        </is>
      </c>
      <c r="Z559" t="inlineStr">
        <is>
          <t>육상,산림골재채취,비금속광물분쇄/레미콘 제조/트레일러,세미트레일러,특수화물자동차 운송/폐기물 종합재활용</t>
        </is>
      </c>
      <c r="AA559" t="inlineStr">
        <is>
          <t>전남 순천시 해룡면 호두리 1200-1번지</t>
        </is>
      </c>
      <c r="AB559" t="inlineStr">
        <is>
          <t>전남 순천시 해룡면 해룡산단3로 101</t>
        </is>
      </c>
    </row>
    <row r="560" ht="19.2" customHeight="1" s="1">
      <c r="A560" t="inlineStr">
        <is>
          <t>NICE:C77585</t>
        </is>
      </c>
      <c r="B560" t="inlineStr">
        <is>
          <t>해솔리아컨트리클럽</t>
        </is>
      </c>
      <c r="C560" s="5" t="n">
        <v>423974864000</v>
      </c>
      <c r="D560" s="5" t="n">
        <v>220544623000</v>
      </c>
      <c r="E560" s="5" t="n">
        <v>203430241000</v>
      </c>
      <c r="F560" s="5" t="n">
        <v>22807798000</v>
      </c>
      <c r="G560" s="5" t="n">
        <v>9719619000</v>
      </c>
      <c r="H560" s="5" t="n">
        <v>24438302000</v>
      </c>
      <c r="I560" s="5" t="n">
        <v>10775534000</v>
      </c>
      <c r="J560" s="4" t="n">
        <v>0.09470000118017197</v>
      </c>
      <c r="K560" s="4" t="n">
        <v>1.084100008010864</v>
      </c>
      <c r="L560" s="4" t="n">
        <v>0.4261999726295471</v>
      </c>
      <c r="M560" t="inlineStr">
        <is>
          <t>오갑균</t>
        </is>
      </c>
      <c r="N560" t="inlineStr">
        <is>
          <t>031-329-8132</t>
        </is>
      </c>
      <c r="O560" t="inlineStr">
        <is>
          <t>031-321-7797</t>
        </is>
      </c>
      <c r="P560" s="3">
        <f>HYPERLINK("http://www.naesoliacc.co.kr", "http://www.naesoliacc.co.kr")</f>
        <v/>
      </c>
      <c r="Q560" t="inlineStr">
        <is>
          <t>1428117478</t>
        </is>
      </c>
      <c r="R560" t="inlineStr">
        <is>
          <t>1345110133071</t>
        </is>
      </c>
      <c r="S560" t="inlineStr">
        <is>
          <t>대상아님</t>
        </is>
      </c>
      <c r="T560" t="inlineStr">
        <is>
          <t>일반법인</t>
        </is>
      </c>
      <c r="U560" t="inlineStr">
        <is>
          <t>중소기업</t>
        </is>
      </c>
      <c r="V560" t="inlineStr">
        <is>
          <t>외부감사대상</t>
        </is>
      </c>
      <c r="W560" s="6" t="inlineStr">
        <is>
          <t>2008-12-04</t>
        </is>
      </c>
      <c r="X560" t="inlineStr">
        <is>
          <t>KRI:10R9112100</t>
        </is>
      </c>
      <c r="Y560" t="inlineStr">
        <is>
          <t>골프장 운영업</t>
        </is>
      </c>
      <c r="Z560" t="inlineStr">
        <is>
          <t>골프장 운영/한식,중식,일식,서양식 음식점/부동산 임대,매매</t>
        </is>
      </c>
      <c r="AA560" t="inlineStr">
        <is>
          <t>경기 용인시 처인구 이동읍 서리 1222번지</t>
        </is>
      </c>
      <c r="AB560" t="inlineStr">
        <is>
          <t>경기 용인시 처인구 이동읍 백자로 369</t>
        </is>
      </c>
    </row>
    <row r="561" ht="19.2" customHeight="1" s="1">
      <c r="A561" t="inlineStr">
        <is>
          <t>NICE:C43985</t>
        </is>
      </c>
      <c r="B561" t="inlineStr">
        <is>
          <t>에이케이인터렉티브</t>
        </is>
      </c>
      <c r="C561" s="5" t="n">
        <v>83680580000</v>
      </c>
      <c r="D561" s="5" t="n">
        <v>41966253000</v>
      </c>
      <c r="E561" s="5" t="n">
        <v>41714326000</v>
      </c>
      <c r="F561" s="5" t="n">
        <v>50927551000</v>
      </c>
      <c r="G561" s="5" t="n">
        <v>10269819000</v>
      </c>
      <c r="H561" s="5" t="n">
        <v>92061486000</v>
      </c>
      <c r="I561" s="5" t="n">
        <v>12963023000</v>
      </c>
      <c r="J561" s="4" t="n">
        <v>0.515999972820282</v>
      </c>
      <c r="K561" s="4" t="n">
        <v>1.00599992275238</v>
      </c>
      <c r="L561" s="4" t="n">
        <v>0.2017000019550323</v>
      </c>
      <c r="M561" t="inlineStr">
        <is>
          <t>심호규</t>
        </is>
      </c>
      <c r="N561" t="inlineStr">
        <is>
          <t>031-709-2942</t>
        </is>
      </c>
      <c r="O561" t="inlineStr">
        <is>
          <t>031-709-2719</t>
        </is>
      </c>
      <c r="P561" s="3">
        <f>HYPERLINK("http://www.akinteractive.co.kr", "http://www.akinteractive.co.kr")</f>
        <v/>
      </c>
      <c r="Q561" t="inlineStr">
        <is>
          <t>2148822784</t>
        </is>
      </c>
      <c r="R561" t="inlineStr">
        <is>
          <t>1101113842667</t>
        </is>
      </c>
      <c r="S561" t="inlineStr">
        <is>
          <t>대상아님</t>
        </is>
      </c>
      <c r="T561" t="inlineStr">
        <is>
          <t>일반법인</t>
        </is>
      </c>
      <c r="U561" t="inlineStr">
        <is>
          <t>중소기업</t>
        </is>
      </c>
      <c r="V561" t="inlineStr">
        <is>
          <t>외부감사대상</t>
        </is>
      </c>
      <c r="W561" s="6" t="inlineStr">
        <is>
          <t>2008-02-18</t>
        </is>
      </c>
      <c r="X561" t="inlineStr">
        <is>
          <t>KRI:10J5821100</t>
        </is>
      </c>
      <c r="Y561" t="inlineStr">
        <is>
          <t>유선 온라인 게임 소프트웨어 개발 및 공급업</t>
        </is>
      </c>
      <c r="Z561" t="inlineStr">
        <is>
          <t>게임소프트웨어 개발,공급,모바일컨텐츠/비주거용건물 개발,공급,임대</t>
        </is>
      </c>
      <c r="AA561" t="inlineStr">
        <is>
          <t>경기 성남시 분당구 운중동 939번지</t>
        </is>
      </c>
      <c r="AB561" t="inlineStr">
        <is>
          <t>경기 성남시 분당구 운중로 146</t>
        </is>
      </c>
    </row>
    <row r="562" ht="19.2" customHeight="1" s="1">
      <c r="A562" t="inlineStr">
        <is>
          <t>NICE:H35082</t>
        </is>
      </c>
      <c r="B562" t="inlineStr">
        <is>
          <t>광교세무법인</t>
        </is>
      </c>
      <c r="C562" s="5" t="n">
        <v>45006822000</v>
      </c>
      <c r="D562" s="5" t="n">
        <v>4403750000</v>
      </c>
      <c r="E562" s="5" t="n">
        <v>40603072000</v>
      </c>
      <c r="F562" s="5" t="n">
        <v>43419333000</v>
      </c>
      <c r="G562" s="5" t="n">
        <v>6106318000</v>
      </c>
      <c r="H562" s="5" t="n">
        <v>42098303000</v>
      </c>
      <c r="I562" s="5" t="n">
        <v>7489370000</v>
      </c>
      <c r="J562" s="4" t="n">
        <v>10.08049964904785</v>
      </c>
      <c r="K562" s="4" t="n">
        <v>0.1085000038146973</v>
      </c>
      <c r="L562" s="4" t="n">
        <v>0.1405999958515167</v>
      </c>
      <c r="M562" t="inlineStr">
        <is>
          <t>류병하/송동복/최봉순</t>
        </is>
      </c>
      <c r="N562" t="inlineStr">
        <is>
          <t>031-8007-2900</t>
        </is>
      </c>
      <c r="O562" t="inlineStr">
        <is>
          <t>031-525-5288</t>
        </is>
      </c>
      <c r="P562" s="3">
        <f>HYPERLINK("https://www.gwangyo.com/", "https://www.gwangyo.com/")</f>
        <v/>
      </c>
      <c r="Q562" t="inlineStr">
        <is>
          <t>1248168310</t>
        </is>
      </c>
      <c r="R562" t="inlineStr">
        <is>
          <t>1358710005946</t>
        </is>
      </c>
      <c r="S562" t="inlineStr">
        <is>
          <t>대상아님</t>
        </is>
      </c>
      <c r="T562" t="inlineStr">
        <is>
          <t>일반법인</t>
        </is>
      </c>
      <c r="U562" t="inlineStr">
        <is>
          <t>중소기업</t>
        </is>
      </c>
      <c r="V562" t="inlineStr">
        <is>
          <t>외부감사비대상</t>
        </is>
      </c>
      <c r="W562" s="6" t="inlineStr">
        <is>
          <t>1999-12-24</t>
        </is>
      </c>
      <c r="X562" t="inlineStr">
        <is>
          <t>KRI:10M7120200</t>
        </is>
      </c>
      <c r="Y562" t="inlineStr">
        <is>
          <t>세무사업</t>
        </is>
      </c>
      <c r="Z562" t="inlineStr">
        <is>
          <t>세무사</t>
        </is>
      </c>
      <c r="AA562" t="inlineStr">
        <is>
          <t>경기 수원시 장안구 파장동 217번지 광교빌딩</t>
        </is>
      </c>
      <c r="AB562" t="inlineStr">
        <is>
          <t>경기 수원시 장안구 경수대로 1110-12 (파장동,광교빌딩)</t>
        </is>
      </c>
    </row>
    <row r="563" s="1">
      <c r="A563" t="inlineStr">
        <is>
          <t>NICE:J93939</t>
        </is>
      </c>
      <c r="B563" t="inlineStr">
        <is>
          <t>동화시계</t>
        </is>
      </c>
      <c r="C563" s="5" t="n">
        <v>31618895000</v>
      </c>
      <c r="D563" s="5" t="n">
        <v>2201809000</v>
      </c>
      <c r="E563" s="5" t="n">
        <v>29417086000</v>
      </c>
      <c r="F563" s="5" t="n">
        <v>61589830000</v>
      </c>
      <c r="G563" s="5" t="n">
        <v>8894082000</v>
      </c>
      <c r="H563" s="5" t="n">
        <v>50153512000</v>
      </c>
      <c r="I563" s="5" t="n">
        <v>6856264000</v>
      </c>
      <c r="J563" s="4" t="n">
        <v>13.42630004882812</v>
      </c>
      <c r="K563" s="4" t="n">
        <v>0.07479999959468842</v>
      </c>
      <c r="L563" s="4" t="n">
        <v>0.1443999856710434</v>
      </c>
      <c r="M563" t="inlineStr">
        <is>
          <t>박동옥</t>
        </is>
      </c>
      <c r="N563" t="inlineStr">
        <is>
          <t>042-720-6116</t>
        </is>
      </c>
      <c r="O563" t="inlineStr">
        <is>
          <t>042-720-6117</t>
        </is>
      </c>
      <c r="Q563" t="inlineStr">
        <is>
          <t>3148651227</t>
        </is>
      </c>
      <c r="R563" t="inlineStr">
        <is>
          <t>1601110354912</t>
        </is>
      </c>
      <c r="S563" t="inlineStr">
        <is>
          <t>대상아님</t>
        </is>
      </c>
      <c r="T563" t="inlineStr">
        <is>
          <t>일반법인</t>
        </is>
      </c>
      <c r="U563" t="inlineStr">
        <is>
          <t>중소기업</t>
        </is>
      </c>
      <c r="V563" t="inlineStr">
        <is>
          <t>외부감사대상</t>
        </is>
      </c>
      <c r="W563" s="6" t="inlineStr">
        <is>
          <t>2013-09-06</t>
        </is>
      </c>
      <c r="X563" t="inlineStr">
        <is>
          <t>KRI:10G4649200</t>
        </is>
      </c>
      <c r="Y563" t="inlineStr">
        <is>
          <t>시계 및 귀금속제품 도매업</t>
        </is>
      </c>
      <c r="Z563" t="inlineStr">
        <is>
          <t>시계 도소매</t>
        </is>
      </c>
      <c r="AA563" t="inlineStr">
        <is>
          <t>대전 서구 둔산동 1036번지</t>
        </is>
      </c>
      <c r="AB563" t="inlineStr">
        <is>
          <t>대전 서구 대덕대로 211</t>
        </is>
      </c>
    </row>
    <row r="564" s="1">
      <c r="A564" t="inlineStr">
        <is>
          <t>NICE:I99199</t>
        </is>
      </c>
      <c r="B564" t="inlineStr">
        <is>
          <t>한독테바</t>
        </is>
      </c>
      <c r="C564" s="5" t="n">
        <v>28299520000</v>
      </c>
      <c r="D564" s="5" t="n">
        <v>11535218000</v>
      </c>
      <c r="E564" s="5" t="n">
        <v>16764302000</v>
      </c>
      <c r="F564" s="5" t="n">
        <v>30659707000</v>
      </c>
      <c r="G564" s="5" t="n">
        <v>3352156000</v>
      </c>
      <c r="H564" s="5" t="n">
        <v>31907927000</v>
      </c>
      <c r="I564" s="5" t="n">
        <v>3404381000</v>
      </c>
      <c r="J564" s="4" t="n">
        <v>2.867199897766113</v>
      </c>
      <c r="K564" s="4" t="n">
        <v>0.6880999803543091</v>
      </c>
      <c r="L564" s="4" t="n">
        <v>0.1093000024557114</v>
      </c>
      <c r="M564" t="inlineStr">
        <is>
          <t>디미트리오스마가리티스</t>
        </is>
      </c>
      <c r="N564" t="inlineStr">
        <is>
          <t>02-527-5501</t>
        </is>
      </c>
      <c r="O564" t="inlineStr">
        <is>
          <t>02-527-5510</t>
        </is>
      </c>
      <c r="P564">
        <f>HYPERLINK("http://www.teva-handok.co.kr", "http://www.teva-handok.co.kr")</f>
        <v/>
      </c>
      <c r="Q564" t="inlineStr">
        <is>
          <t>2208853109</t>
        </is>
      </c>
      <c r="R564" t="inlineStr">
        <is>
          <t>1101115072733</t>
        </is>
      </c>
      <c r="S564" t="inlineStr">
        <is>
          <t>대상아님</t>
        </is>
      </c>
      <c r="T564" t="inlineStr">
        <is>
          <t>일반법인</t>
        </is>
      </c>
      <c r="U564" t="inlineStr">
        <is>
          <t>중소기업</t>
        </is>
      </c>
      <c r="V564" t="inlineStr">
        <is>
          <t>외부감사대상</t>
        </is>
      </c>
      <c r="W564" s="6" t="inlineStr">
        <is>
          <t>2013-02-21</t>
        </is>
      </c>
      <c r="X564" t="inlineStr">
        <is>
          <t>KRI:10G4644100</t>
        </is>
      </c>
      <c r="Y564" t="inlineStr">
        <is>
          <t>의약품 도매업</t>
        </is>
      </c>
      <c r="Z564" t="inlineStr">
        <is>
          <t>의약품 도매</t>
        </is>
      </c>
      <c r="AA564" t="inlineStr">
        <is>
          <t>서울 강남구 역삼동 735번지</t>
        </is>
      </c>
      <c r="AB564" t="inlineStr">
        <is>
          <t>서울 강남구 테헤란로 132</t>
        </is>
      </c>
    </row>
    <row r="565" s="1">
      <c r="A565" t="inlineStr">
        <is>
          <t>NICE:284385</t>
        </is>
      </c>
      <c r="B565" t="inlineStr">
        <is>
          <t>동우바이오</t>
        </is>
      </c>
      <c r="C565" s="5" t="n">
        <v>28224728000</v>
      </c>
      <c r="D565" s="5" t="n">
        <v>8271010000</v>
      </c>
      <c r="E565" s="5" t="n">
        <v>19953717000</v>
      </c>
      <c r="F565" s="5" t="n">
        <v>20748224000</v>
      </c>
      <c r="G565" s="5" t="n">
        <v>2671037000</v>
      </c>
      <c r="H565" s="5" t="n">
        <v>19604506000</v>
      </c>
      <c r="I565" s="5" t="n">
        <v>1174210000</v>
      </c>
      <c r="J565" s="4" t="n">
        <v>1.500699996948242</v>
      </c>
      <c r="K565" s="4" t="n">
        <v>0.4144999980926514</v>
      </c>
      <c r="L565" s="4" t="n">
        <v>0.128700003027916</v>
      </c>
      <c r="M565" t="inlineStr">
        <is>
          <t>김용호</t>
        </is>
      </c>
      <c r="N565" t="inlineStr">
        <is>
          <t>031-323-5833</t>
        </is>
      </c>
      <c r="O565" t="inlineStr">
        <is>
          <t>031-323-5835</t>
        </is>
      </c>
      <c r="Q565" t="inlineStr">
        <is>
          <t>3058157751</t>
        </is>
      </c>
      <c r="R565" t="inlineStr">
        <is>
          <t>1601110144305</t>
        </is>
      </c>
      <c r="S565" t="inlineStr">
        <is>
          <t>대상아님</t>
        </is>
      </c>
      <c r="T565" t="inlineStr">
        <is>
          <t>일반법인</t>
        </is>
      </c>
      <c r="U565" t="inlineStr">
        <is>
          <t>중견기업</t>
        </is>
      </c>
      <c r="V565" t="inlineStr">
        <is>
          <t>외부감사대상</t>
        </is>
      </c>
      <c r="W565" s="6" t="inlineStr">
        <is>
          <t>2002-09-05</t>
        </is>
      </c>
      <c r="X565" t="inlineStr">
        <is>
          <t>KRI:10E3821000</t>
        </is>
      </c>
      <c r="Y565" t="inlineStr">
        <is>
          <t>지정 외 폐기물 처리업</t>
        </is>
      </c>
      <c r="Z565" t="inlineStr">
        <is>
          <t>폐기물 중간처리,폐기물처리장치 연구개발,환경관련 엔지니어링/비료생산,기계,재활용설비플랜트 제작설치 제조/비료 도소매</t>
        </is>
      </c>
      <c r="AA565" t="inlineStr">
        <is>
          <t>경기 용인시 처인구 백암면 석천리 200-4번지</t>
        </is>
      </c>
      <c r="AB565" t="inlineStr">
        <is>
          <t>경기 용인시 처인구 백암면 삼백로 367-21</t>
        </is>
      </c>
    </row>
    <row r="566" s="1">
      <c r="A566" t="inlineStr">
        <is>
          <t>NICE:610402</t>
        </is>
      </c>
      <c r="B566" t="inlineStr">
        <is>
          <t>남영상사</t>
        </is>
      </c>
      <c r="C566" s="5" t="n">
        <v>42226785000</v>
      </c>
      <c r="D566" s="5" t="n">
        <v>3126624000</v>
      </c>
      <c r="E566" s="5" t="n">
        <v>39100161000</v>
      </c>
      <c r="F566" s="5" t="n">
        <v>49106868000</v>
      </c>
      <c r="G566" s="5" t="n">
        <v>5496909000</v>
      </c>
      <c r="H566" s="5" t="n">
        <v>44608380000</v>
      </c>
      <c r="I566" s="5" t="n">
        <v>5666064000</v>
      </c>
      <c r="J566" s="4" t="n">
        <v>14.47509956359863</v>
      </c>
      <c r="K566" s="4" t="n">
        <v>0.07999999821186066</v>
      </c>
      <c r="L566" s="4" t="n">
        <v>0.1118999943137169</v>
      </c>
      <c r="M566" t="inlineStr">
        <is>
          <t>정기련</t>
        </is>
      </c>
      <c r="N566" t="inlineStr">
        <is>
          <t>02-745-1931</t>
        </is>
      </c>
      <c r="O566" t="inlineStr">
        <is>
          <t>02-744-0496</t>
        </is>
      </c>
      <c r="P566">
        <f>HYPERLINK("http://www.namyung.com", "http://www.namyung.com")</f>
        <v/>
      </c>
      <c r="Q566" t="inlineStr">
        <is>
          <t>2088111172</t>
        </is>
      </c>
      <c r="R566" t="inlineStr">
        <is>
          <t>1101110014152</t>
        </is>
      </c>
      <c r="S566" t="inlineStr">
        <is>
          <t>대상아님</t>
        </is>
      </c>
      <c r="T566" t="inlineStr">
        <is>
          <t>일반법인</t>
        </is>
      </c>
      <c r="U566" t="inlineStr">
        <is>
          <t>중소기업</t>
        </is>
      </c>
      <c r="V566" t="inlineStr">
        <is>
          <t>외부감사대상</t>
        </is>
      </c>
      <c r="W566" s="6" t="inlineStr">
        <is>
          <t>1958-03-10</t>
        </is>
      </c>
      <c r="X566" t="inlineStr">
        <is>
          <t>KRI:10G4632900</t>
        </is>
      </c>
      <c r="Y566" t="inlineStr">
        <is>
          <t>기타 가공식품 도매업</t>
        </is>
      </c>
      <c r="Z566" t="inlineStr">
        <is>
          <t>식품첨가물,향료,식용색소 판매,무역/사무용건물 임대</t>
        </is>
      </c>
      <c r="AA566" t="inlineStr">
        <is>
          <t>서울 종로구 명륜1가 10-1번지</t>
        </is>
      </c>
      <c r="AB566" t="inlineStr">
        <is>
          <t>서울 종로구 성균관로 65</t>
        </is>
      </c>
    </row>
    <row r="567" s="1">
      <c r="A567" t="inlineStr">
        <is>
          <t>NICE:005846</t>
        </is>
      </c>
      <c r="B567" t="inlineStr">
        <is>
          <t>흥아기연</t>
        </is>
      </c>
      <c r="C567" s="5" t="n">
        <v>169795354000</v>
      </c>
      <c r="D567" s="5" t="n">
        <v>24943232000</v>
      </c>
      <c r="E567" s="5" t="n">
        <v>144852122000</v>
      </c>
      <c r="F567" s="5" t="n">
        <v>83475256000</v>
      </c>
      <c r="G567" s="5" t="n">
        <v>16034382000</v>
      </c>
      <c r="H567" s="5" t="n">
        <v>85979582000</v>
      </c>
      <c r="I567" s="5" t="n">
        <v>20469989000</v>
      </c>
      <c r="J567" s="4" t="n">
        <v>5.155099868774414</v>
      </c>
      <c r="K567" s="4" t="n">
        <v>0.1721999943256378</v>
      </c>
      <c r="L567" s="4" t="n">
        <v>0.1920999884605408</v>
      </c>
      <c r="M567" t="inlineStr">
        <is>
          <t>강신영/강은식</t>
        </is>
      </c>
      <c r="N567" t="inlineStr">
        <is>
          <t>032-680-7511</t>
        </is>
      </c>
      <c r="O567" t="inlineStr">
        <is>
          <t>032-511-1511</t>
        </is>
      </c>
      <c r="P567">
        <f>HYPERLINK("http://www.hoonga.com", "http://www.hoonga.com")</f>
        <v/>
      </c>
      <c r="Q567" t="inlineStr">
        <is>
          <t>1308133247</t>
        </is>
      </c>
      <c r="R567" t="inlineStr">
        <is>
          <t>1243110033988</t>
        </is>
      </c>
      <c r="S567" t="inlineStr">
        <is>
          <t>대상아님</t>
        </is>
      </c>
      <c r="T567" t="inlineStr">
        <is>
          <t>일반법인</t>
        </is>
      </c>
      <c r="U567" t="inlineStr">
        <is>
          <t>중소기업</t>
        </is>
      </c>
      <c r="V567" t="inlineStr">
        <is>
          <t>외부감사대상</t>
        </is>
      </c>
      <c r="W567" s="6" t="inlineStr">
        <is>
          <t>1970-12-01</t>
        </is>
      </c>
      <c r="X567" t="inlineStr">
        <is>
          <t>KRI:10C2919200</t>
        </is>
      </c>
      <c r="Y567" t="inlineStr">
        <is>
          <t>용기 세척, 포장 및 충전기 제조업</t>
        </is>
      </c>
      <c r="Z567" t="inlineStr">
        <is>
          <t>포장기계,주변기계 제작</t>
        </is>
      </c>
      <c r="AA567" t="inlineStr">
        <is>
          <t>인천 계양구 서운동 208-1번지</t>
        </is>
      </c>
      <c r="AB567" t="inlineStr">
        <is>
          <t>인천 계양구 서운산단로1길 65</t>
        </is>
      </c>
    </row>
    <row r="568" ht="19.2" customHeight="1" s="1">
      <c r="A568" t="inlineStr">
        <is>
          <t>NICE:388313</t>
        </is>
      </c>
      <c r="B568" t="inlineStr">
        <is>
          <t>신도</t>
        </is>
      </c>
      <c r="C568" s="5" t="n">
        <v>84899446000</v>
      </c>
      <c r="D568" s="5" t="n">
        <v>49749456000</v>
      </c>
      <c r="E568" s="5" t="n">
        <v>35149989000</v>
      </c>
      <c r="F568" s="5" t="n">
        <v>43719080000</v>
      </c>
      <c r="G568" s="5" t="n">
        <v>6035407000</v>
      </c>
      <c r="H568" s="5" t="n">
        <v>39578025000</v>
      </c>
      <c r="I568" s="5" t="n">
        <v>4084047000</v>
      </c>
      <c r="J568" s="4" t="n">
        <v>0.5734999775886536</v>
      </c>
      <c r="K568" s="4" t="n">
        <v>1.415300011634827</v>
      </c>
      <c r="L568" s="4" t="n">
        <v>0.1379999965429306</v>
      </c>
      <c r="M568" t="inlineStr">
        <is>
          <t>서호권/서창민/서정민</t>
        </is>
      </c>
      <c r="N568" t="inlineStr">
        <is>
          <t>053-581-6350-2</t>
        </is>
      </c>
      <c r="O568" t="inlineStr">
        <is>
          <t>053-582-6353</t>
        </is>
      </c>
      <c r="P568" s="3">
        <f>HYPERLINK("http://www.sindokorea.com", "http://www.sindokorea.com")</f>
        <v/>
      </c>
      <c r="Q568" t="inlineStr">
        <is>
          <t>5038166290</t>
        </is>
      </c>
      <c r="R568" t="inlineStr">
        <is>
          <t>1701110277758</t>
        </is>
      </c>
      <c r="S568" t="inlineStr">
        <is>
          <t>대상아님</t>
        </is>
      </c>
      <c r="T568" t="inlineStr">
        <is>
          <t>일반법인</t>
        </is>
      </c>
      <c r="U568" t="inlineStr">
        <is>
          <t>중소기업</t>
        </is>
      </c>
      <c r="V568" t="inlineStr">
        <is>
          <t>외부감사대상</t>
        </is>
      </c>
      <c r="W568" s="6" t="inlineStr">
        <is>
          <t>2004-12-14</t>
        </is>
      </c>
      <c r="X568" t="inlineStr">
        <is>
          <t>KRI:10C3039900</t>
        </is>
      </c>
      <c r="Y568" t="inlineStr">
        <is>
          <t>그 외 자동차용 신품 부품 제조업</t>
        </is>
      </c>
      <c r="Z568" t="inlineStr">
        <is>
          <t>자동차부품(슬리브,도어래치,펄핀,샤프트,너트) 제조/부동산 임대</t>
        </is>
      </c>
      <c r="AA568" t="inlineStr">
        <is>
          <t>대구 달성군 구지면 창리 1362번지</t>
        </is>
      </c>
      <c r="AB568" t="inlineStr">
        <is>
          <t>대구 달성군 구지면 국가산단대로39길 164</t>
        </is>
      </c>
    </row>
    <row r="569" ht="19.2" customHeight="1" s="1">
      <c r="A569" t="inlineStr">
        <is>
          <t>NICE:723765</t>
        </is>
      </c>
      <c r="B569" t="inlineStr">
        <is>
          <t>킹스팜</t>
        </is>
      </c>
      <c r="C569" s="5" t="n">
        <v>25010397000</v>
      </c>
      <c r="D569" s="5" t="n">
        <v>2922895000</v>
      </c>
      <c r="E569" s="5" t="n">
        <v>22087502000</v>
      </c>
      <c r="F569" s="5" t="n">
        <v>24017536000</v>
      </c>
      <c r="G569" s="5" t="n">
        <v>2856828000</v>
      </c>
      <c r="H569" s="5" t="n">
        <v>22740433000</v>
      </c>
      <c r="I569" s="5" t="n">
        <v>2282352000</v>
      </c>
      <c r="J569" s="4" t="n">
        <v>3.317600011825562</v>
      </c>
      <c r="K569" s="4" t="n">
        <v>0.1322999894618988</v>
      </c>
      <c r="L569" s="4" t="n">
        <v>0.1189000010490417</v>
      </c>
      <c r="M569" t="inlineStr">
        <is>
          <t>정성원</t>
        </is>
      </c>
      <c r="N569" t="inlineStr">
        <is>
          <t>031-456-1093</t>
        </is>
      </c>
      <c r="O569" t="inlineStr">
        <is>
          <t>031-455-7358</t>
        </is>
      </c>
      <c r="P569" s="3" t="n"/>
      <c r="Q569" t="inlineStr">
        <is>
          <t>1238603186</t>
        </is>
      </c>
      <c r="R569" t="inlineStr">
        <is>
          <t>1351110076749</t>
        </is>
      </c>
      <c r="S569" t="inlineStr">
        <is>
          <t>대상아님</t>
        </is>
      </c>
      <c r="T569" t="inlineStr">
        <is>
          <t>일반법인</t>
        </is>
      </c>
      <c r="U569" t="inlineStr">
        <is>
          <t>중소기업</t>
        </is>
      </c>
      <c r="V569" t="inlineStr">
        <is>
          <t>외부감사대상</t>
        </is>
      </c>
      <c r="W569" s="6" t="inlineStr">
        <is>
          <t>2005-07-29</t>
        </is>
      </c>
      <c r="X569" t="inlineStr">
        <is>
          <t>KRI:10G4644100</t>
        </is>
      </c>
      <c r="Y569" t="inlineStr">
        <is>
          <t>의약품 도매업</t>
        </is>
      </c>
      <c r="Z569" t="inlineStr">
        <is>
          <t>의약품,건강기능식품,시약 도소매</t>
        </is>
      </c>
      <c r="AA569" t="inlineStr">
        <is>
          <t>경기 군포시 금정동 689-22번지 3층</t>
        </is>
      </c>
      <c r="AB569" t="inlineStr">
        <is>
          <t>경기 군포시 공단로 298-7, 3층</t>
        </is>
      </c>
    </row>
    <row r="570" ht="19.2" customHeight="1" s="1">
      <c r="A570" t="inlineStr">
        <is>
          <t>NICE:385853</t>
        </is>
      </c>
      <c r="B570" t="inlineStr">
        <is>
          <t>현대드림투어</t>
        </is>
      </c>
      <c r="C570" s="5" t="n">
        <v>57678654000</v>
      </c>
      <c r="D570" s="5" t="n">
        <v>24303752000</v>
      </c>
      <c r="E570" s="5" t="n">
        <v>33374902000</v>
      </c>
      <c r="F570" s="5" t="n">
        <v>39944644000</v>
      </c>
      <c r="G570" s="5" t="n">
        <v>12723393000</v>
      </c>
      <c r="H570" s="5" t="n">
        <v>43068582000</v>
      </c>
      <c r="I570" s="5" t="n">
        <v>11549135000</v>
      </c>
      <c r="J570" s="4" t="n">
        <v>2.098999977111816</v>
      </c>
      <c r="K570" s="4" t="n">
        <v>0.7281999588012695</v>
      </c>
      <c r="L570" s="4" t="n">
        <v>0.3184999823570251</v>
      </c>
      <c r="M570" t="inlineStr">
        <is>
          <t>박종선</t>
        </is>
      </c>
      <c r="N570" t="inlineStr">
        <is>
          <t>02-723-2233</t>
        </is>
      </c>
      <c r="O570" t="inlineStr">
        <is>
          <t>02-3014-2486</t>
        </is>
      </c>
      <c r="P570" s="3">
        <f>HYPERLINK("http://www.hyundaidreamtour.com", "http://www.hyundaidreamtour.com")</f>
        <v/>
      </c>
      <c r="Q570" t="inlineStr">
        <is>
          <t>1058690908</t>
        </is>
      </c>
      <c r="R570" t="inlineStr">
        <is>
          <t>1101113434307</t>
        </is>
      </c>
      <c r="S570" t="inlineStr">
        <is>
          <t>대상아님</t>
        </is>
      </c>
      <c r="T570" t="inlineStr">
        <is>
          <t>일반법인</t>
        </is>
      </c>
      <c r="U570" t="inlineStr">
        <is>
          <t>대기업</t>
        </is>
      </c>
      <c r="V570" t="inlineStr">
        <is>
          <t>외부감사대상</t>
        </is>
      </c>
      <c r="W570" s="6" t="inlineStr">
        <is>
          <t>2006-04-05</t>
        </is>
      </c>
      <c r="X570" t="inlineStr">
        <is>
          <t>KRI:10N7521000</t>
        </is>
      </c>
      <c r="Y570" t="inlineStr">
        <is>
          <t>여행사업</t>
        </is>
      </c>
      <c r="Z570" t="inlineStr">
        <is>
          <t>여행 알선,항공권 판매,국제회의 기획,전시,행사 대행,전시물제작설치,이벤트/전자상거래</t>
        </is>
      </c>
      <c r="AA570" t="inlineStr">
        <is>
          <t>서울 서대문구 충정로3가 470번지 풍산빌딩 8층</t>
        </is>
      </c>
      <c r="AB570" t="inlineStr">
        <is>
          <t>서울 서대문구 충정로 23, 8층 (충정로3가,풍산빌딩)</t>
        </is>
      </c>
    </row>
    <row r="571" s="1">
      <c r="A571" t="inlineStr">
        <is>
          <t>NICE:823643</t>
        </is>
      </c>
      <c r="B571" t="inlineStr">
        <is>
          <t>코펙</t>
        </is>
      </c>
      <c r="C571" s="5" t="n">
        <v>21638506000</v>
      </c>
      <c r="D571" s="5" t="n">
        <v>4211457000</v>
      </c>
      <c r="E571" s="5" t="n">
        <v>17427049000</v>
      </c>
      <c r="F571" s="5" t="n">
        <v>21844909000</v>
      </c>
      <c r="G571" s="5" t="n">
        <v>2466777000</v>
      </c>
      <c r="H571" s="5" t="n">
        <v>18641450000</v>
      </c>
      <c r="I571" s="5" t="n">
        <v>3362383000</v>
      </c>
      <c r="J571" s="4" t="n">
        <v>2.432399988174438</v>
      </c>
      <c r="K571" s="4" t="n">
        <v>0.2416999936103821</v>
      </c>
      <c r="L571" s="4" t="n">
        <v>0.1128999963402748</v>
      </c>
      <c r="M571" t="inlineStr">
        <is>
          <t>서성호</t>
        </is>
      </c>
      <c r="N571" t="inlineStr">
        <is>
          <t>055-329-0356</t>
        </is>
      </c>
      <c r="O571" t="inlineStr">
        <is>
          <t>055-329-0359</t>
        </is>
      </c>
      <c r="P571">
        <f>HYPERLINK("http://www.kopecworld.com", "http://www.kopecworld.com")</f>
        <v/>
      </c>
      <c r="Q571" t="inlineStr">
        <is>
          <t>6228109682</t>
        </is>
      </c>
      <c r="R571" t="inlineStr">
        <is>
          <t>1846110013966</t>
        </is>
      </c>
      <c r="S571" t="inlineStr">
        <is>
          <t>대상아님</t>
        </is>
      </c>
      <c r="T571" t="inlineStr">
        <is>
          <t>일반법인</t>
        </is>
      </c>
      <c r="U571" t="inlineStr">
        <is>
          <t>중소기업</t>
        </is>
      </c>
      <c r="V571" t="inlineStr">
        <is>
          <t>외부감사대상</t>
        </is>
      </c>
      <c r="W571" s="6" t="inlineStr">
        <is>
          <t>1970-03-05</t>
        </is>
      </c>
      <c r="X571" t="inlineStr">
        <is>
          <t>KRI:10C2322100</t>
        </is>
      </c>
      <c r="Y571" t="inlineStr">
        <is>
          <t>가정용 및 장식용 도자기 제조업</t>
        </is>
      </c>
      <c r="Z571" t="inlineStr">
        <is>
          <t>법랑제품 제조</t>
        </is>
      </c>
      <c r="AA571" t="inlineStr">
        <is>
          <t>경남 김해시 어방동 1048-4번지</t>
        </is>
      </c>
      <c r="AB571" t="inlineStr">
        <is>
          <t>경남 김해시 분성로569번길 40</t>
        </is>
      </c>
    </row>
    <row r="572" ht="19.2" customHeight="1" s="1">
      <c r="A572" t="inlineStr">
        <is>
          <t>NICE:468524</t>
        </is>
      </c>
      <c r="B572" t="inlineStr">
        <is>
          <t>울산과학대학교산학협력단</t>
        </is>
      </c>
      <c r="C572" s="5" t="n">
        <v>21113394000</v>
      </c>
      <c r="D572" s="5" t="n">
        <v>1146913000</v>
      </c>
      <c r="E572" s="5" t="n">
        <v>19966481000</v>
      </c>
      <c r="F572" s="5" t="n">
        <v>29589177000</v>
      </c>
      <c r="G572" s="5" t="n">
        <v>3843224000</v>
      </c>
      <c r="H572" s="5" t="n">
        <v>23705506000</v>
      </c>
      <c r="I572" s="5" t="n">
        <v>2727906000</v>
      </c>
      <c r="J572" s="4" t="n">
        <v>6.752699851989746</v>
      </c>
      <c r="K572" s="4" t="n">
        <v>0.05739999562501907</v>
      </c>
      <c r="L572" s="4" t="n">
        <v>0.1298999935388565</v>
      </c>
      <c r="M572" t="inlineStr">
        <is>
          <t>송경영</t>
        </is>
      </c>
      <c r="N572" t="inlineStr">
        <is>
          <t>052-230-0411</t>
        </is>
      </c>
      <c r="O572" t="inlineStr">
        <is>
          <t>052-230-0413</t>
        </is>
      </c>
      <c r="P572" s="3">
        <f>HYPERLINK("https://www.uc.ac.kr/sanhak1/Main.do", "https://www.uc.ac.kr/sanhak1/Main.do")</f>
        <v/>
      </c>
      <c r="Q572" t="inlineStr">
        <is>
          <t>6208204301</t>
        </is>
      </c>
      <c r="R572" t="inlineStr">
        <is>
          <t>2342710002481</t>
        </is>
      </c>
      <c r="S572" t="inlineStr">
        <is>
          <t>대상아님</t>
        </is>
      </c>
      <c r="T572" t="inlineStr">
        <is>
          <t>비영리법인</t>
        </is>
      </c>
      <c r="U572" t="inlineStr">
        <is>
          <t>대상아님</t>
        </is>
      </c>
      <c r="V572" t="inlineStr">
        <is>
          <t>외부감사비대상</t>
        </is>
      </c>
      <c r="W572" s="6" t="inlineStr">
        <is>
          <t>2004-03-15</t>
        </is>
      </c>
      <c r="X572" t="inlineStr">
        <is>
          <t>KRI:10M7012900</t>
        </is>
      </c>
      <c r="Y572" t="inlineStr">
        <is>
          <t>기타 공학 연구개발업</t>
        </is>
      </c>
      <c r="Z572" t="inlineStr">
        <is>
          <t>연구,개발,물질분석검사,종합환경측정대행/연구장비 임대</t>
        </is>
      </c>
      <c r="AA572" t="inlineStr">
        <is>
          <t>울산 동구 화정동 산160-1번지 울산과학대학동부캠퍼스 내</t>
        </is>
      </c>
      <c r="AB572" t="inlineStr">
        <is>
          <t>울산 동구 봉수로 101, 내 (화정동,울산과학대학동부캠퍼스)</t>
        </is>
      </c>
    </row>
    <row r="573" ht="19.2" customHeight="1" s="1">
      <c r="A573" t="inlineStr">
        <is>
          <t>NICE:458653</t>
        </is>
      </c>
      <c r="B573" t="inlineStr">
        <is>
          <t>신흥스톤</t>
        </is>
      </c>
      <c r="C573" s="5" t="n">
        <v>55047919000</v>
      </c>
      <c r="D573" s="5" t="n">
        <v>22706293000</v>
      </c>
      <c r="E573" s="5" t="n">
        <v>32341627000</v>
      </c>
      <c r="F573" s="5" t="n">
        <v>40855515000</v>
      </c>
      <c r="G573" s="5" t="n">
        <v>5218666000</v>
      </c>
      <c r="H573" s="5" t="n">
        <v>36471267000</v>
      </c>
      <c r="I573" s="5" t="n">
        <v>3413129000</v>
      </c>
      <c r="J573" s="4" t="n">
        <v>0.5940999984741211</v>
      </c>
      <c r="K573" s="4" t="n">
        <v>0.7020999789237976</v>
      </c>
      <c r="L573" s="4" t="n">
        <v>0.127700001001358</v>
      </c>
      <c r="M573" t="inlineStr">
        <is>
          <t>정신하</t>
        </is>
      </c>
      <c r="N573" t="inlineStr">
        <is>
          <t>02-548-6650</t>
        </is>
      </c>
      <c r="O573" t="inlineStr">
        <is>
          <t>02-548-6652</t>
        </is>
      </c>
      <c r="P573" s="3">
        <f>HYPERLINK("https://www.shstone.co.kr", "https://www.shstone.co.kr")</f>
        <v/>
      </c>
      <c r="Q573" t="inlineStr">
        <is>
          <t>2118737146</t>
        </is>
      </c>
      <c r="R573" t="inlineStr">
        <is>
          <t>1101112837304</t>
        </is>
      </c>
      <c r="S573" t="inlineStr">
        <is>
          <t>대상아님</t>
        </is>
      </c>
      <c r="T573" t="inlineStr">
        <is>
          <t>일반법인</t>
        </is>
      </c>
      <c r="U573" t="inlineStr">
        <is>
          <t>중소기업</t>
        </is>
      </c>
      <c r="V573" t="inlineStr">
        <is>
          <t>외부감사대상</t>
        </is>
      </c>
      <c r="W573" s="6" t="inlineStr">
        <is>
          <t>1999-01-01</t>
        </is>
      </c>
      <c r="X573" t="inlineStr">
        <is>
          <t>KRI:10G4669900</t>
        </is>
      </c>
      <c r="Y573" t="inlineStr">
        <is>
          <t>그 외 기타 건축자재 도매업</t>
        </is>
      </c>
      <c r="Z573" t="inlineStr">
        <is>
          <t>석재 도소매/석제품 제조/실내건축공사,석공사</t>
        </is>
      </c>
      <c r="AA573" t="inlineStr">
        <is>
          <t>서울 강남구 논현동 131-14번지</t>
        </is>
      </c>
      <c r="AB573" t="inlineStr">
        <is>
          <t>서울 강남구 논현로127길 13</t>
        </is>
      </c>
    </row>
    <row r="574" ht="19.2" customHeight="1" s="1">
      <c r="A574" t="inlineStr">
        <is>
          <t>NICE:C16129</t>
        </is>
      </c>
      <c r="B574" t="inlineStr">
        <is>
          <t>우민해운</t>
        </is>
      </c>
      <c r="C574" s="5" t="n">
        <v>125902657000</v>
      </c>
      <c r="D574" s="5" t="n">
        <v>13291276000</v>
      </c>
      <c r="E574" s="5" t="n">
        <v>112611381000</v>
      </c>
      <c r="F574" s="5" t="n">
        <v>26217435000</v>
      </c>
      <c r="G574" s="5" t="n">
        <v>4609518000</v>
      </c>
      <c r="H574" s="5" t="n">
        <v>110549214000</v>
      </c>
      <c r="I574" s="5" t="n">
        <v>15131938000</v>
      </c>
      <c r="J574" s="4" t="n">
        <v>4.392099857330322</v>
      </c>
      <c r="K574" s="4" t="n">
        <v>0.1180000007152557</v>
      </c>
      <c r="L574" s="4" t="n">
        <v>0.1757999956607819</v>
      </c>
      <c r="M574" t="inlineStr">
        <is>
          <t>최민규</t>
        </is>
      </c>
      <c r="N574" t="inlineStr">
        <is>
          <t>02-3787-2935</t>
        </is>
      </c>
      <c r="O574" t="inlineStr">
        <is>
          <t>02-3787-3050</t>
        </is>
      </c>
      <c r="P574" s="3">
        <f>HYPERLINK("http://www.woolimshipping.co.kr", "http://www.woolimshipping.co.kr")</f>
        <v/>
      </c>
      <c r="Q574" t="inlineStr">
        <is>
          <t>1078675204</t>
        </is>
      </c>
      <c r="R574" t="inlineStr">
        <is>
          <t>1101113407148</t>
        </is>
      </c>
      <c r="S574" t="inlineStr">
        <is>
          <t>대상아님</t>
        </is>
      </c>
      <c r="T574" t="inlineStr">
        <is>
          <t>일반법인</t>
        </is>
      </c>
      <c r="U574" t="inlineStr">
        <is>
          <t>중견기업</t>
        </is>
      </c>
      <c r="V574" t="inlineStr">
        <is>
          <t>외부감사대상</t>
        </is>
      </c>
      <c r="W574" s="6" t="inlineStr">
        <is>
          <t>2006-02-23</t>
        </is>
      </c>
      <c r="X574" t="inlineStr">
        <is>
          <t>KRI:10H5011200</t>
        </is>
      </c>
      <c r="Y574" t="inlineStr">
        <is>
          <t>외항 화물 운송업</t>
        </is>
      </c>
      <c r="Z574" t="inlineStr">
        <is>
          <t>연안항로,외항화물 운송</t>
        </is>
      </c>
      <c r="AA574" t="inlineStr">
        <is>
          <t>서울 영등포구 여의도동 10-2번지</t>
        </is>
      </c>
      <c r="AB574" t="inlineStr">
        <is>
          <t>서울 영등포구 여의공원로 111</t>
        </is>
      </c>
    </row>
    <row r="575" s="1">
      <c r="A575" t="inlineStr">
        <is>
          <t>NICE:OQ0066</t>
        </is>
      </c>
      <c r="B575" t="inlineStr">
        <is>
          <t>딥다이브</t>
        </is>
      </c>
      <c r="C575" s="5" t="n">
        <v>41145871000</v>
      </c>
      <c r="D575" s="5" t="n">
        <v>25228174000</v>
      </c>
      <c r="E575" s="5" t="n">
        <v>15917697000</v>
      </c>
      <c r="F575" s="5" t="n">
        <v>91548254000</v>
      </c>
      <c r="G575" s="5" t="n">
        <v>9693273000</v>
      </c>
      <c r="H575" s="5" t="n">
        <v>64775597000</v>
      </c>
      <c r="I575" s="5" t="n">
        <v>8371468000</v>
      </c>
      <c r="J575" s="4" t="n">
        <v>1.864299893379211</v>
      </c>
      <c r="K575" s="4" t="n">
        <v>1.58490002155304</v>
      </c>
      <c r="L575" s="4" t="n">
        <v>0.1058999970555305</v>
      </c>
      <c r="M575" t="inlineStr">
        <is>
          <t>이성은</t>
        </is>
      </c>
      <c r="N575" t="inlineStr">
        <is>
          <t>070-4138-2860</t>
        </is>
      </c>
      <c r="P575">
        <f>HYPERLINK("https://www.verish.me", "https://www.verish.me")</f>
        <v/>
      </c>
      <c r="Q575" t="inlineStr">
        <is>
          <t>8058602222</t>
        </is>
      </c>
      <c r="R575" t="inlineStr">
        <is>
          <t>1101118023379</t>
        </is>
      </c>
      <c r="S575" t="inlineStr">
        <is>
          <t>대상아님</t>
        </is>
      </c>
      <c r="T575" t="inlineStr">
        <is>
          <t>일반법인</t>
        </is>
      </c>
      <c r="U575" t="inlineStr">
        <is>
          <t>중소기업</t>
        </is>
      </c>
      <c r="V575" t="inlineStr">
        <is>
          <t>외부감사대상</t>
        </is>
      </c>
      <c r="W575" s="6" t="inlineStr">
        <is>
          <t>2021-09-13</t>
        </is>
      </c>
      <c r="X575" t="inlineStr">
        <is>
          <t>KRI:10C1412000</t>
        </is>
      </c>
      <c r="Y575" t="inlineStr">
        <is>
          <t>속옷 및 잠옷 제조업</t>
        </is>
      </c>
      <c r="Z575" t="inlineStr">
        <is>
          <t>속옷,잠옷 제조/전자상거래/광고 대행</t>
        </is>
      </c>
      <c r="AA575" t="inlineStr">
        <is>
          <t>서울 강남구 삼성동 143-44번지 , 14-15층</t>
        </is>
      </c>
      <c r="AB575" t="inlineStr">
        <is>
          <t>서울 강남구 테헤란로 431, , 14-15층</t>
        </is>
      </c>
    </row>
    <row r="576" ht="19.2" customHeight="1" s="1">
      <c r="A576" t="inlineStr">
        <is>
          <t>NICE:DS1192</t>
        </is>
      </c>
      <c r="B576" t="inlineStr">
        <is>
          <t>미성코스메틱</t>
        </is>
      </c>
      <c r="C576" s="5" t="n">
        <v>25227390000</v>
      </c>
      <c r="D576" s="5" t="n">
        <v>1673256000</v>
      </c>
      <c r="E576" s="5" t="n">
        <v>23554134000</v>
      </c>
      <c r="F576" s="5" t="n">
        <v>40411641000</v>
      </c>
      <c r="G576" s="5" t="n">
        <v>4281643000</v>
      </c>
      <c r="H576" s="5" t="n">
        <v>34111553000</v>
      </c>
      <c r="I576" s="5" t="n">
        <v>4068537000</v>
      </c>
      <c r="J576" s="4" t="n">
        <v>9.842100143432617</v>
      </c>
      <c r="K576" s="4" t="n">
        <v>0.07099999487400055</v>
      </c>
      <c r="L576" s="4" t="n">
        <v>0.1059999987483025</v>
      </c>
      <c r="M576" t="inlineStr">
        <is>
          <t>김태호</t>
        </is>
      </c>
      <c r="N576" t="inlineStr">
        <is>
          <t>031-388-9630</t>
        </is>
      </c>
      <c r="O576" t="inlineStr">
        <is>
          <t>031-388-9631</t>
        </is>
      </c>
      <c r="P576" s="3" t="n"/>
      <c r="Q576" t="inlineStr">
        <is>
          <t>7318100063</t>
        </is>
      </c>
      <c r="R576" t="inlineStr">
        <is>
          <t>1341110406418</t>
        </is>
      </c>
      <c r="S576" t="inlineStr">
        <is>
          <t>대상아님</t>
        </is>
      </c>
      <c r="T576" t="inlineStr">
        <is>
          <t>일반법인</t>
        </is>
      </c>
      <c r="U576" t="inlineStr">
        <is>
          <t>중소기업</t>
        </is>
      </c>
      <c r="V576" t="inlineStr">
        <is>
          <t>외부감사대상</t>
        </is>
      </c>
      <c r="W576" s="6" t="inlineStr">
        <is>
          <t>2015-03-13</t>
        </is>
      </c>
      <c r="X576" t="inlineStr">
        <is>
          <t>KRI:10G4644300</t>
        </is>
      </c>
      <c r="Y576" t="inlineStr">
        <is>
          <t>화장품 및 화장용품 도매업</t>
        </is>
      </c>
      <c r="Z576" t="inlineStr">
        <is>
          <t>화장품원료,의약품원료 도소매/부동산 임대</t>
        </is>
      </c>
      <c r="AA576" t="inlineStr">
        <is>
          <t>경기 안양시 동안구 관양동 922번지 평촌하이필드지식산업센타 A동 1406호</t>
        </is>
      </c>
      <c r="AB576" t="inlineStr">
        <is>
          <t>경기 안양시 동안구 벌말로 66, A동 1406호 (관양동,평촌하이필드지식산업센타)</t>
        </is>
      </c>
    </row>
    <row r="577" ht="19.2" customHeight="1" s="1">
      <c r="A577" t="inlineStr">
        <is>
          <t>NICE:H73167</t>
        </is>
      </c>
      <c r="B577" t="inlineStr">
        <is>
          <t>에스비아이에이에프</t>
        </is>
      </c>
      <c r="C577" s="5" t="n">
        <v>406300313000</v>
      </c>
      <c r="D577" s="5" t="n">
        <v>2038493000</v>
      </c>
      <c r="E577" s="5" t="n">
        <v>404261820000</v>
      </c>
      <c r="F577" s="5" t="n">
        <v>21337783000</v>
      </c>
      <c r="G577" s="5" t="n">
        <v>21114434000</v>
      </c>
      <c r="H577" s="5" t="n">
        <v>16969565000</v>
      </c>
      <c r="I577" s="5" t="n">
        <v>16844803000</v>
      </c>
      <c r="J577" s="4" t="n">
        <v>228.0189971923828</v>
      </c>
      <c r="K577" s="4" t="n">
        <v>0.004999999888241291</v>
      </c>
      <c r="L577" s="4" t="n">
        <v>0.9894999265670776</v>
      </c>
      <c r="M577" t="inlineStr">
        <is>
          <t>고지은</t>
        </is>
      </c>
      <c r="N577" t="inlineStr">
        <is>
          <t>02-3416-4083</t>
        </is>
      </c>
      <c r="O577" t="inlineStr">
        <is>
          <t>02-2136-0428</t>
        </is>
      </c>
      <c r="P577" s="3" t="n"/>
      <c r="Q577" t="inlineStr">
        <is>
          <t>1208772115</t>
        </is>
      </c>
      <c r="R577" t="inlineStr">
        <is>
          <t>1101114654524</t>
        </is>
      </c>
      <c r="S577" t="inlineStr">
        <is>
          <t>대상아님</t>
        </is>
      </c>
      <c r="T577" t="inlineStr">
        <is>
          <t>일반법인</t>
        </is>
      </c>
      <c r="U577" t="inlineStr">
        <is>
          <t>중소기업</t>
        </is>
      </c>
      <c r="V577" t="inlineStr">
        <is>
          <t>외부감사대상</t>
        </is>
      </c>
      <c r="W577" s="6" t="inlineStr">
        <is>
          <t>2011-07-22</t>
        </is>
      </c>
      <c r="X577" t="inlineStr">
        <is>
          <t>KRI:10M7153100</t>
        </is>
      </c>
      <c r="Y577" t="inlineStr">
        <is>
          <t>경영 컨설팅업</t>
        </is>
      </c>
      <c r="Z577" t="inlineStr">
        <is>
          <t>경영 컨설팅</t>
        </is>
      </c>
      <c r="AA577" t="inlineStr">
        <is>
          <t>서울 중구 수하동 67번지 미래에셋센터원빌딩 동관 9층</t>
        </is>
      </c>
      <c r="AB577" t="inlineStr">
        <is>
          <t>서울 중구 을지로5길 26, 동관 9층 (수하동,미래에셋센터원빌딩)</t>
        </is>
      </c>
    </row>
    <row r="578" ht="19.2" customHeight="1" s="1">
      <c r="A578" t="inlineStr">
        <is>
          <t>NICE:C78405</t>
        </is>
      </c>
      <c r="B578" t="inlineStr">
        <is>
          <t>디엠</t>
        </is>
      </c>
      <c r="C578" s="5" t="n">
        <v>16795521000</v>
      </c>
      <c r="D578" s="5" t="n">
        <v>5621572000</v>
      </c>
      <c r="E578" s="5" t="n">
        <v>11173948000</v>
      </c>
      <c r="F578" s="5" t="n">
        <v>37762294000</v>
      </c>
      <c r="G578" s="5" t="n">
        <v>3897094000</v>
      </c>
      <c r="H578" s="5" t="n">
        <v>37664384000</v>
      </c>
      <c r="I578" s="5" t="n">
        <v>2932628000</v>
      </c>
      <c r="J578" s="4" t="n">
        <v>3.767699718475342</v>
      </c>
      <c r="K578" s="4" t="n">
        <v>0.5030999779701233</v>
      </c>
      <c r="L578" s="4" t="n">
        <v>0.1031999960541725</v>
      </c>
      <c r="M578" t="inlineStr">
        <is>
          <t>최성용</t>
        </is>
      </c>
      <c r="N578" t="inlineStr">
        <is>
          <t>053-591-1856</t>
        </is>
      </c>
      <c r="O578" t="inlineStr">
        <is>
          <t>053-591-1858</t>
        </is>
      </c>
      <c r="P578" s="3" t="n"/>
      <c r="Q578" t="inlineStr">
        <is>
          <t>5038171793</t>
        </is>
      </c>
      <c r="R578" t="inlineStr">
        <is>
          <t>1701110306515</t>
        </is>
      </c>
      <c r="S578" t="inlineStr">
        <is>
          <t>대상아님</t>
        </is>
      </c>
      <c r="T578" t="inlineStr">
        <is>
          <t>일반법인</t>
        </is>
      </c>
      <c r="U578" t="inlineStr">
        <is>
          <t>중소기업</t>
        </is>
      </c>
      <c r="V578" t="inlineStr">
        <is>
          <t>외부감사대상</t>
        </is>
      </c>
      <c r="W578" s="6" t="inlineStr">
        <is>
          <t>2006-03-20</t>
        </is>
      </c>
      <c r="X578" t="inlineStr">
        <is>
          <t>KRI:10C3039900</t>
        </is>
      </c>
      <c r="Y578" t="inlineStr">
        <is>
          <t>그 외 자동차용 신품 부품 제조업</t>
        </is>
      </c>
      <c r="Z578" t="inlineStr">
        <is>
          <t>자동차부품 제조/태양광 발전/부동산 임대</t>
        </is>
      </c>
      <c r="AA578" t="inlineStr">
        <is>
          <t>대구 달서구 대천동 750번지</t>
        </is>
      </c>
      <c r="AB578" t="inlineStr">
        <is>
          <t>대구 달서구 성서로 18-36</t>
        </is>
      </c>
    </row>
    <row r="579" ht="19.2" customHeight="1" s="1">
      <c r="A579" t="inlineStr">
        <is>
          <t>NICE:444324</t>
        </is>
      </c>
      <c r="B579" t="inlineStr">
        <is>
          <t>박원</t>
        </is>
      </c>
      <c r="C579" s="5" t="n">
        <v>79058799000</v>
      </c>
      <c r="D579" s="5" t="n">
        <v>22715046000</v>
      </c>
      <c r="E579" s="5" t="n">
        <v>56343753000</v>
      </c>
      <c r="F579" s="5" t="n">
        <v>41134898000</v>
      </c>
      <c r="G579" s="5" t="n">
        <v>5259775000</v>
      </c>
      <c r="H579" s="5" t="n">
        <v>53172393000</v>
      </c>
      <c r="I579" s="5" t="n">
        <v>7136884000</v>
      </c>
      <c r="J579" s="4" t="n">
        <v>4.019700050354004</v>
      </c>
      <c r="K579" s="4" t="n">
        <v>0.4032000005245209</v>
      </c>
      <c r="L579" s="4" t="n">
        <v>0.1278999894857407</v>
      </c>
      <c r="M579" t="inlineStr">
        <is>
          <t>김상태/박운규</t>
        </is>
      </c>
      <c r="N579" t="inlineStr">
        <is>
          <t>031-227-0981</t>
        </is>
      </c>
      <c r="O579" t="inlineStr">
        <is>
          <t>043-644-6674</t>
        </is>
      </c>
      <c r="P579" s="3">
        <f>HYPERLINK("http://www.parkwon.co.kr", "http://www.parkwon.co.kr")</f>
        <v/>
      </c>
      <c r="Q579" t="inlineStr">
        <is>
          <t>1248126514</t>
        </is>
      </c>
      <c r="R579" t="inlineStr">
        <is>
          <t>1348110021337</t>
        </is>
      </c>
      <c r="S579" t="inlineStr">
        <is>
          <t>대상아님</t>
        </is>
      </c>
      <c r="T579" t="inlineStr">
        <is>
          <t>일반법인</t>
        </is>
      </c>
      <c r="U579" t="inlineStr">
        <is>
          <t>중소기업</t>
        </is>
      </c>
      <c r="V579" t="inlineStr">
        <is>
          <t>외부감사대상</t>
        </is>
      </c>
      <c r="W579" s="6" t="inlineStr">
        <is>
          <t>1974-08-05</t>
        </is>
      </c>
      <c r="X579" t="inlineStr">
        <is>
          <t>KRI:10C2914100</t>
        </is>
      </c>
      <c r="Y579" t="inlineStr">
        <is>
          <t>구름베어링 제조업</t>
        </is>
      </c>
      <c r="Z579" t="inlineStr">
        <is>
          <t>베어링(강구,캐스타) 제조</t>
        </is>
      </c>
      <c r="AA579" t="inlineStr">
        <is>
          <t>충북 제천시 왕암동 955-1번지</t>
        </is>
      </c>
      <c r="AB579" t="inlineStr">
        <is>
          <t>충북 제천시 바이오밸리로 105</t>
        </is>
      </c>
    </row>
    <row r="580" ht="19.2" customHeight="1" s="1">
      <c r="A580" t="inlineStr">
        <is>
          <t>NICE:209320</t>
        </is>
      </c>
      <c r="B580" t="inlineStr">
        <is>
          <t>아이티젠</t>
        </is>
      </c>
      <c r="C580" s="5" t="n">
        <v>21904112000</v>
      </c>
      <c r="D580" s="5" t="n">
        <v>2762117000</v>
      </c>
      <c r="E580" s="5" t="n">
        <v>19141995000</v>
      </c>
      <c r="F580" s="5" t="n">
        <v>23736433000</v>
      </c>
      <c r="G580" s="5" t="n">
        <v>5248580000</v>
      </c>
      <c r="H580" s="5" t="n">
        <v>16659530000</v>
      </c>
      <c r="I580" s="5" t="n">
        <v>3012350000</v>
      </c>
      <c r="J580" s="4" t="n">
        <v>5.23799991607666</v>
      </c>
      <c r="K580" s="4" t="n">
        <v>0.1442999988794327</v>
      </c>
      <c r="L580" s="4" t="n">
        <v>0.2211000025272369</v>
      </c>
      <c r="M580" t="inlineStr">
        <is>
          <t>이용석</t>
        </is>
      </c>
      <c r="N580" t="inlineStr">
        <is>
          <t>02-782-8841</t>
        </is>
      </c>
      <c r="O580" t="inlineStr">
        <is>
          <t>02-782-8843</t>
        </is>
      </c>
      <c r="P580" s="3">
        <f>HYPERLINK("http://www.itgen.co.kr", "http://www.itgen.co.kr")</f>
        <v/>
      </c>
      <c r="Q580" t="inlineStr">
        <is>
          <t>1088122248</t>
        </is>
      </c>
      <c r="R580" t="inlineStr">
        <is>
          <t>1101111972820</t>
        </is>
      </c>
      <c r="S580" t="inlineStr">
        <is>
          <t>대상아님</t>
        </is>
      </c>
      <c r="T580" t="inlineStr">
        <is>
          <t>일반법인</t>
        </is>
      </c>
      <c r="U580" t="inlineStr">
        <is>
          <t>중소기업</t>
        </is>
      </c>
      <c r="V580" t="inlineStr">
        <is>
          <t>외부감사대상</t>
        </is>
      </c>
      <c r="W580" s="6" t="inlineStr">
        <is>
          <t>2000-05-18</t>
        </is>
      </c>
      <c r="X580" t="inlineStr">
        <is>
          <t>KRI:10J5822200</t>
        </is>
      </c>
      <c r="Y580" t="inlineStr">
        <is>
          <t>응용 소프트웨어 개발 및 공급업</t>
        </is>
      </c>
      <c r="Z580" t="inlineStr">
        <is>
          <t>소프트웨어 개발,자문,공급/컴퓨터,주변기기,통신기기 도소매/수출입</t>
        </is>
      </c>
      <c r="AA580" t="inlineStr">
        <is>
          <t>서울 영등포구 여의도동 25-5번지 동화빌딩 1304호.1305호</t>
        </is>
      </c>
      <c r="AB580" t="inlineStr">
        <is>
          <t>서울 영등포구 여의나루로 71, 1304호.1305호 (여의도동,동화빌딩)</t>
        </is>
      </c>
    </row>
    <row r="581" ht="19.2" customHeight="1" s="1">
      <c r="A581" t="inlineStr">
        <is>
          <t>NICE:E90630</t>
        </is>
      </c>
      <c r="B581" t="inlineStr">
        <is>
          <t>아이디에스엘티디</t>
        </is>
      </c>
      <c r="C581" s="5" t="n">
        <v>19262906000</v>
      </c>
      <c r="D581" s="5" t="n">
        <v>10270563000</v>
      </c>
      <c r="E581" s="5" t="n">
        <v>8992343000</v>
      </c>
      <c r="F581" s="5" t="n">
        <v>23720742000</v>
      </c>
      <c r="G581" s="5" t="n">
        <v>2991995000</v>
      </c>
      <c r="H581" s="5" t="n">
        <v>21920456000</v>
      </c>
      <c r="I581" s="5" t="n">
        <v>5744879000</v>
      </c>
      <c r="J581" s="4" t="n">
        <v>1.258599996566772</v>
      </c>
      <c r="K581" s="4" t="n">
        <v>1.142099976539612</v>
      </c>
      <c r="L581" s="4" t="n">
        <v>0.1260999888181686</v>
      </c>
      <c r="M581" t="inlineStr">
        <is>
          <t>안광영</t>
        </is>
      </c>
      <c r="N581" t="inlineStr">
        <is>
          <t>02-2025-1151</t>
        </is>
      </c>
      <c r="O581" t="inlineStr">
        <is>
          <t>02-2025-1154</t>
        </is>
      </c>
      <c r="P581" s="3" t="n"/>
      <c r="Q581" t="inlineStr">
        <is>
          <t>1138659927</t>
        </is>
      </c>
      <c r="R581" t="inlineStr">
        <is>
          <t>1101114878132</t>
        </is>
      </c>
      <c r="S581" t="inlineStr">
        <is>
          <t>대상아님</t>
        </is>
      </c>
      <c r="T581" t="inlineStr">
        <is>
          <t>일반법인</t>
        </is>
      </c>
      <c r="U581" t="inlineStr">
        <is>
          <t>중소기업</t>
        </is>
      </c>
      <c r="V581" t="inlineStr">
        <is>
          <t>외부감사대상</t>
        </is>
      </c>
      <c r="W581" s="6" t="inlineStr">
        <is>
          <t>2012-05-25</t>
        </is>
      </c>
      <c r="X581" t="inlineStr">
        <is>
          <t>KRI:10C2719900</t>
        </is>
      </c>
      <c r="Y581" t="inlineStr">
        <is>
          <t>그 외 기타 의료용 기기 제조업</t>
        </is>
      </c>
      <c r="Z581" t="inlineStr">
        <is>
          <t>의료용구 제조</t>
        </is>
      </c>
      <c r="AA581" t="inlineStr">
        <is>
          <t>경기 파주시 광탄면 마장리 338-4번지</t>
        </is>
      </c>
      <c r="AB581" t="inlineStr">
        <is>
          <t>경기 파주시 광탄면 심궁로 194</t>
        </is>
      </c>
    </row>
    <row r="582" s="1">
      <c r="A582" t="inlineStr">
        <is>
          <t>NICE:910546</t>
        </is>
      </c>
      <c r="B582" t="inlineStr">
        <is>
          <t>한일레저</t>
        </is>
      </c>
      <c r="C582" s="5" t="n">
        <v>198575164000</v>
      </c>
      <c r="D582" s="5" t="n">
        <v>138850844000</v>
      </c>
      <c r="E582" s="5" t="n">
        <v>59724320000</v>
      </c>
      <c r="F582" s="5" t="n">
        <v>22317370000</v>
      </c>
      <c r="G582" s="5" t="n">
        <v>3576927000</v>
      </c>
      <c r="H582" s="5" t="n">
        <v>22821732000</v>
      </c>
      <c r="I582" s="5" t="n">
        <v>4519571000</v>
      </c>
      <c r="J582" s="4" t="n">
        <v>0.7265999913215637</v>
      </c>
      <c r="K582" s="4" t="n">
        <v>2.324899911880493</v>
      </c>
      <c r="L582" s="4" t="n">
        <v>0.160300001502037</v>
      </c>
      <c r="M582" t="inlineStr">
        <is>
          <t>박정재</t>
        </is>
      </c>
      <c r="N582" t="inlineStr">
        <is>
          <t>031-884-7000</t>
        </is>
      </c>
      <c r="O582" t="inlineStr">
        <is>
          <t>031-883-1400</t>
        </is>
      </c>
      <c r="P582">
        <f>HYPERLINK("http://www.solmoro.com", "http://www.solmoro.com")</f>
        <v/>
      </c>
      <c r="Q582" t="inlineStr">
        <is>
          <t>1268106630</t>
        </is>
      </c>
      <c r="R582" t="inlineStr">
        <is>
          <t>1312110001292</t>
        </is>
      </c>
      <c r="S582" t="inlineStr">
        <is>
          <t>대상아님</t>
        </is>
      </c>
      <c r="T582" t="inlineStr">
        <is>
          <t>일반법인</t>
        </is>
      </c>
      <c r="U582" t="inlineStr">
        <is>
          <t>중소기업</t>
        </is>
      </c>
      <c r="V582" t="inlineStr">
        <is>
          <t>외부감사대상</t>
        </is>
      </c>
      <c r="W582" s="6" t="inlineStr">
        <is>
          <t>1988-12-24</t>
        </is>
      </c>
      <c r="X582" t="inlineStr">
        <is>
          <t>KRI:10R9112100</t>
        </is>
      </c>
      <c r="Y582" t="inlineStr">
        <is>
          <t>골프장 운영업</t>
        </is>
      </c>
      <c r="Z582" t="inlineStr">
        <is>
          <t>골프장,볼링장,헬스크럽 운영/전자상거래/한식 음식점</t>
        </is>
      </c>
      <c r="AA582" t="inlineStr">
        <is>
          <t>경기 여주시 가남읍 양귀리 산69번지</t>
        </is>
      </c>
      <c r="AB582" t="inlineStr">
        <is>
          <t>경기 여주시 가남읍 솔모로그린길 171</t>
        </is>
      </c>
    </row>
    <row r="583" s="1">
      <c r="A583" t="inlineStr">
        <is>
          <t>NICE:C46048</t>
        </is>
      </c>
      <c r="B583" t="inlineStr">
        <is>
          <t>동아출판</t>
        </is>
      </c>
      <c r="C583" s="5" t="n">
        <v>191701970000</v>
      </c>
      <c r="D583" s="5" t="n">
        <v>86380963000</v>
      </c>
      <c r="E583" s="5" t="n">
        <v>105321007000</v>
      </c>
      <c r="F583" s="5" t="n">
        <v>131291919000</v>
      </c>
      <c r="G583" s="5" t="n">
        <v>16526924000</v>
      </c>
      <c r="H583" s="5" t="n">
        <v>112000119000</v>
      </c>
      <c r="I583" s="5" t="n">
        <v>15619629000</v>
      </c>
      <c r="J583" s="4" t="n">
        <v>0.7658999562263489</v>
      </c>
      <c r="K583" s="4" t="n">
        <v>0.8201999664306641</v>
      </c>
      <c r="L583" s="4" t="n">
        <v>0.125900000333786</v>
      </c>
      <c r="M583" t="inlineStr">
        <is>
          <t>김석환/이욱상</t>
        </is>
      </c>
      <c r="N583" t="inlineStr">
        <is>
          <t>02-2229-7223</t>
        </is>
      </c>
      <c r="O583" t="inlineStr">
        <is>
          <t>02-2229-7219</t>
        </is>
      </c>
      <c r="P583">
        <f>HYPERLINK("http://www.dongapublishing.com", "http://www.dongapublishing.com")</f>
        <v/>
      </c>
      <c r="Q583" t="inlineStr">
        <is>
          <t>1018642059</t>
        </is>
      </c>
      <c r="R583" t="inlineStr">
        <is>
          <t>1101113977117</t>
        </is>
      </c>
      <c r="S583" t="inlineStr">
        <is>
          <t>대상아님</t>
        </is>
      </c>
      <c r="T583" t="inlineStr">
        <is>
          <t>일반법인</t>
        </is>
      </c>
      <c r="U583" t="inlineStr">
        <is>
          <t>중견기업</t>
        </is>
      </c>
      <c r="V583" t="inlineStr">
        <is>
          <t>외부감사대상</t>
        </is>
      </c>
      <c r="W583" s="6" t="inlineStr">
        <is>
          <t>2008-10-01</t>
        </is>
      </c>
      <c r="X583" t="inlineStr">
        <is>
          <t>KRI:10J5811100</t>
        </is>
      </c>
      <c r="Y583" t="inlineStr">
        <is>
          <t>교과서 및 학습서적 출판업</t>
        </is>
      </c>
      <c r="Z583" t="inlineStr">
        <is>
          <t>출판(검인정교과서,학습참고서),인쇄(상업인쇄),CD-ROM 복제 제조/인터넷교육원격평생교육,광고</t>
        </is>
      </c>
      <c r="AA583" t="inlineStr">
        <is>
          <t>서울 영등포구 여의도동 16-2번지</t>
        </is>
      </c>
      <c r="AB583" t="inlineStr">
        <is>
          <t>서울 영등포구 은행로 30</t>
        </is>
      </c>
    </row>
    <row r="584" ht="19.2" customHeight="1" s="1">
      <c r="A584" t="inlineStr">
        <is>
          <t>NICE:JR9728</t>
        </is>
      </c>
      <c r="B584" t="inlineStr">
        <is>
          <t>조이웍스</t>
        </is>
      </c>
      <c r="C584" s="5" t="n">
        <v>101442923000</v>
      </c>
      <c r="D584" s="5" t="n">
        <v>51836639000</v>
      </c>
      <c r="E584" s="5" t="n">
        <v>49606284000</v>
      </c>
      <c r="F584" s="5" t="n">
        <v>106456214000</v>
      </c>
      <c r="G584" s="5" t="n">
        <v>18655262000</v>
      </c>
      <c r="H584" s="5" t="n">
        <v>82032171000</v>
      </c>
      <c r="I584" s="5" t="n">
        <v>18360229000</v>
      </c>
      <c r="J584" s="4" t="n">
        <v>0.8999999761581421</v>
      </c>
      <c r="K584" s="4" t="n">
        <v>1.044999957084656</v>
      </c>
      <c r="L584" s="4" t="n">
        <v>0.1752000004053116</v>
      </c>
      <c r="M584" t="inlineStr">
        <is>
          <t>이문기/이민우</t>
        </is>
      </c>
      <c r="N584" t="inlineStr">
        <is>
          <t>070-4070-7943</t>
        </is>
      </c>
      <c r="O584" t="inlineStr">
        <is>
          <t>02-6008-5696</t>
        </is>
      </c>
      <c r="P584" s="3" t="n"/>
      <c r="Q584" t="inlineStr">
        <is>
          <t>7028701483</t>
        </is>
      </c>
      <c r="R584" t="inlineStr">
        <is>
          <t>2841110213044</t>
        </is>
      </c>
      <c r="S584" t="inlineStr">
        <is>
          <t>대상아님</t>
        </is>
      </c>
      <c r="T584" t="inlineStr">
        <is>
          <t>일반법인</t>
        </is>
      </c>
      <c r="U584" t="inlineStr">
        <is>
          <t>중소기업</t>
        </is>
      </c>
      <c r="V584" t="inlineStr">
        <is>
          <t>외부감사대상</t>
        </is>
      </c>
      <c r="W584" s="6" t="inlineStr">
        <is>
          <t>2019-07-30</t>
        </is>
      </c>
      <c r="X584" t="inlineStr">
        <is>
          <t>KRI:10G4642000</t>
        </is>
      </c>
      <c r="Y584" t="inlineStr">
        <is>
          <t>신발 도매업</t>
        </is>
      </c>
      <c r="Z584" t="inlineStr">
        <is>
          <t>신발,잡화 도소매</t>
        </is>
      </c>
      <c r="AA584" t="inlineStr">
        <is>
          <t>서울 성동구 성수동2가 281-20번지 성수에스케이브이원센터 2동 402호 ,403호,404호,405호</t>
        </is>
      </c>
      <c r="AB584" t="inlineStr">
        <is>
          <t>서울 성동구 광나루로8길 31, 2동 402호,403호,404호,405호 (성수동2가,성수에스케이브이원센터)</t>
        </is>
      </c>
    </row>
    <row r="585" ht="19.2" customHeight="1" s="1">
      <c r="A585" t="inlineStr">
        <is>
          <t>NICE:IL9294</t>
        </is>
      </c>
      <c r="B585" t="inlineStr">
        <is>
          <t>씨앤디플래닝</t>
        </is>
      </c>
      <c r="C585" s="5" t="n">
        <v>32937635000</v>
      </c>
      <c r="D585" s="5" t="n">
        <v>4648146000</v>
      </c>
      <c r="E585" s="5" t="n">
        <v>28289489000</v>
      </c>
      <c r="F585" s="5" t="n">
        <v>57134105000</v>
      </c>
      <c r="G585" s="5" t="n">
        <v>9349951000</v>
      </c>
      <c r="H585" s="5" t="n">
        <v>45760468000</v>
      </c>
      <c r="I585" s="5" t="n">
        <v>7684187000</v>
      </c>
      <c r="J585" s="4" t="n">
        <v>4.890599727630615</v>
      </c>
      <c r="K585" s="4" t="n">
        <v>0.1642999947071075</v>
      </c>
      <c r="L585" s="4" t="n">
        <v>0.1635999977588654</v>
      </c>
      <c r="M585" t="inlineStr">
        <is>
          <t>조세윤</t>
        </is>
      </c>
      <c r="N585" t="inlineStr">
        <is>
          <t>02-588-4858</t>
        </is>
      </c>
      <c r="P585" s="3">
        <f>HYPERLINK("http://www.cndplan.co.kr", "http://www.cndplan.co.kr")</f>
        <v/>
      </c>
      <c r="Q585" t="inlineStr">
        <is>
          <t>4858100573</t>
        </is>
      </c>
      <c r="R585" t="inlineStr">
        <is>
          <t>1101116266111</t>
        </is>
      </c>
      <c r="S585" t="inlineStr">
        <is>
          <t>대상아님</t>
        </is>
      </c>
      <c r="T585" t="inlineStr">
        <is>
          <t>일반법인</t>
        </is>
      </c>
      <c r="U585" t="inlineStr">
        <is>
          <t>중소기업</t>
        </is>
      </c>
      <c r="V585" t="inlineStr">
        <is>
          <t>외부감사대상</t>
        </is>
      </c>
      <c r="W585" s="6" t="inlineStr">
        <is>
          <t>2016-12-21</t>
        </is>
      </c>
      <c r="X585" t="inlineStr">
        <is>
          <t>KRI:10L6822100</t>
        </is>
      </c>
      <c r="Y585" t="inlineStr">
        <is>
          <t>부동산 중개 및 대리업</t>
        </is>
      </c>
      <c r="Z585" t="inlineStr">
        <is>
          <t>부동산 분양대행,컨설팅,마케팅/건축공사,주택공사/광고 대행</t>
        </is>
      </c>
      <c r="AA585" t="inlineStr">
        <is>
          <t>서울 송파구 문정동 642번지 송파테라타워2 제비동 314호,315호</t>
        </is>
      </c>
      <c r="AB585" t="inlineStr">
        <is>
          <t>서울 송파구 송파대로 201, 제비동 314호,315호 (문정동,송파테라타워2)</t>
        </is>
      </c>
    </row>
    <row r="586" s="1">
      <c r="A586" t="inlineStr">
        <is>
          <t>NICE:C88356</t>
        </is>
      </c>
      <c r="B586" t="inlineStr">
        <is>
          <t>에프디씨</t>
        </is>
      </c>
      <c r="C586" s="5" t="n">
        <v>30461156000</v>
      </c>
      <c r="D586" s="5" t="n">
        <v>19337165000</v>
      </c>
      <c r="E586" s="5" t="n">
        <v>11123992000</v>
      </c>
      <c r="F586" s="5" t="n">
        <v>23329437000</v>
      </c>
      <c r="G586" s="5" t="n">
        <v>4484615000</v>
      </c>
      <c r="H586" s="5" t="n">
        <v>20699507000</v>
      </c>
      <c r="I586" s="5" t="n">
        <v>2510634000</v>
      </c>
      <c r="J586" s="4" t="n">
        <v>1.676999926567078</v>
      </c>
      <c r="K586" s="4" t="n">
        <v>1.738299965858459</v>
      </c>
      <c r="L586" s="4" t="n">
        <v>0.1921999901533127</v>
      </c>
      <c r="M586" t="inlineStr">
        <is>
          <t>윤하원/이종원</t>
        </is>
      </c>
      <c r="N586" t="inlineStr">
        <is>
          <t>055-337-0852</t>
        </is>
      </c>
      <c r="O586" t="inlineStr">
        <is>
          <t>055-337-0848</t>
        </is>
      </c>
      <c r="P586">
        <f>HYPERLINK("http://www.finedisc.co.kr", "http://www.finedisc.co.kr")</f>
        <v/>
      </c>
      <c r="Q586" t="inlineStr">
        <is>
          <t>6158165518</t>
        </is>
      </c>
      <c r="R586" t="inlineStr">
        <is>
          <t>1955110111553</t>
        </is>
      </c>
      <c r="S586" t="inlineStr">
        <is>
          <t>대상아님</t>
        </is>
      </c>
      <c r="T586" t="inlineStr">
        <is>
          <t>일반법인</t>
        </is>
      </c>
      <c r="U586" t="inlineStr">
        <is>
          <t>중소기업</t>
        </is>
      </c>
      <c r="V586" t="inlineStr">
        <is>
          <t>외부감사대상</t>
        </is>
      </c>
      <c r="W586" s="6" t="inlineStr">
        <is>
          <t>2008-09-25</t>
        </is>
      </c>
      <c r="X586" t="inlineStr">
        <is>
          <t>KRI:10C2599900</t>
        </is>
      </c>
      <c r="Y586" t="inlineStr">
        <is>
          <t>그 외 기타 분류 안된 금속 가공 제품 제조업</t>
        </is>
      </c>
      <c r="Z586" t="inlineStr">
        <is>
          <t>파열판 제조</t>
        </is>
      </c>
      <c r="AA586" t="inlineStr">
        <is>
          <t>경남 김해시 주촌면 망덕리 877-1번지</t>
        </is>
      </c>
      <c r="AB586" t="inlineStr">
        <is>
          <t>경남 김해시 주촌면 골든루트로129번길 129</t>
        </is>
      </c>
    </row>
    <row r="587" ht="19.2" customHeight="1" s="1">
      <c r="A587" t="inlineStr">
        <is>
          <t>NICE:204627</t>
        </is>
      </c>
      <c r="B587" t="inlineStr">
        <is>
          <t>세아항공방산소재</t>
        </is>
      </c>
      <c r="C587" s="5" t="n">
        <v>95971211000</v>
      </c>
      <c r="D587" s="5" t="n">
        <v>31961958000</v>
      </c>
      <c r="E587" s="5" t="n">
        <v>64009253000</v>
      </c>
      <c r="F587" s="5" t="n">
        <v>128715658000</v>
      </c>
      <c r="G587" s="5" t="n">
        <v>22862313000</v>
      </c>
      <c r="H587" s="5" t="n">
        <v>105469159000</v>
      </c>
      <c r="I587" s="5" t="n">
        <v>16551198000</v>
      </c>
      <c r="J587" s="4" t="n">
        <v>1.779399991035461</v>
      </c>
      <c r="K587" s="4" t="n">
        <v>0.4993000030517578</v>
      </c>
      <c r="L587" s="4" t="n">
        <v>0.1775999963283539</v>
      </c>
      <c r="M587" t="inlineStr">
        <is>
          <t>성창모</t>
        </is>
      </c>
      <c r="N587" t="inlineStr">
        <is>
          <t>055-269-9549</t>
        </is>
      </c>
      <c r="O587" t="inlineStr">
        <is>
          <t>055-269-9536</t>
        </is>
      </c>
      <c r="P587" s="3">
        <f>HYPERLINK("http://www.seahaerospace.com/kor/index.asp", "http://www.seahaerospace.com/kor/index.asp")</f>
        <v/>
      </c>
      <c r="Q587" t="inlineStr">
        <is>
          <t>6098151440</t>
        </is>
      </c>
      <c r="R587" t="inlineStr">
        <is>
          <t>1942110051392</t>
        </is>
      </c>
      <c r="S587" t="inlineStr">
        <is>
          <t>대상아님</t>
        </is>
      </c>
      <c r="T587" t="inlineStr">
        <is>
          <t>일반법인</t>
        </is>
      </c>
      <c r="U587" t="inlineStr">
        <is>
          <t>대기업</t>
        </is>
      </c>
      <c r="V587" t="inlineStr">
        <is>
          <t>외부감사대상</t>
        </is>
      </c>
      <c r="W587" s="6" t="inlineStr">
        <is>
          <t>2001-12-06</t>
        </is>
      </c>
      <c r="X587" t="inlineStr">
        <is>
          <t>KRI:10C2412100</t>
        </is>
      </c>
      <c r="Y587" t="inlineStr">
        <is>
          <t>열간 압연 및 압출 제품 제조업</t>
        </is>
      </c>
      <c r="Z587" t="inlineStr">
        <is>
          <t>열간압연,압출제품 제조/금속압출제품,금속관 도매,무역</t>
        </is>
      </c>
      <c r="AA587" t="inlineStr">
        <is>
          <t>경남 창원시 성산구 성주동 54번지</t>
        </is>
      </c>
      <c r="AB587" t="inlineStr">
        <is>
          <t>경남 창원시 성산구 정동로 48</t>
        </is>
      </c>
    </row>
    <row r="588" ht="19.2" customHeight="1" s="1">
      <c r="A588" t="inlineStr">
        <is>
          <t>NICE:242371</t>
        </is>
      </c>
      <c r="B588" t="inlineStr">
        <is>
          <t>새해성</t>
        </is>
      </c>
      <c r="C588" s="5" t="n">
        <v>64162496000</v>
      </c>
      <c r="D588" s="5" t="n">
        <v>17188711000</v>
      </c>
      <c r="E588" s="5" t="n">
        <v>46973784000</v>
      </c>
      <c r="F588" s="5" t="n">
        <v>26892584000</v>
      </c>
      <c r="G588" s="5" t="n">
        <v>6179260000</v>
      </c>
      <c r="H588" s="5" t="n">
        <v>147071689000</v>
      </c>
      <c r="I588" s="5" t="n">
        <v>10613025000</v>
      </c>
      <c r="J588" s="4" t="n">
        <v>0.9218999743461609</v>
      </c>
      <c r="K588" s="4" t="n">
        <v>0.3658999800682068</v>
      </c>
      <c r="L588" s="4" t="n">
        <v>0.2297999858856201</v>
      </c>
      <c r="M588" t="inlineStr">
        <is>
          <t>허인태</t>
        </is>
      </c>
      <c r="N588" t="inlineStr">
        <is>
          <t>054-971-9194</t>
        </is>
      </c>
      <c r="O588" t="inlineStr">
        <is>
          <t>054-971-9198</t>
        </is>
      </c>
      <c r="P588" s="3">
        <f>HYPERLINK("http://www.saehaesung.co.kr", "http://www.saehaesung.co.kr")</f>
        <v/>
      </c>
      <c r="Q588" t="inlineStr">
        <is>
          <t>5038135201</t>
        </is>
      </c>
      <c r="R588" t="inlineStr">
        <is>
          <t>1750110003275</t>
        </is>
      </c>
      <c r="S588" t="inlineStr">
        <is>
          <t>대상아님</t>
        </is>
      </c>
      <c r="T588" t="inlineStr">
        <is>
          <t>일반법인</t>
        </is>
      </c>
      <c r="U588" t="inlineStr">
        <is>
          <t>중소기업</t>
        </is>
      </c>
      <c r="V588" t="inlineStr">
        <is>
          <t>외부감사대상</t>
        </is>
      </c>
      <c r="W588" s="6" t="inlineStr">
        <is>
          <t>1997-09-12</t>
        </is>
      </c>
      <c r="X588" t="inlineStr">
        <is>
          <t>KRI:10C3032000</t>
        </is>
      </c>
      <c r="Y588" t="inlineStr">
        <is>
          <t>자동차 차체용 신품 부품 제조업</t>
        </is>
      </c>
      <c r="Z588" t="inlineStr">
        <is>
          <t>자동차부품,금형 제조</t>
        </is>
      </c>
      <c r="AA588" t="inlineStr">
        <is>
          <t>경북 칠곡군 왜관읍 낙산리 647-1번지</t>
        </is>
      </c>
      <c r="AB588" t="inlineStr">
        <is>
          <t>경북 칠곡군 왜관읍 2산업단지2길 222</t>
        </is>
      </c>
    </row>
    <row r="589" ht="19.2" customHeight="1" s="1">
      <c r="A589" t="inlineStr">
        <is>
          <t>NICE:IZ1002</t>
        </is>
      </c>
      <c r="B589" t="inlineStr">
        <is>
          <t>라카코스메틱스</t>
        </is>
      </c>
      <c r="C589" s="5" t="n">
        <v>50813402000</v>
      </c>
      <c r="D589" s="5" t="n">
        <v>37245828000</v>
      </c>
      <c r="E589" s="5" t="n">
        <v>13567574000</v>
      </c>
      <c r="F589" s="5" t="n">
        <v>51453454000</v>
      </c>
      <c r="G589" s="5" t="n">
        <v>5160660000</v>
      </c>
      <c r="H589" s="5" t="n">
        <v>22864910000</v>
      </c>
      <c r="I589" s="5" t="n">
        <v>6524040000</v>
      </c>
      <c r="J589" s="4" t="n">
        <v>1.416399955749512</v>
      </c>
      <c r="K589" s="4" t="n">
        <v>2.745199918746948</v>
      </c>
      <c r="L589" s="4" t="n">
        <v>0.1002999916672707</v>
      </c>
      <c r="M589" t="inlineStr">
        <is>
          <t>이지철</t>
        </is>
      </c>
      <c r="N589" t="inlineStr">
        <is>
          <t>02-1588-8143</t>
        </is>
      </c>
      <c r="O589" t="inlineStr">
        <is>
          <t>02-474-2653</t>
        </is>
      </c>
      <c r="P589" s="3">
        <f>HYPERLINK("http://laka.co.kr", "http://laka.co.kr")</f>
        <v/>
      </c>
      <c r="Q589" t="inlineStr">
        <is>
          <t>7638700999</t>
        </is>
      </c>
      <c r="R589" t="inlineStr">
        <is>
          <t>1357110126451</t>
        </is>
      </c>
      <c r="S589" t="inlineStr">
        <is>
          <t>대상아님</t>
        </is>
      </c>
      <c r="T589" t="inlineStr">
        <is>
          <t>일반법인</t>
        </is>
      </c>
      <c r="U589" t="inlineStr">
        <is>
          <t>중소기업</t>
        </is>
      </c>
      <c r="V589" t="inlineStr">
        <is>
          <t>외부감사대상</t>
        </is>
      </c>
      <c r="W589" s="6" t="inlineStr">
        <is>
          <t>2018-02-02</t>
        </is>
      </c>
      <c r="X589" t="inlineStr">
        <is>
          <t>KRI:10C2042300</t>
        </is>
      </c>
      <c r="Y589" t="inlineStr">
        <is>
          <t>화장품 제조업</t>
        </is>
      </c>
      <c r="Z589" t="inlineStr">
        <is>
          <t>화장품 제조,도소매/방향제 소매/전자상거래</t>
        </is>
      </c>
      <c r="AA589" t="inlineStr">
        <is>
          <t>서울 마포구 서교동 373-8번지 유남빌딩 7층</t>
        </is>
      </c>
      <c r="AB589" t="inlineStr">
        <is>
          <t>서울 마포구 양화로 92, 7층 (서교동,유남빌딩)</t>
        </is>
      </c>
    </row>
    <row r="590" ht="19.2" customHeight="1" s="1">
      <c r="A590" t="inlineStr">
        <is>
          <t>NICE:479627</t>
        </is>
      </c>
      <c r="B590" t="inlineStr">
        <is>
          <t>태양정공</t>
        </is>
      </c>
      <c r="C590" s="5" t="n">
        <v>31135199000</v>
      </c>
      <c r="D590" s="5" t="n">
        <v>9862887000</v>
      </c>
      <c r="E590" s="5" t="n">
        <v>21272312000</v>
      </c>
      <c r="F590" s="5" t="n">
        <v>33721822000</v>
      </c>
      <c r="G590" s="5" t="n">
        <v>4871411000</v>
      </c>
      <c r="H590" s="5" t="n">
        <v>37187114000</v>
      </c>
      <c r="I590" s="5" t="n">
        <v>5407508000</v>
      </c>
      <c r="J590" s="4" t="n">
        <v>1.613800048828125</v>
      </c>
      <c r="K590" s="4" t="n">
        <v>0.4636000096797943</v>
      </c>
      <c r="L590" s="4" t="n">
        <v>0.1445000022649765</v>
      </c>
      <c r="M590" t="inlineStr">
        <is>
          <t>정춘옥</t>
        </is>
      </c>
      <c r="N590" t="inlineStr">
        <is>
          <t>052-707-1491</t>
        </is>
      </c>
      <c r="O590" t="inlineStr">
        <is>
          <t>052-707-1495</t>
        </is>
      </c>
      <c r="P590" s="3">
        <f>HYPERLINK("http://www.tyjk.co.kr", "http://www.tyjk.co.kr")</f>
        <v/>
      </c>
      <c r="Q590" t="inlineStr">
        <is>
          <t>6218135737</t>
        </is>
      </c>
      <c r="R590" t="inlineStr">
        <is>
          <t>1801110299578</t>
        </is>
      </c>
      <c r="S590" t="inlineStr">
        <is>
          <t>대상아님</t>
        </is>
      </c>
      <c r="T590" t="inlineStr">
        <is>
          <t>일반법인</t>
        </is>
      </c>
      <c r="U590" t="inlineStr">
        <is>
          <t>중소기업</t>
        </is>
      </c>
      <c r="V590" t="inlineStr">
        <is>
          <t>외부감사대상</t>
        </is>
      </c>
      <c r="W590" s="6" t="inlineStr">
        <is>
          <t>1999-09-14</t>
        </is>
      </c>
      <c r="X590" t="inlineStr">
        <is>
          <t>KRI:10C3039900</t>
        </is>
      </c>
      <c r="Y590" t="inlineStr">
        <is>
          <t>그 외 자동차용 신품 부품 제조업</t>
        </is>
      </c>
      <c r="Z590" t="inlineStr">
        <is>
          <t>자동차부품(머플러행거,견인후크) 제조</t>
        </is>
      </c>
      <c r="AA590" t="inlineStr">
        <is>
          <t>울산 울주군 웅촌면 대대리 738-1번지</t>
        </is>
      </c>
      <c r="AB590" t="inlineStr">
        <is>
          <t>울산 울주군 웅촌면 광청로 117</t>
        </is>
      </c>
    </row>
    <row r="591" ht="19.2" customHeight="1" s="1">
      <c r="A591" t="inlineStr">
        <is>
          <t>NICE:107976</t>
        </is>
      </c>
      <c r="B591" t="inlineStr">
        <is>
          <t>천안논산고속도로</t>
        </is>
      </c>
      <c r="C591" s="5" t="n">
        <v>654086850000</v>
      </c>
      <c r="D591" s="5" t="n">
        <v>327664907000</v>
      </c>
      <c r="E591" s="5" t="n">
        <v>326421944000</v>
      </c>
      <c r="F591" s="5" t="n">
        <v>219278565000</v>
      </c>
      <c r="G591" s="5" t="n">
        <v>126971250000</v>
      </c>
      <c r="H591" s="5" t="n">
        <v>222709133000</v>
      </c>
      <c r="I591" s="5" t="n">
        <v>127559650000</v>
      </c>
      <c r="J591" s="4" t="n">
        <v>3.187099933624268</v>
      </c>
      <c r="K591" s="4" t="n">
        <v>1.003799915313721</v>
      </c>
      <c r="L591" s="4" t="n">
        <v>0.5789999961853027</v>
      </c>
      <c r="M591" t="inlineStr">
        <is>
          <t>이성기</t>
        </is>
      </c>
      <c r="N591" t="inlineStr">
        <is>
          <t>041-850-6700</t>
        </is>
      </c>
      <c r="O591" t="inlineStr">
        <is>
          <t>041-850-6789</t>
        </is>
      </c>
      <c r="P591" s="3">
        <f>HYPERLINK("http://www.cneway.co.kr", "http://www.cneway.co.kr")</f>
        <v/>
      </c>
      <c r="Q591" t="inlineStr">
        <is>
          <t>3128127463</t>
        </is>
      </c>
      <c r="R591" t="inlineStr">
        <is>
          <t>1615110024102</t>
        </is>
      </c>
      <c r="S591" t="inlineStr">
        <is>
          <t>대상아님</t>
        </is>
      </c>
      <c r="T591" t="inlineStr">
        <is>
          <t>일반법인</t>
        </is>
      </c>
      <c r="U591" t="inlineStr">
        <is>
          <t>중견기업</t>
        </is>
      </c>
      <c r="V591" t="inlineStr">
        <is>
          <t>외부감사대상</t>
        </is>
      </c>
      <c r="W591" s="6" t="inlineStr">
        <is>
          <t>1997-07-22</t>
        </is>
      </c>
      <c r="X591" t="inlineStr">
        <is>
          <t>KRI:10H5291400</t>
        </is>
      </c>
      <c r="Y591" t="inlineStr">
        <is>
          <t>도로 및 관련시설 운영업</t>
        </is>
      </c>
      <c r="Z591" t="inlineStr">
        <is>
          <t>도로 관리,운영</t>
        </is>
      </c>
      <c r="AA591" t="inlineStr">
        <is>
          <t>충남 공주시 태봉동 457번지</t>
        </is>
      </c>
      <c r="AB591" t="inlineStr">
        <is>
          <t>충남 공주시 봉정길 103</t>
        </is>
      </c>
    </row>
    <row r="592" ht="19.2" customHeight="1" s="1">
      <c r="A592" t="inlineStr">
        <is>
          <t>NICE:124499</t>
        </is>
      </c>
      <c r="B592" t="inlineStr">
        <is>
          <t>연무기술</t>
        </is>
      </c>
      <c r="C592" s="5" t="n">
        <v>24189087000</v>
      </c>
      <c r="D592" s="5" t="n">
        <v>9755724000</v>
      </c>
      <c r="E592" s="5" t="n">
        <v>14433364000</v>
      </c>
      <c r="F592" s="5" t="n">
        <v>29461340000</v>
      </c>
      <c r="G592" s="5" t="n">
        <v>3387607000</v>
      </c>
      <c r="H592" s="5" t="n">
        <v>26038243000</v>
      </c>
      <c r="I592" s="5" t="n">
        <v>1823471000</v>
      </c>
      <c r="J592" s="4" t="n">
        <v>1.571699976921082</v>
      </c>
      <c r="K592" s="4" t="n">
        <v>0.6758999228477478</v>
      </c>
      <c r="L592" s="4" t="n">
        <v>0.114999994635582</v>
      </c>
      <c r="M592" t="inlineStr">
        <is>
          <t>박재용</t>
        </is>
      </c>
      <c r="N592" t="inlineStr">
        <is>
          <t>042-863-9187</t>
        </is>
      </c>
      <c r="O592" t="inlineStr">
        <is>
          <t>042-863-9185</t>
        </is>
      </c>
      <c r="P592" s="3">
        <f>HYPERLINK("http://www.yeonmu.com", "http://www.yeonmu.com")</f>
        <v/>
      </c>
      <c r="Q592" t="inlineStr">
        <is>
          <t>3148125419</t>
        </is>
      </c>
      <c r="R592" t="inlineStr">
        <is>
          <t>1601110080202</t>
        </is>
      </c>
      <c r="S592" t="inlineStr">
        <is>
          <t>대상아님</t>
        </is>
      </c>
      <c r="T592" t="inlineStr">
        <is>
          <t>일반법인</t>
        </is>
      </c>
      <c r="U592" t="inlineStr">
        <is>
          <t>중소기업</t>
        </is>
      </c>
      <c r="V592" t="inlineStr">
        <is>
          <t>외부감사대상</t>
        </is>
      </c>
      <c r="W592" s="6" t="inlineStr">
        <is>
          <t>1999-03-24</t>
        </is>
      </c>
      <c r="X592" t="inlineStr">
        <is>
          <t>KRI:10J6209000</t>
        </is>
      </c>
      <c r="Y592" t="inlineStr">
        <is>
          <t>기타 정보기술 및 컴퓨터운영 관련 서비스업</t>
        </is>
      </c>
      <c r="Z592" t="inlineStr">
        <is>
          <t>통신장비,전산장비 유지보수용역/정보통신 설계</t>
        </is>
      </c>
      <c r="AA592" t="inlineStr">
        <is>
          <t>대전 유성구 도룡동 385-19번지</t>
        </is>
      </c>
      <c r="AB592" t="inlineStr">
        <is>
          <t>대전 유성구 대덕대로590번길 11-14</t>
        </is>
      </c>
    </row>
    <row r="593" ht="19.2" customHeight="1" s="1">
      <c r="A593" t="inlineStr">
        <is>
          <t>NICE:389242</t>
        </is>
      </c>
      <c r="B593" t="inlineStr">
        <is>
          <t>현대성우홀딩스</t>
        </is>
      </c>
      <c r="C593" s="5" t="n">
        <v>376560460000</v>
      </c>
      <c r="D593" s="5" t="n">
        <v>17242294000</v>
      </c>
      <c r="E593" s="5" t="n">
        <v>359318166000</v>
      </c>
      <c r="F593" s="5" t="n">
        <v>45374391000</v>
      </c>
      <c r="G593" s="5" t="n">
        <v>20501763000</v>
      </c>
      <c r="H593" s="5" t="n">
        <v>1137549045000</v>
      </c>
      <c r="I593" s="5" t="n">
        <v>45769029000</v>
      </c>
      <c r="J593" s="4" t="n">
        <v>3.520999908447266</v>
      </c>
      <c r="K593" s="4" t="n">
        <v>0.04800000041723251</v>
      </c>
      <c r="L593" s="4" t="n">
        <v>0.4517999887466431</v>
      </c>
      <c r="M593" t="inlineStr">
        <is>
          <t>정몽용</t>
        </is>
      </c>
      <c r="N593" t="inlineStr">
        <is>
          <t>02-2189-5131</t>
        </is>
      </c>
      <c r="O593" t="inlineStr">
        <is>
          <t>02-2189-5207</t>
        </is>
      </c>
      <c r="P593" s="3">
        <f>HYPERLINK("http://www.swa.co.kr", "http://www.swa.co.kr")</f>
        <v/>
      </c>
      <c r="Q593" t="inlineStr">
        <is>
          <t>2148124269</t>
        </is>
      </c>
      <c r="R593" t="inlineStr">
        <is>
          <t>1101110529490</t>
        </is>
      </c>
      <c r="S593" t="inlineStr">
        <is>
          <t>대상아님</t>
        </is>
      </c>
      <c r="T593" t="inlineStr">
        <is>
          <t>일반법인</t>
        </is>
      </c>
      <c r="U593" t="inlineStr">
        <is>
          <t>중견기업</t>
        </is>
      </c>
      <c r="V593" t="inlineStr">
        <is>
          <t>외부감사대상</t>
        </is>
      </c>
      <c r="W593" s="6" t="inlineStr">
        <is>
          <t>1987-05-02</t>
        </is>
      </c>
      <c r="X593" t="inlineStr">
        <is>
          <t>KRI:10K6499200</t>
        </is>
      </c>
      <c r="Y593" t="inlineStr">
        <is>
          <t>지주회사</t>
        </is>
      </c>
      <c r="Z593" t="inlineStr">
        <is>
          <t>회사본부,지주회사,경영 컨설팅/부동산 임대</t>
        </is>
      </c>
      <c r="AA593" t="inlineStr">
        <is>
          <t>서울 강남구 삼성동 107-7번지</t>
        </is>
      </c>
      <c r="AB593" t="inlineStr">
        <is>
          <t>서울 강남구 봉은사로 609</t>
        </is>
      </c>
    </row>
    <row r="594" s="1">
      <c r="A594" t="inlineStr">
        <is>
          <t>NICE:370342</t>
        </is>
      </c>
      <c r="B594" t="inlineStr">
        <is>
          <t>하이퓨리티</t>
        </is>
      </c>
      <c r="C594" s="5" t="n">
        <v>45038154000</v>
      </c>
      <c r="D594" s="5" t="n">
        <v>18515101000</v>
      </c>
      <c r="E594" s="5" t="n">
        <v>26523052000</v>
      </c>
      <c r="F594" s="5" t="n">
        <v>28070897000</v>
      </c>
      <c r="G594" s="5" t="n">
        <v>3176890000</v>
      </c>
      <c r="H594" s="5" t="n">
        <v>21606299000</v>
      </c>
      <c r="I594" s="5" t="n">
        <v>1655697000</v>
      </c>
      <c r="J594" s="4" t="n">
        <v>1.676100015640259</v>
      </c>
      <c r="K594" s="4" t="n">
        <v>0.6980999708175659</v>
      </c>
      <c r="L594" s="4" t="n">
        <v>0.1131999939680099</v>
      </c>
      <c r="M594" t="inlineStr">
        <is>
          <t>박희성</t>
        </is>
      </c>
      <c r="N594" t="inlineStr">
        <is>
          <t>02-422-1118</t>
        </is>
      </c>
      <c r="O594" t="inlineStr">
        <is>
          <t>02-422-1181</t>
        </is>
      </c>
      <c r="P594">
        <f>HYPERLINK("http://www.hipurity.com", "http://www.hipurity.com")</f>
        <v/>
      </c>
      <c r="Q594" t="inlineStr">
        <is>
          <t>2158657055</t>
        </is>
      </c>
      <c r="R594" t="inlineStr">
        <is>
          <t>1101113014315</t>
        </is>
      </c>
      <c r="S594" t="inlineStr">
        <is>
          <t>대상아님</t>
        </is>
      </c>
      <c r="T594" t="inlineStr">
        <is>
          <t>일반법인</t>
        </is>
      </c>
      <c r="U594" t="inlineStr">
        <is>
          <t>중소기업</t>
        </is>
      </c>
      <c r="V594" t="inlineStr">
        <is>
          <t>외부감사대상</t>
        </is>
      </c>
      <c r="W594" s="6" t="inlineStr">
        <is>
          <t>2004-05-18</t>
        </is>
      </c>
      <c r="X594" t="inlineStr">
        <is>
          <t>KRI:10C2612900</t>
        </is>
      </c>
      <c r="Y594" t="inlineStr">
        <is>
          <t>기타 반도체소자 제조업</t>
        </is>
      </c>
      <c r="Z594" t="inlineStr">
        <is>
          <t>반도체분석시스템 제조/전기용기계장비,관련기자재,가스분석기 도소매,무역/부동산 임대,일반기계,장비 수리</t>
        </is>
      </c>
      <c r="AA594" t="inlineStr">
        <is>
          <t>경기 용인시 처인구 남사읍 북리 590-2번지</t>
        </is>
      </c>
      <c r="AB594" t="inlineStr">
        <is>
          <t>경기 용인시 처인구 남사읍 경기동로 175-28</t>
        </is>
      </c>
    </row>
    <row r="595" ht="19.2" customHeight="1" s="1">
      <c r="A595" t="inlineStr">
        <is>
          <t>NICE:137222</t>
        </is>
      </c>
      <c r="B595" t="inlineStr">
        <is>
          <t>탑플렉스</t>
        </is>
      </c>
      <c r="C595" s="5" t="n">
        <v>20286904000</v>
      </c>
      <c r="D595" s="5" t="n">
        <v>5094637000</v>
      </c>
      <c r="E595" s="5" t="n">
        <v>15192267000</v>
      </c>
      <c r="F595" s="5" t="n">
        <v>21407493000</v>
      </c>
      <c r="G595" s="5" t="n">
        <v>3231174000</v>
      </c>
      <c r="H595" s="5" t="n">
        <v>18742966000</v>
      </c>
      <c r="I595" s="5" t="n">
        <v>1708108000</v>
      </c>
      <c r="J595" s="4" t="n">
        <v>1.386799931526184</v>
      </c>
      <c r="K595" s="4" t="n">
        <v>0.3352999687194824</v>
      </c>
      <c r="L595" s="4" t="n">
        <v>0.1508999913930893</v>
      </c>
      <c r="M595" t="inlineStr">
        <is>
          <t>황용해</t>
        </is>
      </c>
      <c r="N595" t="inlineStr">
        <is>
          <t>055-335-8782</t>
        </is>
      </c>
      <c r="O595" t="inlineStr">
        <is>
          <t>055-332-4194</t>
        </is>
      </c>
      <c r="P595" s="3">
        <f>HYPERLINK("http://www.topplex.com", "http://www.topplex.com")</f>
        <v/>
      </c>
      <c r="Q595" t="inlineStr">
        <is>
          <t>6228117620</t>
        </is>
      </c>
      <c r="R595" t="inlineStr">
        <is>
          <t>1846110023056</t>
        </is>
      </c>
      <c r="S595" t="inlineStr">
        <is>
          <t>대상아님</t>
        </is>
      </c>
      <c r="T595" t="inlineStr">
        <is>
          <t>일반법인</t>
        </is>
      </c>
      <c r="U595" t="inlineStr">
        <is>
          <t>중소기업</t>
        </is>
      </c>
      <c r="V595" t="inlineStr">
        <is>
          <t>외부감사대상</t>
        </is>
      </c>
      <c r="W595" s="6" t="inlineStr">
        <is>
          <t>1996-12-01</t>
        </is>
      </c>
      <c r="X595" t="inlineStr">
        <is>
          <t>KRI:10C3020100</t>
        </is>
      </c>
      <c r="Y595" t="inlineStr">
        <is>
          <t>차체 및 특장차 제조업</t>
        </is>
      </c>
      <c r="Z595" t="inlineStr">
        <is>
          <t>차체,특장차,탑,간판 제조/차량광고</t>
        </is>
      </c>
      <c r="AA595" t="inlineStr">
        <is>
          <t>경남 김해시 어방동 1065-11번지</t>
        </is>
      </c>
      <c r="AB595" t="inlineStr">
        <is>
          <t>경남 김해시 김해대로2567번길 27</t>
        </is>
      </c>
    </row>
    <row r="596" ht="19.2" customHeight="1" s="1">
      <c r="A596" t="inlineStr">
        <is>
          <t>NICE:041327</t>
        </is>
      </c>
      <c r="B596" t="inlineStr">
        <is>
          <t>제임스텍</t>
        </is>
      </c>
      <c r="C596" s="5" t="n">
        <v>55709728000</v>
      </c>
      <c r="D596" s="5" t="n">
        <v>13829871000</v>
      </c>
      <c r="E596" s="5" t="n">
        <v>41879857000</v>
      </c>
      <c r="F596" s="5" t="n">
        <v>45890066000</v>
      </c>
      <c r="G596" s="5" t="n">
        <v>5905701000</v>
      </c>
      <c r="H596" s="5" t="n">
        <v>43382846000</v>
      </c>
      <c r="I596" s="5" t="n">
        <v>6733544000</v>
      </c>
      <c r="J596" s="4" t="n">
        <v>2.34879994392395</v>
      </c>
      <c r="K596" s="4" t="n">
        <v>0.3301999866962433</v>
      </c>
      <c r="L596" s="4" t="n">
        <v>0.128700003027916</v>
      </c>
      <c r="M596" t="inlineStr">
        <is>
          <t>박지홍</t>
        </is>
      </c>
      <c r="N596" t="inlineStr">
        <is>
          <t>02-801-7534</t>
        </is>
      </c>
      <c r="O596" t="inlineStr">
        <is>
          <t>02-806-0075</t>
        </is>
      </c>
      <c r="P596" s="3">
        <f>HYPERLINK("http://www.jamestech.co.kr", "http://www.jamestech.co.kr")</f>
        <v/>
      </c>
      <c r="Q596" t="inlineStr">
        <is>
          <t>1178101816</t>
        </is>
      </c>
      <c r="R596" t="inlineStr">
        <is>
          <t>1101110538053</t>
        </is>
      </c>
      <c r="S596" t="inlineStr">
        <is>
          <t>대상아님</t>
        </is>
      </c>
      <c r="T596" t="inlineStr">
        <is>
          <t>일반법인</t>
        </is>
      </c>
      <c r="U596" t="inlineStr">
        <is>
          <t>중소기업</t>
        </is>
      </c>
      <c r="V596" t="inlineStr">
        <is>
          <t>외부감사대상</t>
        </is>
      </c>
      <c r="W596" s="6" t="inlineStr">
        <is>
          <t>1987-07-15</t>
        </is>
      </c>
      <c r="X596" t="inlineStr">
        <is>
          <t>KRI:10C2629900</t>
        </is>
      </c>
      <c r="Y596" t="inlineStr">
        <is>
          <t>그 외 기타 전자부품 제조업</t>
        </is>
      </c>
      <c r="Z596" t="inlineStr">
        <is>
          <t>전자온도센서,가전용온도센서 제조,도소매,무역,오파</t>
        </is>
      </c>
      <c r="AA596" t="inlineStr">
        <is>
          <t>서울 금천구 시흥동 113-15번지</t>
        </is>
      </c>
      <c r="AB596" t="inlineStr">
        <is>
          <t>서울 금천구 시흥대로 281</t>
        </is>
      </c>
    </row>
    <row r="597" s="1">
      <c r="A597" t="inlineStr">
        <is>
          <t>NICE:103703</t>
        </is>
      </c>
      <c r="B597" t="inlineStr">
        <is>
          <t>동원유지</t>
        </is>
      </c>
      <c r="C597" s="5" t="n">
        <v>52566310000</v>
      </c>
      <c r="D597" s="5" t="n">
        <v>7934392000</v>
      </c>
      <c r="E597" s="5" t="n">
        <v>44631918000</v>
      </c>
      <c r="F597" s="5" t="n">
        <v>42562993000</v>
      </c>
      <c r="G597" s="5" t="n">
        <v>8543988000</v>
      </c>
      <c r="H597" s="5" t="n">
        <v>38412961000</v>
      </c>
      <c r="I597" s="5" t="n">
        <v>5676575000</v>
      </c>
      <c r="J597" s="4" t="n">
        <v>4.634799957275391</v>
      </c>
      <c r="K597" s="4" t="n">
        <v>0.1777999997138977</v>
      </c>
      <c r="L597" s="4" t="n">
        <v>0.2006999850273132</v>
      </c>
      <c r="M597" t="inlineStr">
        <is>
          <t>박재필</t>
        </is>
      </c>
      <c r="N597" t="inlineStr">
        <is>
          <t>044-857-9675</t>
        </is>
      </c>
      <c r="O597" t="inlineStr">
        <is>
          <t>044-857-9675</t>
        </is>
      </c>
      <c r="Q597" t="inlineStr">
        <is>
          <t>3078113249</t>
        </is>
      </c>
      <c r="R597" t="inlineStr">
        <is>
          <t>1612110006594</t>
        </is>
      </c>
      <c r="S597" t="inlineStr">
        <is>
          <t>대상아님</t>
        </is>
      </c>
      <c r="T597" t="inlineStr">
        <is>
          <t>일반법인</t>
        </is>
      </c>
      <c r="U597" t="inlineStr">
        <is>
          <t>중소기업</t>
        </is>
      </c>
      <c r="V597" t="inlineStr">
        <is>
          <t>외부감사대상</t>
        </is>
      </c>
      <c r="W597" s="6" t="inlineStr">
        <is>
          <t>1999-03-11</t>
        </is>
      </c>
      <c r="X597" t="inlineStr">
        <is>
          <t>KRI:10C1040100</t>
        </is>
      </c>
      <c r="Y597" t="inlineStr">
        <is>
          <t>동물성 유지 제조업</t>
        </is>
      </c>
      <c r="Z597" t="inlineStr">
        <is>
          <t>유지,사료유지박,원피 제조,도소매/축산물 판매/부동산 임대</t>
        </is>
      </c>
      <c r="AA597" t="inlineStr">
        <is>
          <t>세종 장군면 산학리 144번지</t>
        </is>
      </c>
      <c r="AB597" t="inlineStr">
        <is>
          <t>세종 장군면 산학리길 139</t>
        </is>
      </c>
    </row>
    <row r="598" ht="19.2" customHeight="1" s="1">
      <c r="A598" t="inlineStr">
        <is>
          <t>NICE:162057</t>
        </is>
      </c>
      <c r="B598" t="inlineStr">
        <is>
          <t>신아레미콘</t>
        </is>
      </c>
      <c r="C598" s="5" t="n">
        <v>25055503000</v>
      </c>
      <c r="D598" s="5" t="n">
        <v>4337456000</v>
      </c>
      <c r="E598" s="5" t="n">
        <v>20718047000</v>
      </c>
      <c r="F598" s="5" t="n">
        <v>32530491000</v>
      </c>
      <c r="G598" s="5" t="n">
        <v>5842754000</v>
      </c>
      <c r="H598" s="5" t="n">
        <v>32468564000</v>
      </c>
      <c r="I598" s="5" t="n">
        <v>5267391000</v>
      </c>
      <c r="J598" s="4" t="n">
        <v>3.42609977722168</v>
      </c>
      <c r="K598" s="4" t="n">
        <v>0.2093999981880188</v>
      </c>
      <c r="L598" s="4" t="n">
        <v>0.1795999854803085</v>
      </c>
      <c r="M598" t="inlineStr">
        <is>
          <t>윤영식</t>
        </is>
      </c>
      <c r="N598" t="inlineStr">
        <is>
          <t>052-239-0020</t>
        </is>
      </c>
      <c r="O598" t="inlineStr">
        <is>
          <t>052-238-2199</t>
        </is>
      </c>
      <c r="P598" s="3" t="n"/>
      <c r="Q598" t="inlineStr">
        <is>
          <t>6108136871</t>
        </is>
      </c>
      <c r="R598" t="inlineStr">
        <is>
          <t>2301110056307</t>
        </is>
      </c>
      <c r="S598" t="inlineStr">
        <is>
          <t>대상아님</t>
        </is>
      </c>
      <c r="T598" t="inlineStr">
        <is>
          <t>일반법인</t>
        </is>
      </c>
      <c r="U598" t="inlineStr">
        <is>
          <t>중소기업</t>
        </is>
      </c>
      <c r="V598" t="inlineStr">
        <is>
          <t>외부감사대상</t>
        </is>
      </c>
      <c r="W598" s="6" t="inlineStr">
        <is>
          <t>1999-04-08</t>
        </is>
      </c>
      <c r="X598" t="inlineStr">
        <is>
          <t>KRI:10C2332200</t>
        </is>
      </c>
      <c r="Y598" t="inlineStr">
        <is>
          <t>레미콘 제조업</t>
        </is>
      </c>
      <c r="Z598" t="inlineStr">
        <is>
          <t>레미콘,모르타르 제조/규사 도소매</t>
        </is>
      </c>
      <c r="AA598" t="inlineStr">
        <is>
          <t>울산 울주군 온산읍 당월리 222-3번지</t>
        </is>
      </c>
      <c r="AB598" t="inlineStr">
        <is>
          <t>울산 울주군 온산읍 당월로 126</t>
        </is>
      </c>
    </row>
    <row r="599" ht="19.2" customHeight="1" s="1">
      <c r="A599" t="inlineStr">
        <is>
          <t>NICE:IU2536</t>
        </is>
      </c>
      <c r="B599" t="inlineStr">
        <is>
          <t>진이어스</t>
        </is>
      </c>
      <c r="C599" s="5" t="n">
        <v>86642059000</v>
      </c>
      <c r="D599" s="5" t="n">
        <v>34464476000</v>
      </c>
      <c r="E599" s="5" t="n">
        <v>52177583000</v>
      </c>
      <c r="F599" s="5" t="n">
        <v>108600731000</v>
      </c>
      <c r="G599" s="5" t="n">
        <v>11685402000</v>
      </c>
      <c r="H599" s="5" t="n">
        <v>104171186000</v>
      </c>
      <c r="I599" s="5" t="n">
        <v>21305223000</v>
      </c>
      <c r="J599" s="4" t="n">
        <v>4.097899913787842</v>
      </c>
      <c r="K599" s="4" t="n">
        <v>0.6604999899864197</v>
      </c>
      <c r="L599" s="4" t="n">
        <v>0.1076000034809113</v>
      </c>
      <c r="M599" t="inlineStr">
        <is>
          <t>송태훈</t>
        </is>
      </c>
      <c r="N599" t="inlineStr">
        <is>
          <t>070-4241-6697</t>
        </is>
      </c>
      <c r="O599" t="inlineStr">
        <is>
          <t>070-8230-0753</t>
        </is>
      </c>
      <c r="P599" s="3">
        <f>HYPERLINK("http://www.geni-us.co.kr/", "http://www.geni-us.co.kr/")</f>
        <v/>
      </c>
      <c r="Q599" t="inlineStr">
        <is>
          <t>8328700811</t>
        </is>
      </c>
      <c r="R599" t="inlineStr">
        <is>
          <t>1101116515930</t>
        </is>
      </c>
      <c r="S599" t="inlineStr">
        <is>
          <t>대상아님</t>
        </is>
      </c>
      <c r="T599" t="inlineStr">
        <is>
          <t>일반법인</t>
        </is>
      </c>
      <c r="U599" t="inlineStr">
        <is>
          <t>중소기업</t>
        </is>
      </c>
      <c r="V599" t="inlineStr">
        <is>
          <t>외부감사대상</t>
        </is>
      </c>
      <c r="W599" s="6" t="inlineStr">
        <is>
          <t>2017-09-13</t>
        </is>
      </c>
      <c r="X599" t="inlineStr">
        <is>
          <t>KRI:10M7131000</t>
        </is>
      </c>
      <c r="Y599" t="inlineStr">
        <is>
          <t>광고 대행업</t>
        </is>
      </c>
      <c r="Z599" t="inlineStr">
        <is>
          <t>광고 대행,광고물 작성/의약품,의료기기,용품,화장품,미용제품 도소매,통신 판매/컴퓨터시스템 포털,인터넷정보매개,구축 관리,교육 지원</t>
        </is>
      </c>
      <c r="AA599" t="inlineStr">
        <is>
          <t>서울 서초구 서초동 1309-6번지 서호빌딩 12층 ,13층</t>
        </is>
      </c>
      <c r="AB599" t="inlineStr">
        <is>
          <t>서울 서초구 강남대로69길 10, 12층 ,13층 (서초동,서호빌딩)</t>
        </is>
      </c>
    </row>
    <row r="600" ht="19.2" customHeight="1" s="1">
      <c r="A600" t="inlineStr">
        <is>
          <t>NICE:E10695</t>
        </is>
      </c>
      <c r="B600" t="inlineStr">
        <is>
          <t>신지모루</t>
        </is>
      </c>
      <c r="C600" s="5" t="n">
        <v>61679946000</v>
      </c>
      <c r="D600" s="5" t="n">
        <v>8900086000</v>
      </c>
      <c r="E600" s="5" t="n">
        <v>52779860000</v>
      </c>
      <c r="F600" s="5" t="n">
        <v>100985289000</v>
      </c>
      <c r="G600" s="5" t="n">
        <v>16291509000</v>
      </c>
      <c r="H600" s="5" t="n">
        <v>82874234000</v>
      </c>
      <c r="I600" s="5" t="n">
        <v>14113979000</v>
      </c>
      <c r="J600" s="4" t="n">
        <v>6.895999431610107</v>
      </c>
      <c r="K600" s="4" t="n">
        <v>0.168600007891655</v>
      </c>
      <c r="L600" s="4" t="n">
        <v>0.1612999886274338</v>
      </c>
      <c r="M600" t="inlineStr">
        <is>
          <t>정찬호</t>
        </is>
      </c>
      <c r="N600" t="inlineStr">
        <is>
          <t>070-8233-5700</t>
        </is>
      </c>
      <c r="O600" t="inlineStr">
        <is>
          <t>02-6008-7301</t>
        </is>
      </c>
      <c r="P600" s="3">
        <f>HYPERLINK("http://www.sinjimall.com", "http://www.sinjimall.com")</f>
        <v/>
      </c>
      <c r="Q600" t="inlineStr">
        <is>
          <t>1138621396</t>
        </is>
      </c>
      <c r="R600" t="inlineStr">
        <is>
          <t>1101113887605</t>
        </is>
      </c>
      <c r="S600" t="inlineStr">
        <is>
          <t>대상아님</t>
        </is>
      </c>
      <c r="T600" t="inlineStr">
        <is>
          <t>일반법인</t>
        </is>
      </c>
      <c r="U600" t="inlineStr">
        <is>
          <t>중소기업</t>
        </is>
      </c>
      <c r="V600" t="inlineStr">
        <is>
          <t>외부감사대상</t>
        </is>
      </c>
      <c r="W600" s="6" t="inlineStr">
        <is>
          <t>2008-04-28</t>
        </is>
      </c>
      <c r="X600" t="inlineStr">
        <is>
          <t>KRI:10C2629500</t>
        </is>
      </c>
      <c r="Y600" t="inlineStr">
        <is>
          <t>전자감지장치 제조업</t>
        </is>
      </c>
      <c r="Z600" t="inlineStr">
        <is>
          <t>전기전자제품 제조</t>
        </is>
      </c>
      <c r="AA600" t="inlineStr">
        <is>
          <t>서울 마포구 상암동 1605번지 누리꿈스퀘어 19층</t>
        </is>
      </c>
      <c r="AB600" t="inlineStr">
        <is>
          <t>서울 마포구 월드컵북로 396, 19층 (상암동,누리꿈스퀘어)</t>
        </is>
      </c>
    </row>
    <row r="601" ht="19.2" customHeight="1" s="1">
      <c r="A601" t="inlineStr">
        <is>
          <t>NICE:L28100</t>
        </is>
      </c>
      <c r="B601" t="inlineStr">
        <is>
          <t>큐에스원</t>
        </is>
      </c>
      <c r="C601" s="5" t="n">
        <v>233225028000</v>
      </c>
      <c r="D601" s="5" t="n">
        <v>35537643000</v>
      </c>
      <c r="E601" s="5" t="n">
        <v>197687385000</v>
      </c>
      <c r="F601" s="5" t="n">
        <v>23883057000</v>
      </c>
      <c r="G601" s="5" t="n">
        <v>14316539000</v>
      </c>
      <c r="H601" s="5" t="n">
        <v>23086969000</v>
      </c>
      <c r="I601" s="5" t="n">
        <v>13801618000</v>
      </c>
      <c r="J601" s="4" t="n">
        <v>0.1507999897003174</v>
      </c>
      <c r="K601" s="4" t="n">
        <v>0.1797999888658524</v>
      </c>
      <c r="L601" s="4" t="n">
        <v>0.5993999838829041</v>
      </c>
      <c r="M601" t="inlineStr">
        <is>
          <t>오영달</t>
        </is>
      </c>
      <c r="N601" t="inlineStr">
        <is>
          <t>02-3469-6300</t>
        </is>
      </c>
      <c r="O601" t="inlineStr">
        <is>
          <t>02-3469-6309</t>
        </is>
      </c>
      <c r="P601" s="3">
        <f>HYPERLINK("http://www.qsone.co.kr", "http://www.qsone.co.kr")</f>
        <v/>
      </c>
      <c r="Q601" t="inlineStr">
        <is>
          <t>2208869692</t>
        </is>
      </c>
      <c r="R601" t="inlineStr">
        <is>
          <t>1101115284479</t>
        </is>
      </c>
      <c r="S601" t="inlineStr">
        <is>
          <t>대상아님</t>
        </is>
      </c>
      <c r="T601" t="inlineStr">
        <is>
          <t>일반법인</t>
        </is>
      </c>
      <c r="U601" t="inlineStr">
        <is>
          <t>대기업</t>
        </is>
      </c>
      <c r="V601" t="inlineStr">
        <is>
          <t>외부감사대상</t>
        </is>
      </c>
      <c r="W601" s="6" t="inlineStr">
        <is>
          <t>2013-12-05</t>
        </is>
      </c>
      <c r="X601" t="inlineStr">
        <is>
          <t>KRI:10L6811200</t>
        </is>
      </c>
      <c r="Y601" t="inlineStr">
        <is>
          <t>비주거용 건물 임대업</t>
        </is>
      </c>
      <c r="Z601" t="inlineStr">
        <is>
          <t>부동산 임대,관리</t>
        </is>
      </c>
      <c r="AA601" t="inlineStr">
        <is>
          <t>서울 강남구 역삼동 735-3번지</t>
        </is>
      </c>
      <c r="AB601" t="inlineStr">
        <is>
          <t>서울 강남구 테헤란로 134</t>
        </is>
      </c>
    </row>
    <row r="602" s="1">
      <c r="A602" t="inlineStr">
        <is>
          <t>NICE:F07556</t>
        </is>
      </c>
      <c r="B602" t="inlineStr">
        <is>
          <t>보임코퍼레이션</t>
        </is>
      </c>
      <c r="C602" s="5" t="n">
        <v>145406765000</v>
      </c>
      <c r="D602" s="5" t="n">
        <v>44818252000</v>
      </c>
      <c r="E602" s="5" t="n">
        <v>100588513000</v>
      </c>
      <c r="F602" s="5" t="n">
        <v>118609439000</v>
      </c>
      <c r="G602" s="5" t="n">
        <v>17091857000</v>
      </c>
      <c r="H602" s="5" t="n">
        <v>129873980000</v>
      </c>
      <c r="I602" s="5" t="n">
        <v>20060371000</v>
      </c>
      <c r="J602" s="4" t="n">
        <v>3.891700029373169</v>
      </c>
      <c r="K602" s="4" t="n">
        <v>0.4456000030040741</v>
      </c>
      <c r="L602" s="4" t="n">
        <v>0.1440999954938889</v>
      </c>
      <c r="M602" t="inlineStr">
        <is>
          <t>한문선</t>
        </is>
      </c>
      <c r="N602" t="inlineStr">
        <is>
          <t>061-686-6420</t>
        </is>
      </c>
      <c r="O602" t="inlineStr">
        <is>
          <t>061-686-6422</t>
        </is>
      </c>
      <c r="P602">
        <f>HYPERLINK("http://www.boimkorea.com", "http://www.boimkorea.com")</f>
        <v/>
      </c>
      <c r="Q602" t="inlineStr">
        <is>
          <t>4178133014</t>
        </is>
      </c>
      <c r="R602" t="inlineStr">
        <is>
          <t>2062110032438</t>
        </is>
      </c>
      <c r="S602" t="inlineStr">
        <is>
          <t>대상아님</t>
        </is>
      </c>
      <c r="T602" t="inlineStr">
        <is>
          <t>일반법인</t>
        </is>
      </c>
      <c r="U602" t="inlineStr">
        <is>
          <t>중견기업</t>
        </is>
      </c>
      <c r="V602" t="inlineStr">
        <is>
          <t>외부감사대상</t>
        </is>
      </c>
      <c r="W602" s="6" t="inlineStr">
        <is>
          <t>2006-07-05</t>
        </is>
      </c>
      <c r="X602" t="inlineStr">
        <is>
          <t>KRI:10H5292100</t>
        </is>
      </c>
      <c r="Y602" t="inlineStr">
        <is>
          <t>항구 및 기타 해상 터미널 운영업</t>
        </is>
      </c>
      <c r="Z602" t="inlineStr">
        <is>
          <t>항만시설운영/석유화학계 기초화학물질,계면활성제 제조</t>
        </is>
      </c>
      <c r="AA602" t="inlineStr">
        <is>
          <t>전남 여수시 낙포동 1370번지</t>
        </is>
      </c>
      <c r="AB602" t="inlineStr">
        <is>
          <t>전남 여수시 여수산단로 1469-120</t>
        </is>
      </c>
    </row>
    <row r="603" s="1">
      <c r="A603" t="inlineStr">
        <is>
          <t>NICE:002962</t>
        </is>
      </c>
      <c r="B603" t="inlineStr">
        <is>
          <t>아머스포츠코리아</t>
        </is>
      </c>
      <c r="C603" s="5" t="n">
        <v>112441217000</v>
      </c>
      <c r="D603" s="5" t="n">
        <v>44395892000</v>
      </c>
      <c r="E603" s="5" t="n">
        <v>68045325000</v>
      </c>
      <c r="F603" s="5" t="n">
        <v>221654493000</v>
      </c>
      <c r="G603" s="5" t="n">
        <v>46773358000</v>
      </c>
      <c r="H603" s="5" t="n">
        <v>112087709000</v>
      </c>
      <c r="I603" s="5" t="n">
        <v>20060184000</v>
      </c>
      <c r="J603" s="4" t="n">
        <v>2.171399831771851</v>
      </c>
      <c r="K603" s="4" t="n">
        <v>0.6523999571800232</v>
      </c>
      <c r="L603" s="4" t="n">
        <v>0.210999995470047</v>
      </c>
      <c r="M603" t="inlineStr">
        <is>
          <t>김훈도</t>
        </is>
      </c>
      <c r="N603" t="inlineStr">
        <is>
          <t>02-518-0781</t>
        </is>
      </c>
      <c r="O603" t="inlineStr">
        <is>
          <t>02-3445-0660</t>
        </is>
      </c>
      <c r="P603">
        <f>HYPERLINK("http://www.amersports.com", "http://www.amersports.com")</f>
        <v/>
      </c>
      <c r="Q603" t="inlineStr">
        <is>
          <t>1208157446</t>
        </is>
      </c>
      <c r="R603" t="inlineStr">
        <is>
          <t>1101111230012</t>
        </is>
      </c>
      <c r="S603" t="inlineStr">
        <is>
          <t>대상아님</t>
        </is>
      </c>
      <c r="T603" t="inlineStr">
        <is>
          <t>일반법인</t>
        </is>
      </c>
      <c r="U603" t="inlineStr">
        <is>
          <t>중소기업</t>
        </is>
      </c>
      <c r="V603" t="inlineStr">
        <is>
          <t>외부감사대상</t>
        </is>
      </c>
      <c r="W603" s="6" t="inlineStr">
        <is>
          <t>1988-04-01</t>
        </is>
      </c>
      <c r="X603" t="inlineStr">
        <is>
          <t>KRI:10G4646400</t>
        </is>
      </c>
      <c r="Y603" t="inlineStr">
        <is>
          <t>운동 및 경기용품 도매업</t>
        </is>
      </c>
      <c r="Z603" t="inlineStr">
        <is>
          <t>운동용품(라켓,골프용품,스키,스노우보드외) 도소매,수출입,통신 판매,오파/골프채 제조</t>
        </is>
      </c>
      <c r="AA603" t="inlineStr">
        <is>
          <t>서울 성동구 성수동1가 656-1731번지 10층</t>
        </is>
      </c>
      <c r="AB603" t="inlineStr">
        <is>
          <t>서울 성동구 아차산로 6, 10층</t>
        </is>
      </c>
    </row>
    <row r="604" ht="19.2" customHeight="1" s="1">
      <c r="A604" t="inlineStr">
        <is>
          <t>NICE:499426</t>
        </is>
      </c>
      <c r="B604" t="inlineStr">
        <is>
          <t>오토스윙</t>
        </is>
      </c>
      <c r="C604" s="5" t="n">
        <v>44288620000</v>
      </c>
      <c r="D604" s="5" t="n">
        <v>6430074000</v>
      </c>
      <c r="E604" s="5" t="n">
        <v>37858546000</v>
      </c>
      <c r="F604" s="5" t="n">
        <v>36585743000</v>
      </c>
      <c r="G604" s="5" t="n">
        <v>10330880000</v>
      </c>
      <c r="H604" s="5" t="n">
        <v>25554034000</v>
      </c>
      <c r="I604" s="5" t="n">
        <v>5170983000</v>
      </c>
      <c r="J604" s="4" t="n">
        <v>4.521999835968018</v>
      </c>
      <c r="K604" s="4" t="n">
        <v>0.1697999984025955</v>
      </c>
      <c r="L604" s="4" t="n">
        <v>0.282399982213974</v>
      </c>
      <c r="M604" t="inlineStr">
        <is>
          <t>허문영</t>
        </is>
      </c>
      <c r="N604" t="inlineStr">
        <is>
          <t>02-862-8000</t>
        </is>
      </c>
      <c r="O604" t="inlineStr">
        <is>
          <t>02-861-2133</t>
        </is>
      </c>
      <c r="P604" s="3">
        <f>HYPERLINK("http://www.otos.co.kr", "http://www.otos.co.kr")</f>
        <v/>
      </c>
      <c r="Q604" t="inlineStr">
        <is>
          <t>1198183658</t>
        </is>
      </c>
      <c r="R604" t="inlineStr">
        <is>
          <t>1101113306176</t>
        </is>
      </c>
      <c r="S604" t="inlineStr">
        <is>
          <t>대상아님</t>
        </is>
      </c>
      <c r="T604" t="inlineStr">
        <is>
          <t>일반법인</t>
        </is>
      </c>
      <c r="U604" t="inlineStr">
        <is>
          <t>중소기업</t>
        </is>
      </c>
      <c r="V604" t="inlineStr">
        <is>
          <t>외부감사대상</t>
        </is>
      </c>
      <c r="W604" s="6" t="inlineStr">
        <is>
          <t>2005-09-14</t>
        </is>
      </c>
      <c r="X604" t="inlineStr">
        <is>
          <t>KRI:10C2929900</t>
        </is>
      </c>
      <c r="Y604" t="inlineStr">
        <is>
          <t>그 외 기타 특수목적용 기계 제조업</t>
        </is>
      </c>
      <c r="Z604" t="inlineStr">
        <is>
          <t>자동전자용접면,산업용 냉장,냉동장비,공기조화장치,송풍기,배기장치 ,기체여과기,액체여과기 제조</t>
        </is>
      </c>
      <c r="AA604" t="inlineStr">
        <is>
          <t>서울 금천구 가산동 234-12번지</t>
        </is>
      </c>
      <c r="AB604" t="inlineStr">
        <is>
          <t>서울 금천구 두산로11길 49</t>
        </is>
      </c>
    </row>
    <row r="605" ht="19.2" customHeight="1" s="1">
      <c r="A605" t="inlineStr">
        <is>
          <t>NICE:IL6276</t>
        </is>
      </c>
      <c r="B605" t="inlineStr">
        <is>
          <t>솔라테크</t>
        </is>
      </c>
      <c r="C605" s="5" t="n">
        <v>56478462000</v>
      </c>
      <c r="D605" s="5" t="n">
        <v>29357743000</v>
      </c>
      <c r="E605" s="5" t="n">
        <v>27120719000</v>
      </c>
      <c r="F605" s="5" t="n">
        <v>51352548000</v>
      </c>
      <c r="G605" s="5" t="n">
        <v>5462647000</v>
      </c>
      <c r="H605" s="5" t="n">
        <v>90760268000</v>
      </c>
      <c r="I605" s="5" t="n">
        <v>7681218000</v>
      </c>
      <c r="J605" s="4" t="n">
        <v>1.503200054168701</v>
      </c>
      <c r="K605" s="4" t="n">
        <v>1.082499980926514</v>
      </c>
      <c r="L605" s="4" t="n">
        <v>0.1063999980688095</v>
      </c>
      <c r="M605" t="inlineStr">
        <is>
          <t>강일구/이석호</t>
        </is>
      </c>
      <c r="N605" t="inlineStr">
        <is>
          <t>031-358-4743</t>
        </is>
      </c>
      <c r="O605" t="inlineStr">
        <is>
          <t>031-354-0298</t>
        </is>
      </c>
      <c r="P605" s="3">
        <f>HYPERLINK("http://www.solarteq.co.kr", "http://www.solarteq.co.kr")</f>
        <v/>
      </c>
      <c r="Q605" t="inlineStr">
        <is>
          <t>7938700520</t>
        </is>
      </c>
      <c r="R605" t="inlineStr">
        <is>
          <t>1348110391772</t>
        </is>
      </c>
      <c r="S605" t="inlineStr">
        <is>
          <t>대상아님</t>
        </is>
      </c>
      <c r="T605" t="inlineStr">
        <is>
          <t>일반법인</t>
        </is>
      </c>
      <c r="U605" t="inlineStr">
        <is>
          <t>중소기업</t>
        </is>
      </c>
      <c r="V605" t="inlineStr">
        <is>
          <t>외부감사대상</t>
        </is>
      </c>
      <c r="W605" s="6" t="inlineStr">
        <is>
          <t>2016-12-15</t>
        </is>
      </c>
      <c r="X605" t="inlineStr">
        <is>
          <t>KRI:10C2511300</t>
        </is>
      </c>
      <c r="Y605" t="inlineStr">
        <is>
          <t>육상 금속 골조 구조재 제조업</t>
        </is>
      </c>
      <c r="Z605" t="inlineStr">
        <is>
          <t>태양광구조물,농자재,풍력,수력,태양광발전장치,케이블트레이 제조/신재생에너지태양광설비설치공사</t>
        </is>
      </c>
      <c r="AA605" t="inlineStr">
        <is>
          <t>경기 화성시 만세구 우정읍 주곡리 37-9번지</t>
        </is>
      </c>
      <c r="AB605" t="inlineStr">
        <is>
          <t>경기 화성시 만세구 우정읍 버들로 985-16</t>
        </is>
      </c>
    </row>
    <row r="606" s="1">
      <c r="A606" t="inlineStr">
        <is>
          <t>NICE:369388</t>
        </is>
      </c>
      <c r="B606" t="inlineStr">
        <is>
          <t>규람타워렌탈</t>
        </is>
      </c>
      <c r="C606" s="5" t="n">
        <v>54789907000</v>
      </c>
      <c r="D606" s="5" t="n">
        <v>33162075000</v>
      </c>
      <c r="E606" s="5" t="n">
        <v>21627833000</v>
      </c>
      <c r="F606" s="5" t="n">
        <v>49166679000</v>
      </c>
      <c r="G606" s="5" t="n">
        <v>5147899000</v>
      </c>
      <c r="H606" s="5" t="n">
        <v>56882729000</v>
      </c>
      <c r="I606" s="5" t="n">
        <v>3977755000</v>
      </c>
      <c r="J606" s="4" t="n">
        <v>1.339900016784668</v>
      </c>
      <c r="K606" s="4" t="n">
        <v>1.533300042152405</v>
      </c>
      <c r="L606" s="4" t="n">
        <v>0.1046999990940094</v>
      </c>
      <c r="M606" t="inlineStr">
        <is>
          <t>노성호/안승규</t>
        </is>
      </c>
      <c r="N606" t="inlineStr">
        <is>
          <t>031-479-5817</t>
        </is>
      </c>
      <c r="O606" t="inlineStr">
        <is>
          <t>031-479-5819</t>
        </is>
      </c>
      <c r="P606">
        <f>HYPERLINK("http://www.gyooramtower.co.kr", "http://www.gyooramtower.co.kr")</f>
        <v/>
      </c>
      <c r="Q606" t="inlineStr">
        <is>
          <t>1238195513</t>
        </is>
      </c>
      <c r="R606" t="inlineStr">
        <is>
          <t>1341110114764</t>
        </is>
      </c>
      <c r="S606" t="inlineStr">
        <is>
          <t>대상아님</t>
        </is>
      </c>
      <c r="T606" t="inlineStr">
        <is>
          <t>일반법인</t>
        </is>
      </c>
      <c r="U606" t="inlineStr">
        <is>
          <t>중소기업</t>
        </is>
      </c>
      <c r="V606" t="inlineStr">
        <is>
          <t>외부감사대상</t>
        </is>
      </c>
      <c r="W606" s="6" t="inlineStr">
        <is>
          <t>1996-12-01</t>
        </is>
      </c>
      <c r="X606" t="inlineStr">
        <is>
          <t>KRI:10N7631000</t>
        </is>
      </c>
      <c r="Y606" t="inlineStr">
        <is>
          <t>건설 및 토목공사용 기계ㆍ장비 임대업</t>
        </is>
      </c>
      <c r="Z606" t="inlineStr">
        <is>
          <t>타워크레인 임대,설치,해체/무선통신</t>
        </is>
      </c>
      <c r="AA606" t="inlineStr">
        <is>
          <t>경기 안양시 동안구 호계동 555-9번지 국제유통단지 업무지원 나동 311호,312호</t>
        </is>
      </c>
      <c r="AB606" t="inlineStr">
        <is>
          <t>경기 안양시 동안구 엘에스로 92, 업무지원 나동 311호,312호 (호계동,국제유통단지)</t>
        </is>
      </c>
    </row>
    <row r="607" ht="19.2" customHeight="1" s="1">
      <c r="A607" t="inlineStr">
        <is>
          <t>NICE:HT5977</t>
        </is>
      </c>
      <c r="B607" t="inlineStr">
        <is>
          <t>컴포트랩</t>
        </is>
      </c>
      <c r="C607" s="5" t="n">
        <v>32585845000</v>
      </c>
      <c r="D607" s="5" t="n">
        <v>5471594000</v>
      </c>
      <c r="E607" s="5" t="n">
        <v>27114251000</v>
      </c>
      <c r="F607" s="5" t="n">
        <v>34237961000</v>
      </c>
      <c r="G607" s="5" t="n">
        <v>7559638000</v>
      </c>
      <c r="H607" s="5" t="n">
        <v>22719771000</v>
      </c>
      <c r="I607" s="5" t="n">
        <v>4496329000</v>
      </c>
      <c r="J607" s="4" t="n">
        <v>8.728499412536621</v>
      </c>
      <c r="K607" s="4" t="n">
        <v>0.2018000036478043</v>
      </c>
      <c r="L607" s="4" t="n">
        <v>0.2207999974489212</v>
      </c>
      <c r="M607" t="inlineStr">
        <is>
          <t>최선미</t>
        </is>
      </c>
      <c r="N607" t="inlineStr">
        <is>
          <t>070-5217-2205</t>
        </is>
      </c>
      <c r="O607" t="inlineStr">
        <is>
          <t>02-6442-7345</t>
        </is>
      </c>
      <c r="P607" s="3">
        <f>HYPERLINK("http://www.comfortlab.co.kr", "http://www.comfortlab.co.kr")</f>
        <v/>
      </c>
      <c r="Q607" t="inlineStr">
        <is>
          <t>7448100453</t>
        </is>
      </c>
      <c r="R607" t="inlineStr">
        <is>
          <t>1101116159647</t>
        </is>
      </c>
      <c r="S607" t="inlineStr">
        <is>
          <t>대상아님</t>
        </is>
      </c>
      <c r="T607" t="inlineStr">
        <is>
          <t>일반법인</t>
        </is>
      </c>
      <c r="U607" t="inlineStr">
        <is>
          <t>중소기업</t>
        </is>
      </c>
      <c r="V607" t="inlineStr">
        <is>
          <t>외부감사대상</t>
        </is>
      </c>
      <c r="W607" s="6" t="inlineStr">
        <is>
          <t>2014-10-26</t>
        </is>
      </c>
      <c r="X607" t="inlineStr">
        <is>
          <t>KRI:10C1412000</t>
        </is>
      </c>
      <c r="Y607" t="inlineStr">
        <is>
          <t>속옷 및 잠옷 제조업</t>
        </is>
      </c>
      <c r="Z607" t="inlineStr">
        <is>
          <t>내의,잠옷 제조/셔츠,외의 도소매/부동산 임대</t>
        </is>
      </c>
      <c r="AA607" t="inlineStr">
        <is>
          <t>서울 강남구 신사동 592-7번지 씨엘빌딩 3층</t>
        </is>
      </c>
      <c r="AB607" t="inlineStr">
        <is>
          <t>서울 강남구 압구정로30길 78, 3층 (신사동,씨엘빌딩)</t>
        </is>
      </c>
    </row>
    <row r="608" s="1">
      <c r="A608" t="inlineStr">
        <is>
          <t>NICE:G49001</t>
        </is>
      </c>
      <c r="B608" t="inlineStr">
        <is>
          <t>예일세무법인</t>
        </is>
      </c>
      <c r="C608" s="5" t="n">
        <v>31583181000</v>
      </c>
      <c r="D608" s="5" t="n">
        <v>7708543000</v>
      </c>
      <c r="E608" s="5" t="n">
        <v>23874639000</v>
      </c>
      <c r="F608" s="5" t="n">
        <v>26244279000</v>
      </c>
      <c r="G608" s="5" t="n">
        <v>4432637000</v>
      </c>
      <c r="H608" s="5" t="n">
        <v>22635033000</v>
      </c>
      <c r="I608" s="5" t="n">
        <v>2960962000</v>
      </c>
      <c r="J608" s="4" t="n">
        <v>3.03600001335144</v>
      </c>
      <c r="K608" s="4" t="n">
        <v>0.3228999972343445</v>
      </c>
      <c r="L608" s="4" t="n">
        <v>0.1688999831676483</v>
      </c>
      <c r="M608" t="inlineStr">
        <is>
          <t>임승환/천영익/장권철</t>
        </is>
      </c>
      <c r="N608" t="inlineStr">
        <is>
          <t>02-2188-8100</t>
        </is>
      </c>
      <c r="O608" t="inlineStr">
        <is>
          <t>02-568-0030</t>
        </is>
      </c>
      <c r="P608">
        <f>HYPERLINK("http://www.yeiltax.co.kr", "http://www.yeiltax.co.kr")</f>
        <v/>
      </c>
      <c r="Q608" t="inlineStr">
        <is>
          <t>2148852798</t>
        </is>
      </c>
      <c r="R608" t="inlineStr">
        <is>
          <t>1102710017009</t>
        </is>
      </c>
      <c r="S608" t="inlineStr">
        <is>
          <t>대상아님</t>
        </is>
      </c>
      <c r="T608" t="inlineStr">
        <is>
          <t>일반법인</t>
        </is>
      </c>
      <c r="U608" t="inlineStr">
        <is>
          <t>중소기업</t>
        </is>
      </c>
      <c r="V608" t="inlineStr">
        <is>
          <t>외부감사비대상</t>
        </is>
      </c>
      <c r="W608" s="6" t="inlineStr">
        <is>
          <t>2010-01-04</t>
        </is>
      </c>
      <c r="X608" t="inlineStr">
        <is>
          <t>KRI:10M7120200</t>
        </is>
      </c>
      <c r="Y608" t="inlineStr">
        <is>
          <t>세무사업</t>
        </is>
      </c>
      <c r="Z608" t="inlineStr">
        <is>
          <t>세무법인</t>
        </is>
      </c>
      <c r="AA608" t="inlineStr">
        <is>
          <t>서울 강남구 역삼동 702-13번지 성지하이츠1차 3층</t>
        </is>
      </c>
      <c r="AB608" t="inlineStr">
        <is>
          <t>서울 강남구 테헤란로 313, 3층 (역삼동,성지하이츠1차)</t>
        </is>
      </c>
    </row>
    <row r="609" s="1">
      <c r="A609" t="inlineStr">
        <is>
          <t>NICE:224446</t>
        </is>
      </c>
      <c r="B609" t="inlineStr">
        <is>
          <t>세화골게이트팩</t>
        </is>
      </c>
      <c r="C609" s="5" t="n">
        <v>81818823000</v>
      </c>
      <c r="D609" s="5" t="n">
        <v>20615895000</v>
      </c>
      <c r="E609" s="5" t="n">
        <v>61202929000</v>
      </c>
      <c r="F609" s="5" t="n">
        <v>83991210000</v>
      </c>
      <c r="G609" s="5" t="n">
        <v>13497092000</v>
      </c>
      <c r="H609" s="5" t="n">
        <v>79786825000</v>
      </c>
      <c r="I609" s="5" t="n">
        <v>10733454000</v>
      </c>
      <c r="J609" s="4" t="n">
        <v>1.543900012969971</v>
      </c>
      <c r="K609" s="4" t="n">
        <v>0.3368000090122223</v>
      </c>
      <c r="L609" s="4" t="n">
        <v>0.1606999933719635</v>
      </c>
      <c r="M609" t="inlineStr">
        <is>
          <t>김영기</t>
        </is>
      </c>
      <c r="N609" t="inlineStr">
        <is>
          <t>051-831-0043</t>
        </is>
      </c>
      <c r="O609" t="inlineStr">
        <is>
          <t>051-831-0047</t>
        </is>
      </c>
      <c r="P609">
        <f>HYPERLINK("http://saehwapackaging.co.kr", "http://saehwapackaging.co.kr")</f>
        <v/>
      </c>
      <c r="Q609" t="inlineStr">
        <is>
          <t>6228125964</t>
        </is>
      </c>
      <c r="R609" t="inlineStr">
        <is>
          <t>1801110295980</t>
        </is>
      </c>
      <c r="S609" t="inlineStr">
        <is>
          <t>대상아님</t>
        </is>
      </c>
      <c r="T609" t="inlineStr">
        <is>
          <t>일반법인</t>
        </is>
      </c>
      <c r="U609" t="inlineStr">
        <is>
          <t>중소기업</t>
        </is>
      </c>
      <c r="V609" t="inlineStr">
        <is>
          <t>외부감사대상</t>
        </is>
      </c>
      <c r="W609" s="6" t="inlineStr">
        <is>
          <t>1999-08-05</t>
        </is>
      </c>
      <c r="X609" t="inlineStr">
        <is>
          <t>KRI:10C1721200</t>
        </is>
      </c>
      <c r="Y609" t="inlineStr">
        <is>
          <t>골판지 상자 및 가공제품 제조업</t>
        </is>
      </c>
      <c r="Z609" t="inlineStr">
        <is>
          <t>골판지(지함) 제조,도매,무역</t>
        </is>
      </c>
      <c r="AA609" t="inlineStr">
        <is>
          <t>부산 강서구 송정동 1737-15번지</t>
        </is>
      </c>
      <c r="AB609" t="inlineStr">
        <is>
          <t>부산 강서구 녹산산단362로 26</t>
        </is>
      </c>
    </row>
    <row r="610" s="1">
      <c r="A610" t="inlineStr">
        <is>
          <t>NICE:IC9508</t>
        </is>
      </c>
      <c r="B610" t="inlineStr">
        <is>
          <t>스타필드고양</t>
        </is>
      </c>
      <c r="C610" s="5" t="n">
        <v>708808333000</v>
      </c>
      <c r="D610" s="5" t="n">
        <v>94999819000</v>
      </c>
      <c r="E610" s="5" t="n">
        <v>613808514000</v>
      </c>
      <c r="F610" s="5" t="n">
        <v>60904408000</v>
      </c>
      <c r="G610" s="5" t="n">
        <v>29376531000</v>
      </c>
      <c r="H610" s="5" t="n">
        <v>58688385000</v>
      </c>
      <c r="I610" s="5" t="n">
        <v>26942787000</v>
      </c>
      <c r="J610" s="4" t="n">
        <v>1.234300017356873</v>
      </c>
      <c r="K610" s="4" t="n">
        <v>0.1547999978065491</v>
      </c>
      <c r="L610" s="4" t="n">
        <v>0.4822999835014343</v>
      </c>
      <c r="M610" t="inlineStr">
        <is>
          <t>신동우</t>
        </is>
      </c>
      <c r="N610" t="inlineStr">
        <is>
          <t>02-6921-1645</t>
        </is>
      </c>
      <c r="O610" t="inlineStr">
        <is>
          <t>02-6921-1698</t>
        </is>
      </c>
      <c r="P610">
        <f>HYPERLINK("https://www.starfield.co.kr/goyang/main.do", "https://www.starfield.co.kr/goyang/main.do")</f>
        <v/>
      </c>
      <c r="Q610" t="inlineStr">
        <is>
          <t>5578600548</t>
        </is>
      </c>
      <c r="R610" t="inlineStr">
        <is>
          <t>2850110340913</t>
        </is>
      </c>
      <c r="S610" t="inlineStr">
        <is>
          <t>대상아님</t>
        </is>
      </c>
      <c r="T610" t="inlineStr">
        <is>
          <t>일반법인</t>
        </is>
      </c>
      <c r="U610" t="inlineStr">
        <is>
          <t>대기업</t>
        </is>
      </c>
      <c r="V610" t="inlineStr">
        <is>
          <t>외부감사대상</t>
        </is>
      </c>
      <c r="W610" s="6" t="inlineStr">
        <is>
          <t>2016-12-01</t>
        </is>
      </c>
      <c r="X610" t="inlineStr">
        <is>
          <t>KRI:10L6811200</t>
        </is>
      </c>
      <c r="Y610" t="inlineStr">
        <is>
          <t>비주거용 건물 임대업</t>
        </is>
      </c>
      <c r="Z610" t="inlineStr">
        <is>
          <t>부동산 임대,투자</t>
        </is>
      </c>
      <c r="AA610" t="inlineStr">
        <is>
          <t>경기 고양시 덕양구 동산동 370번지</t>
        </is>
      </c>
      <c r="AB610" t="inlineStr">
        <is>
          <t>경기 고양시 덕양구 고양대로 1955</t>
        </is>
      </c>
    </row>
    <row r="611" s="1">
      <c r="A611" t="inlineStr">
        <is>
          <t>NICE:410505</t>
        </is>
      </c>
      <c r="B611" t="inlineStr">
        <is>
          <t>단암홀딩스</t>
        </is>
      </c>
      <c r="C611" s="5" t="n">
        <v>481919773000</v>
      </c>
      <c r="D611" s="5" t="n">
        <v>318753454000</v>
      </c>
      <c r="E611" s="5" t="n">
        <v>163166319000</v>
      </c>
      <c r="F611" s="5" t="n">
        <v>267060093000</v>
      </c>
      <c r="G611" s="5" t="n">
        <v>38734542000</v>
      </c>
      <c r="H611" s="5" t="n">
        <v>227385020000</v>
      </c>
      <c r="I611" s="5" t="n">
        <v>28793002000</v>
      </c>
      <c r="J611" s="4" t="n">
        <v>1.752599954605103</v>
      </c>
      <c r="K611" s="4" t="n">
        <v>1.953500032424927</v>
      </c>
      <c r="L611" s="4" t="n">
        <v>0.1449999958276749</v>
      </c>
      <c r="M611" t="inlineStr">
        <is>
          <t>이성혁</t>
        </is>
      </c>
      <c r="N611" t="inlineStr">
        <is>
          <t>02-543-8211</t>
        </is>
      </c>
      <c r="Q611" t="inlineStr">
        <is>
          <t>1018167619</t>
        </is>
      </c>
      <c r="R611" t="inlineStr">
        <is>
          <t>1101112170118</t>
        </is>
      </c>
      <c r="S611" t="inlineStr">
        <is>
          <t>대상아님</t>
        </is>
      </c>
      <c r="T611" t="inlineStr">
        <is>
          <t>일반법인</t>
        </is>
      </c>
      <c r="U611" t="inlineStr">
        <is>
          <t>중소기업</t>
        </is>
      </c>
      <c r="V611" t="inlineStr">
        <is>
          <t>외부감사대상</t>
        </is>
      </c>
      <c r="W611" s="6" t="inlineStr">
        <is>
          <t>2001-02-13</t>
        </is>
      </c>
      <c r="X611" t="inlineStr">
        <is>
          <t>KRI:10J6399100</t>
        </is>
      </c>
      <c r="Y611" t="inlineStr">
        <is>
          <t>데이터베이스 및 온라인정보 제공업</t>
        </is>
      </c>
      <c r="Z611" t="inlineStr">
        <is>
          <t>데이터베이스 구축,인터넷사이트 관리,운영</t>
        </is>
      </c>
      <c r="AA611" t="inlineStr">
        <is>
          <t>서울 강남구 청담동 85-17번지 6층</t>
        </is>
      </c>
      <c r="AB611" t="inlineStr">
        <is>
          <t>서울 강남구 선릉로 816, 6층</t>
        </is>
      </c>
    </row>
    <row r="612" ht="19.2" customHeight="1" s="1">
      <c r="A612" t="inlineStr">
        <is>
          <t>NICE:I66837</t>
        </is>
      </c>
      <c r="B612" t="inlineStr">
        <is>
          <t>성일에스아이엠</t>
        </is>
      </c>
      <c r="C612" s="5" t="n">
        <v>166708357000</v>
      </c>
      <c r="D612" s="5" t="n">
        <v>86798051000</v>
      </c>
      <c r="E612" s="5" t="n">
        <v>79910306000</v>
      </c>
      <c r="F612" s="5" t="n">
        <v>78783322000</v>
      </c>
      <c r="G612" s="5" t="n">
        <v>18298905000</v>
      </c>
      <c r="H612" s="5" t="n">
        <v>83109788000</v>
      </c>
      <c r="I612" s="5" t="n">
        <v>5644294000</v>
      </c>
      <c r="J612" s="4" t="n">
        <v>1.234699964523315</v>
      </c>
      <c r="K612" s="4" t="n">
        <v>1.086199998855591</v>
      </c>
      <c r="L612" s="4" t="n">
        <v>0.2322999835014343</v>
      </c>
      <c r="M612" t="inlineStr">
        <is>
          <t>우창수</t>
        </is>
      </c>
      <c r="N612" t="inlineStr">
        <is>
          <t>051-831-8800</t>
        </is>
      </c>
      <c r="O612" t="inlineStr">
        <is>
          <t>051-831-5959</t>
        </is>
      </c>
      <c r="P612" s="3">
        <f>HYPERLINK("http://www.sungilsim.com", "http://www.sungilsim.com")</f>
        <v/>
      </c>
      <c r="Q612" t="inlineStr">
        <is>
          <t>6068638439</t>
        </is>
      </c>
      <c r="R612" t="inlineStr">
        <is>
          <t>1801110815902</t>
        </is>
      </c>
      <c r="S612" t="inlineStr">
        <is>
          <t>대상아님</t>
        </is>
      </c>
      <c r="T612" t="inlineStr">
        <is>
          <t>일반법인</t>
        </is>
      </c>
      <c r="U612" t="inlineStr">
        <is>
          <t>중소기업</t>
        </is>
      </c>
      <c r="V612" t="inlineStr">
        <is>
          <t>외부감사대상</t>
        </is>
      </c>
      <c r="W612" s="6" t="inlineStr">
        <is>
          <t>2012-07-03</t>
        </is>
      </c>
      <c r="X612" t="inlineStr">
        <is>
          <t>KRI:10C2413300</t>
        </is>
      </c>
      <c r="Y612" t="inlineStr">
        <is>
          <t>강관 가공품 및 관 연결구류 제조업</t>
        </is>
      </c>
      <c r="Z612" t="inlineStr">
        <is>
          <t>철강관연결구류,고주파밴브,배관,자동차부품 제조/금속제품 도소매/창고</t>
        </is>
      </c>
      <c r="AA612" t="inlineStr">
        <is>
          <t>부산 사상구 모라동 1375번지 부산벤처타워 1701호</t>
        </is>
      </c>
      <c r="AB612" t="inlineStr">
        <is>
          <t>부산 사상구 모라로 22, 1701호 (모라동,부산벤처타워)</t>
        </is>
      </c>
    </row>
    <row r="613" ht="19.2" customHeight="1" s="1">
      <c r="A613" t="inlineStr">
        <is>
          <t>NICE:014001</t>
        </is>
      </c>
      <c r="B613" t="inlineStr">
        <is>
          <t>사카타코리아</t>
        </is>
      </c>
      <c r="C613" s="5" t="n">
        <v>60291834000</v>
      </c>
      <c r="D613" s="5" t="n">
        <v>5531877000</v>
      </c>
      <c r="E613" s="5" t="n">
        <v>54759957000</v>
      </c>
      <c r="F613" s="5" t="n">
        <v>29899211000</v>
      </c>
      <c r="G613" s="5" t="n">
        <v>6777581000</v>
      </c>
      <c r="H613" s="5" t="n">
        <v>30624454000</v>
      </c>
      <c r="I613" s="5" t="n">
        <v>8347340000</v>
      </c>
      <c r="J613" s="4" t="n">
        <v>9.606199264526367</v>
      </c>
      <c r="K613" s="4" t="n">
        <v>0.101000003516674</v>
      </c>
      <c r="L613" s="4" t="n">
        <v>0.2266999930143356</v>
      </c>
      <c r="M613" t="inlineStr">
        <is>
          <t>권정현</t>
        </is>
      </c>
      <c r="N613" t="inlineStr">
        <is>
          <t>02-3474-6671-4</t>
        </is>
      </c>
      <c r="O613" t="inlineStr">
        <is>
          <t>02-3474-6675</t>
        </is>
      </c>
      <c r="P613" s="3">
        <f>HYPERLINK("http://www.sakatakorea.co.kr", "http://www.sakatakorea.co.kr")</f>
        <v/>
      </c>
      <c r="Q613" t="inlineStr">
        <is>
          <t>2148609564</t>
        </is>
      </c>
      <c r="R613" t="inlineStr">
        <is>
          <t>1101110310097</t>
        </is>
      </c>
      <c r="S613" t="inlineStr">
        <is>
          <t>대상아님</t>
        </is>
      </c>
      <c r="T613" t="inlineStr">
        <is>
          <t>일반법인</t>
        </is>
      </c>
      <c r="U613" t="inlineStr">
        <is>
          <t>중견기업</t>
        </is>
      </c>
      <c r="V613" t="inlineStr">
        <is>
          <t>외부감사대상</t>
        </is>
      </c>
      <c r="W613" s="6" t="inlineStr">
        <is>
          <t>1982-01-11</t>
        </is>
      </c>
      <c r="X613" t="inlineStr">
        <is>
          <t>KRI:10A0112300</t>
        </is>
      </c>
      <c r="Y613" t="inlineStr">
        <is>
          <t>종자 및 묘목 생산업</t>
        </is>
      </c>
      <c r="Z613" t="inlineStr">
        <is>
          <t>종묘(채소종자,화훼종자,모종) 생산,도소매/농약자재,농산물 무역</t>
        </is>
      </c>
      <c r="AA613" t="inlineStr">
        <is>
          <t>서울 서초구 서초동 1358-6번지 송남빌딩</t>
        </is>
      </c>
      <c r="AB613" t="inlineStr">
        <is>
          <t>서울 서초구 강남대로 273 (서초동,송남빌딩)</t>
        </is>
      </c>
    </row>
    <row r="614" s="1">
      <c r="A614" t="inlineStr">
        <is>
          <t>NICE:C86503</t>
        </is>
      </c>
      <c r="B614" t="inlineStr">
        <is>
          <t>석도국제훼리</t>
        </is>
      </c>
      <c r="C614" s="5" t="n">
        <v>118377542000</v>
      </c>
      <c r="D614" s="5" t="n">
        <v>17255301000</v>
      </c>
      <c r="E614" s="5" t="n">
        <v>101122241000</v>
      </c>
      <c r="F614" s="5" t="n">
        <v>75753031000</v>
      </c>
      <c r="G614" s="5" t="n">
        <v>25899210000</v>
      </c>
      <c r="H614" s="5" t="n">
        <v>67684736000</v>
      </c>
      <c r="I614" s="5" t="n">
        <v>24011533000</v>
      </c>
      <c r="J614" s="4" t="n">
        <v>2.642499923706055</v>
      </c>
      <c r="K614" s="4" t="n">
        <v>0.1705999970436096</v>
      </c>
      <c r="L614" s="4" t="n">
        <v>0.3418999910354614</v>
      </c>
      <c r="M614" t="inlineStr">
        <is>
          <t>김상겸</t>
        </is>
      </c>
      <c r="N614" t="inlineStr">
        <is>
          <t>063-441-1231</t>
        </is>
      </c>
      <c r="O614" t="inlineStr">
        <is>
          <t>063-441-1230</t>
        </is>
      </c>
      <c r="P614">
        <f>HYPERLINK("http://www.shidaoferry.com", "http://www.shidaoferry.com")</f>
        <v/>
      </c>
      <c r="Q614" t="inlineStr">
        <is>
          <t>4018133120</t>
        </is>
      </c>
      <c r="R614" t="inlineStr">
        <is>
          <t>2111110023771</t>
        </is>
      </c>
      <c r="S614" t="inlineStr">
        <is>
          <t>대상아님</t>
        </is>
      </c>
      <c r="T614" t="inlineStr">
        <is>
          <t>일반법인</t>
        </is>
      </c>
      <c r="U614" t="inlineStr">
        <is>
          <t>중소기업</t>
        </is>
      </c>
      <c r="V614" t="inlineStr">
        <is>
          <t>외부감사대상</t>
        </is>
      </c>
      <c r="W614" s="6" t="inlineStr">
        <is>
          <t>2008-01-31</t>
        </is>
      </c>
      <c r="X614" t="inlineStr">
        <is>
          <t>KRI:10H5011100</t>
        </is>
      </c>
      <c r="Y614" t="inlineStr">
        <is>
          <t>외항 여객 운송업</t>
        </is>
      </c>
      <c r="Z614" t="inlineStr">
        <is>
          <t>해상여객운송,국제해운운송,선박대리점</t>
        </is>
      </c>
      <c r="AA614" t="inlineStr">
        <is>
          <t>전북 군산시 소룡동 1668번지 군산항국제여객터미널 내 석도국제훼리주식회사</t>
        </is>
      </c>
      <c r="AB614" t="inlineStr">
        <is>
          <t>전북 군산시 임해로 378-14 (소룡동,군산항국제여객터미널 내 석도국제훼리주식회사)</t>
        </is>
      </c>
    </row>
    <row r="615" s="1">
      <c r="A615" t="inlineStr">
        <is>
          <t>NICE:L00776</t>
        </is>
      </c>
      <c r="B615" t="inlineStr">
        <is>
          <t>유모멘트</t>
        </is>
      </c>
      <c r="C615" s="5" t="n">
        <v>100744213000</v>
      </c>
      <c r="D615" s="5" t="n">
        <v>96153964000</v>
      </c>
      <c r="E615" s="5" t="n">
        <v>4590250000</v>
      </c>
      <c r="F615" s="5" t="n">
        <v>109513380000</v>
      </c>
      <c r="G615" s="5" t="n">
        <v>15615757000</v>
      </c>
      <c r="H615" s="5" t="n">
        <v>93773248000</v>
      </c>
      <c r="I615" s="5" t="n">
        <v>12134673000</v>
      </c>
      <c r="J615" s="4" t="n">
        <v>0.5328999757766724</v>
      </c>
      <c r="K615" s="4" t="n">
        <v>20.9473991394043</v>
      </c>
      <c r="L615" s="4" t="n">
        <v>0.1425999999046326</v>
      </c>
      <c r="M615" t="inlineStr">
        <is>
          <t>김수연</t>
        </is>
      </c>
      <c r="N615" t="inlineStr">
        <is>
          <t>02-597-2895</t>
        </is>
      </c>
      <c r="O615" t="inlineStr">
        <is>
          <t>02-522-2895</t>
        </is>
      </c>
      <c r="P615">
        <f>HYPERLINK("https://www.apelgamo.com/home/index", "https://www.apelgamo.com/home/index")</f>
        <v/>
      </c>
      <c r="Q615" t="inlineStr">
        <is>
          <t>1068702253</t>
        </is>
      </c>
      <c r="R615" t="inlineStr">
        <is>
          <t>1101117236634</t>
        </is>
      </c>
      <c r="S615" t="inlineStr">
        <is>
          <t>대상아님</t>
        </is>
      </c>
      <c r="T615" t="inlineStr">
        <is>
          <t>일반법인</t>
        </is>
      </c>
      <c r="U615" t="inlineStr">
        <is>
          <t>중소기업</t>
        </is>
      </c>
      <c r="V615" t="inlineStr">
        <is>
          <t>외부감사대상</t>
        </is>
      </c>
      <c r="W615" s="6" t="inlineStr">
        <is>
          <t>2013-10-11</t>
        </is>
      </c>
      <c r="X615" t="inlineStr">
        <is>
          <t>KRI:10S9699100</t>
        </is>
      </c>
      <c r="Y615" t="inlineStr">
        <is>
          <t>예식장업</t>
        </is>
      </c>
      <c r="Z615" t="inlineStr">
        <is>
          <t>예식장/일반음식점</t>
        </is>
      </c>
      <c r="AA615" t="inlineStr">
        <is>
          <t>서울 강남구 청담동 85-17번지 3층, 4층, 5층</t>
        </is>
      </c>
      <c r="AB615" t="inlineStr">
        <is>
          <t>서울 강남구 선릉로 816, 3층, 4층, 5층</t>
        </is>
      </c>
    </row>
    <row r="616" ht="19.2" customHeight="1" s="1">
      <c r="A616" t="inlineStr">
        <is>
          <t>NICE:195522</t>
        </is>
      </c>
      <c r="B616" t="inlineStr">
        <is>
          <t>동림공업</t>
        </is>
      </c>
      <c r="C616" s="5" t="n">
        <v>98773957000</v>
      </c>
      <c r="D616" s="5" t="n">
        <v>43722888000</v>
      </c>
      <c r="E616" s="5" t="n">
        <v>55051068000</v>
      </c>
      <c r="F616" s="5" t="n">
        <v>31252007000</v>
      </c>
      <c r="G616" s="5" t="n">
        <v>6888279000</v>
      </c>
      <c r="H616" s="5" t="n">
        <v>44545090000</v>
      </c>
      <c r="I616" s="5" t="n">
        <v>14038906000</v>
      </c>
      <c r="J616" s="4" t="n">
        <v>0.2055999934673309</v>
      </c>
      <c r="K616" s="4" t="n">
        <v>0.7941999435424805</v>
      </c>
      <c r="L616" s="4" t="n">
        <v>0.2204000055789948</v>
      </c>
      <c r="M616" t="inlineStr">
        <is>
          <t>이수우/황갑기</t>
        </is>
      </c>
      <c r="N616" t="inlineStr">
        <is>
          <t>055-263-4200</t>
        </is>
      </c>
      <c r="O616" t="inlineStr">
        <is>
          <t>055-263-8199</t>
        </is>
      </c>
      <c r="P616" s="3">
        <f>HYPERLINK("http://www.dlim.co.kr", "http://www.dlim.co.kr")</f>
        <v/>
      </c>
      <c r="Q616" t="inlineStr">
        <is>
          <t>6128114121</t>
        </is>
      </c>
      <c r="R616" t="inlineStr">
        <is>
          <t>1949110008620</t>
        </is>
      </c>
      <c r="S616" t="inlineStr">
        <is>
          <t>대상아님</t>
        </is>
      </c>
      <c r="T616" t="inlineStr">
        <is>
          <t>일반법인</t>
        </is>
      </c>
      <c r="U616" t="inlineStr">
        <is>
          <t>중소기업</t>
        </is>
      </c>
      <c r="V616" t="inlineStr">
        <is>
          <t>외부감사대상</t>
        </is>
      </c>
      <c r="W616" s="6" t="inlineStr">
        <is>
          <t>2001-08-17</t>
        </is>
      </c>
      <c r="X616" t="inlineStr">
        <is>
          <t>KRI:10C3111400</t>
        </is>
      </c>
      <c r="Y616" t="inlineStr">
        <is>
          <t>선박 구성 부분품 제조업</t>
        </is>
      </c>
      <c r="Z616" t="inlineStr">
        <is>
          <t>조선기자재 플랜트,금속도금 제조/금속,비금속원료 재생/부동산 임대,매매/고철 도소매</t>
        </is>
      </c>
      <c r="AA616" t="inlineStr">
        <is>
          <t>경남 창원시 성산구 신촌동 66-14번지</t>
        </is>
      </c>
      <c r="AB616" t="inlineStr">
        <is>
          <t>경남 창원시 성산구 적현로 144</t>
        </is>
      </c>
    </row>
    <row r="617" ht="19.2" customHeight="1" s="1">
      <c r="A617" t="inlineStr">
        <is>
          <t>NICE:JQ4622</t>
        </is>
      </c>
      <c r="B617" t="inlineStr">
        <is>
          <t>부스터스</t>
        </is>
      </c>
      <c r="C617" s="5" t="n">
        <v>81492179000</v>
      </c>
      <c r="D617" s="5" t="n">
        <v>38161403000</v>
      </c>
      <c r="E617" s="5" t="n">
        <v>43330776000</v>
      </c>
      <c r="F617" s="5" t="n">
        <v>152675095000</v>
      </c>
      <c r="G617" s="5" t="n">
        <v>25537159000</v>
      </c>
      <c r="H617" s="5" t="n">
        <v>72830521000</v>
      </c>
      <c r="I617" s="5" t="n">
        <v>9124647000</v>
      </c>
      <c r="J617" s="4" t="n">
        <v>2.040799856185913</v>
      </c>
      <c r="K617" s="4" t="n">
        <v>0.8806999921798706</v>
      </c>
      <c r="L617" s="4" t="n">
        <v>0.1672999858856201</v>
      </c>
      <c r="M617" t="inlineStr">
        <is>
          <t>최윤호</t>
        </is>
      </c>
      <c r="N617" t="inlineStr">
        <is>
          <t>02-2038-7542</t>
        </is>
      </c>
      <c r="P617" s="3">
        <f>HYPERLINK("http://www.boosters.kr", "http://www.boosters.kr")</f>
        <v/>
      </c>
      <c r="Q617" t="inlineStr">
        <is>
          <t>1828801269</t>
        </is>
      </c>
      <c r="R617" t="inlineStr">
        <is>
          <t>1101117147336</t>
        </is>
      </c>
      <c r="S617" t="inlineStr">
        <is>
          <t>대상아님</t>
        </is>
      </c>
      <c r="T617" t="inlineStr">
        <is>
          <t>일반법인</t>
        </is>
      </c>
      <c r="U617" t="inlineStr">
        <is>
          <t>중소기업</t>
        </is>
      </c>
      <c r="V617" t="inlineStr">
        <is>
          <t>외부감사대상</t>
        </is>
      </c>
      <c r="W617" s="6" t="inlineStr">
        <is>
          <t>2019-06-21</t>
        </is>
      </c>
      <c r="X617" t="inlineStr">
        <is>
          <t>KRI:10G4791200</t>
        </is>
      </c>
      <c r="Y617" t="inlineStr">
        <is>
          <t>전자상거래 소매업</t>
        </is>
      </c>
      <c r="Z617" t="inlineStr">
        <is>
          <t>전자상거래/매니지먼트/편백제품,방향제 제조/광고 대행</t>
        </is>
      </c>
      <c r="AA617" t="inlineStr">
        <is>
          <t>서울 강남구 역삼동 679번지 7층</t>
        </is>
      </c>
      <c r="AB617" t="inlineStr">
        <is>
          <t>서울 강남구 논현로 508, 7층</t>
        </is>
      </c>
    </row>
    <row r="618" ht="19.2" customHeight="1" s="1">
      <c r="A618" t="inlineStr">
        <is>
          <t>NICE:181553</t>
        </is>
      </c>
      <c r="B618" t="inlineStr">
        <is>
          <t>베스텍</t>
        </is>
      </c>
      <c r="C618" s="5" t="n">
        <v>64863223000</v>
      </c>
      <c r="D618" s="5" t="n">
        <v>19317102000</v>
      </c>
      <c r="E618" s="5" t="n">
        <v>45546121000</v>
      </c>
      <c r="F618" s="5" t="n">
        <v>67889393000</v>
      </c>
      <c r="G618" s="5" t="n">
        <v>6863702000</v>
      </c>
      <c r="H618" s="5" t="n">
        <v>99349673000</v>
      </c>
      <c r="I618" s="5" t="n">
        <v>4374417000</v>
      </c>
      <c r="J618" s="4" t="n">
        <v>2.039399862289429</v>
      </c>
      <c r="K618" s="4" t="n">
        <v>0.4240999817848206</v>
      </c>
      <c r="L618" s="4" t="n">
        <v>0.1010999977588654</v>
      </c>
      <c r="M618" t="inlineStr">
        <is>
          <t>이복선</t>
        </is>
      </c>
      <c r="N618" t="inlineStr">
        <is>
          <t>031-8003-0206-8</t>
        </is>
      </c>
      <c r="O618" t="inlineStr">
        <is>
          <t>031-8003-0209</t>
        </is>
      </c>
      <c r="P618" s="3">
        <f>HYPERLINK("http://www.bestec.co.kr", "http://www.bestec.co.kr")</f>
        <v/>
      </c>
      <c r="Q618" t="inlineStr">
        <is>
          <t>1248182817</t>
        </is>
      </c>
      <c r="R618" t="inlineStr">
        <is>
          <t>1348110058520</t>
        </is>
      </c>
      <c r="S618" t="inlineStr">
        <is>
          <t>대상아님</t>
        </is>
      </c>
      <c r="T618" t="inlineStr">
        <is>
          <t>일반법인</t>
        </is>
      </c>
      <c r="U618" t="inlineStr">
        <is>
          <t>중소기업</t>
        </is>
      </c>
      <c r="V618" t="inlineStr">
        <is>
          <t>외부감사대상</t>
        </is>
      </c>
      <c r="W618" s="6" t="inlineStr">
        <is>
          <t>2001-03-27</t>
        </is>
      </c>
      <c r="X618" t="inlineStr">
        <is>
          <t>KRI:10C2929900</t>
        </is>
      </c>
      <c r="Y618" t="inlineStr">
        <is>
          <t>그 외 기타 특수목적용 기계 제조업</t>
        </is>
      </c>
      <c r="Z618" t="inlineStr">
        <is>
          <t>자동화기계(2차전지설비기계,PDP설비기계),정밀가공부품 제조</t>
        </is>
      </c>
      <c r="AA618" t="inlineStr">
        <is>
          <t>경기 화성시 동탄구 방교동 783-2번지</t>
        </is>
      </c>
      <c r="AB618" t="inlineStr">
        <is>
          <t>경기 화성시 동탄구 동탄산단10길 53-9</t>
        </is>
      </c>
    </row>
    <row r="619" ht="19.2" customHeight="1" s="1">
      <c r="A619" t="inlineStr">
        <is>
          <t>NICE:JD1343</t>
        </is>
      </c>
      <c r="B619" t="inlineStr">
        <is>
          <t>코니바이에린</t>
        </is>
      </c>
      <c r="C619" s="5" t="n">
        <v>63764131000</v>
      </c>
      <c r="D619" s="5" t="n">
        <v>11459503000</v>
      </c>
      <c r="E619" s="5" t="n">
        <v>52304628000</v>
      </c>
      <c r="F619" s="5" t="n">
        <v>82322800000</v>
      </c>
      <c r="G619" s="5" t="n">
        <v>20604650000</v>
      </c>
      <c r="H619" s="5" t="n">
        <v>50189081000</v>
      </c>
      <c r="I619" s="5" t="n">
        <v>7962175000</v>
      </c>
      <c r="J619" s="4" t="n">
        <v>4.171099662780762</v>
      </c>
      <c r="K619" s="4" t="n">
        <v>0.2190999984741211</v>
      </c>
      <c r="L619" s="4" t="n">
        <v>0.2502999901771545</v>
      </c>
      <c r="M619" t="inlineStr">
        <is>
          <t>임이랑</t>
        </is>
      </c>
      <c r="N619" t="inlineStr">
        <is>
          <t>070-8615-5900</t>
        </is>
      </c>
      <c r="P619" s="3">
        <f>HYPERLINK("http://www.konny.co.kr", "http://www.konny.co.kr")</f>
        <v/>
      </c>
      <c r="Q619" t="inlineStr">
        <is>
          <t>5738701100</t>
        </is>
      </c>
      <c r="R619" t="inlineStr">
        <is>
          <t>1101116767416</t>
        </is>
      </c>
      <c r="S619" t="inlineStr">
        <is>
          <t>대상아님</t>
        </is>
      </c>
      <c r="T619" t="inlineStr">
        <is>
          <t>일반법인</t>
        </is>
      </c>
      <c r="U619" t="inlineStr">
        <is>
          <t>중소기업</t>
        </is>
      </c>
      <c r="V619" t="inlineStr">
        <is>
          <t>외부감사대상</t>
        </is>
      </c>
      <c r="W619" s="6" t="inlineStr">
        <is>
          <t>2018-06-01</t>
        </is>
      </c>
      <c r="X619" t="inlineStr">
        <is>
          <t>KRI:10C1399900</t>
        </is>
      </c>
      <c r="Y619" t="inlineStr">
        <is>
          <t>그 외 기타 분류 안된 섬유제품 제조업</t>
        </is>
      </c>
      <c r="Z619" t="inlineStr">
        <is>
          <t>편조제품 제조,전자상거래</t>
        </is>
      </c>
      <c r="AA619" t="inlineStr">
        <is>
          <t>서울 성동구 옥수동 463-1번지 한남포도빌 301호</t>
        </is>
      </c>
      <c r="AB619" t="inlineStr">
        <is>
          <t>서울 성동구 독서당로39길 38, 301호 (옥수동,한남포도빌)</t>
        </is>
      </c>
    </row>
    <row r="620" ht="19.2" customHeight="1" s="1">
      <c r="A620" t="inlineStr">
        <is>
          <t>NICE:112260</t>
        </is>
      </c>
      <c r="B620" t="inlineStr">
        <is>
          <t>센텍코리아</t>
        </is>
      </c>
      <c r="C620" s="5" t="n">
        <v>61222019000</v>
      </c>
      <c r="D620" s="5" t="n">
        <v>4978380000</v>
      </c>
      <c r="E620" s="5" t="n">
        <v>56243639000</v>
      </c>
      <c r="F620" s="5" t="n">
        <v>27485011000</v>
      </c>
      <c r="G620" s="5" t="n">
        <v>5048320000</v>
      </c>
      <c r="H620" s="5" t="n">
        <v>25006222000</v>
      </c>
      <c r="I620" s="5" t="n">
        <v>4962344000</v>
      </c>
      <c r="J620" s="4" t="n">
        <v>11.84920024871826</v>
      </c>
      <c r="K620" s="4" t="n">
        <v>0.0885000005364418</v>
      </c>
      <c r="L620" s="4" t="n">
        <v>0.1837000101804733</v>
      </c>
      <c r="M620" t="inlineStr">
        <is>
          <t>유도준</t>
        </is>
      </c>
      <c r="N620" t="inlineStr">
        <is>
          <t>031-8071-4400</t>
        </is>
      </c>
      <c r="O620" t="inlineStr">
        <is>
          <t>031-8071-4624</t>
        </is>
      </c>
      <c r="P620" s="3">
        <f>HYPERLINK("http://www.sentechkorea.com", "http://www.sentechkorea.com")</f>
        <v/>
      </c>
      <c r="Q620" t="inlineStr">
        <is>
          <t>5068129009</t>
        </is>
      </c>
      <c r="R620" t="inlineStr">
        <is>
          <t>1746110032736</t>
        </is>
      </c>
      <c r="S620" t="inlineStr">
        <is>
          <t>대상아님</t>
        </is>
      </c>
      <c r="T620" t="inlineStr">
        <is>
          <t>일반법인</t>
        </is>
      </c>
      <c r="U620" t="inlineStr">
        <is>
          <t>중소기업</t>
        </is>
      </c>
      <c r="V620" t="inlineStr">
        <is>
          <t>외부감사대상</t>
        </is>
      </c>
      <c r="W620" s="6" t="inlineStr">
        <is>
          <t>1998-07-29</t>
        </is>
      </c>
      <c r="X620" t="inlineStr">
        <is>
          <t>KRI:10C2721900</t>
        </is>
      </c>
      <c r="Y620" t="inlineStr">
        <is>
          <t>기타 측정, 시험, 항해, 제어 및 정밀기기 제조업</t>
        </is>
      </c>
      <c r="Z620" t="inlineStr">
        <is>
          <t>센서,음주감지기 제조/과학기기 도소매,무역,전자상거래/부동산 임대</t>
        </is>
      </c>
      <c r="AA620" t="inlineStr">
        <is>
          <t>경기 파주시 신촌동 63-23번지</t>
        </is>
      </c>
      <c r="AB620" t="inlineStr">
        <is>
          <t>경기 파주시 지목로75번길 21-6</t>
        </is>
      </c>
    </row>
    <row r="621" ht="19.2" customHeight="1" s="1">
      <c r="A621" t="inlineStr">
        <is>
          <t>NICE:C22296</t>
        </is>
      </c>
      <c r="B621" t="inlineStr">
        <is>
          <t>황조</t>
        </is>
      </c>
      <c r="C621" s="5" t="n">
        <v>58041723000</v>
      </c>
      <c r="D621" s="5" t="n">
        <v>17881913000</v>
      </c>
      <c r="E621" s="5" t="n">
        <v>40159809000</v>
      </c>
      <c r="F621" s="5" t="n">
        <v>35700213000</v>
      </c>
      <c r="G621" s="5" t="n">
        <v>8882679000</v>
      </c>
      <c r="H621" s="5" t="n">
        <v>34894463000</v>
      </c>
      <c r="I621" s="5" t="n">
        <v>7864696000</v>
      </c>
      <c r="J621" s="4" t="n">
        <v>1.347100019454956</v>
      </c>
      <c r="K621" s="4" t="n">
        <v>0.4452999830245972</v>
      </c>
      <c r="L621" s="4" t="n">
        <v>0.2487999796867371</v>
      </c>
      <c r="M621" t="inlineStr">
        <is>
          <t>허성희</t>
        </is>
      </c>
      <c r="N621" t="inlineStr">
        <is>
          <t>054-742-1773</t>
        </is>
      </c>
      <c r="O621" t="inlineStr">
        <is>
          <t>054-742-1775</t>
        </is>
      </c>
      <c r="P621" s="3" t="n"/>
      <c r="Q621" t="inlineStr">
        <is>
          <t>5068154298</t>
        </is>
      </c>
      <c r="R621" t="inlineStr">
        <is>
          <t>1717110063807</t>
        </is>
      </c>
      <c r="S621" t="inlineStr">
        <is>
          <t>대상아님</t>
        </is>
      </c>
      <c r="T621" t="inlineStr">
        <is>
          <t>일반법인</t>
        </is>
      </c>
      <c r="U621" t="inlineStr">
        <is>
          <t>중소기업</t>
        </is>
      </c>
      <c r="V621" t="inlineStr">
        <is>
          <t>외부감사대상</t>
        </is>
      </c>
      <c r="W621" s="6" t="inlineStr">
        <is>
          <t>2005-01-26</t>
        </is>
      </c>
      <c r="X621" t="inlineStr">
        <is>
          <t>KRI:10E3831200</t>
        </is>
      </c>
      <c r="Y621" t="inlineStr">
        <is>
          <t>금속류 원료 재생업</t>
        </is>
      </c>
      <c r="Z621" t="inlineStr">
        <is>
          <t>재활용금속광물 분쇄,내화물,연,아연,제련,정련,합금,전기열기구,보일러,냉난방기,히트펌프 제조/태양광 발전/고철</t>
        </is>
      </c>
      <c r="AA621" t="inlineStr">
        <is>
          <t>경북 경주시 안강읍 두류리 1563-5번지</t>
        </is>
      </c>
      <c r="AB621" t="inlineStr">
        <is>
          <t>경북 경주시 안강읍 두류길 149</t>
        </is>
      </c>
    </row>
    <row r="622" ht="19.2" customHeight="1" s="1">
      <c r="A622" t="inlineStr">
        <is>
          <t>NICE:C11615</t>
        </is>
      </c>
      <c r="B622" t="inlineStr">
        <is>
          <t>포이스</t>
        </is>
      </c>
      <c r="C622" s="5" t="n">
        <v>56847388000</v>
      </c>
      <c r="D622" s="5" t="n">
        <v>18255835000</v>
      </c>
      <c r="E622" s="5" t="n">
        <v>38591553000</v>
      </c>
      <c r="F622" s="5" t="n">
        <v>40997469000</v>
      </c>
      <c r="G622" s="5" t="n">
        <v>9080550000</v>
      </c>
      <c r="H622" s="5" t="n">
        <v>60455141000</v>
      </c>
      <c r="I622" s="5" t="n">
        <v>14057351000</v>
      </c>
      <c r="J622" s="4" t="n">
        <v>4.78309965133667</v>
      </c>
      <c r="K622" s="4" t="n">
        <v>0.4731000065803528</v>
      </c>
      <c r="L622" s="4" t="n">
        <v>0.2214999943971634</v>
      </c>
      <c r="M622" t="inlineStr">
        <is>
          <t>봉경환</t>
        </is>
      </c>
      <c r="N622" t="inlineStr">
        <is>
          <t>031-499-2510</t>
        </is>
      </c>
      <c r="O622" t="inlineStr">
        <is>
          <t>031-499-2518</t>
        </is>
      </c>
      <c r="P622" s="3">
        <f>HYPERLINK("http://www.foures.co.kr", "http://www.foures.co.kr")</f>
        <v/>
      </c>
      <c r="Q622" t="inlineStr">
        <is>
          <t>1408125690</t>
        </is>
      </c>
      <c r="R622" t="inlineStr">
        <is>
          <t>1355110186102</t>
        </is>
      </c>
      <c r="S622" t="inlineStr">
        <is>
          <t>대상아님</t>
        </is>
      </c>
      <c r="T622" t="inlineStr">
        <is>
          <t>일반법인</t>
        </is>
      </c>
      <c r="U622" t="inlineStr">
        <is>
          <t>중소기업</t>
        </is>
      </c>
      <c r="V622" t="inlineStr">
        <is>
          <t>외부감사대상</t>
        </is>
      </c>
      <c r="W622" s="6" t="inlineStr">
        <is>
          <t>2007-12-05</t>
        </is>
      </c>
      <c r="X622" t="inlineStr">
        <is>
          <t>KRI:10C2927100</t>
        </is>
      </c>
      <c r="Y622" t="inlineStr">
        <is>
          <t>반도체 제조용 기계 제조업</t>
        </is>
      </c>
      <c r="Z622" t="inlineStr">
        <is>
          <t>반도체 장비 제조</t>
        </is>
      </c>
      <c r="AA622" t="inlineStr">
        <is>
          <t>경기 안산시 단원구 원시동 824-3번지 포이스주식회사</t>
        </is>
      </c>
      <c r="AB622" t="inlineStr">
        <is>
          <t>경기 안산시 단원구 첨단로 539 (원시동,포이스주식회사)</t>
        </is>
      </c>
    </row>
    <row r="623" ht="19.2" customHeight="1" s="1">
      <c r="A623" t="inlineStr">
        <is>
          <t>NICE:022330</t>
        </is>
      </c>
      <c r="B623" t="inlineStr">
        <is>
          <t>오성화학공업</t>
        </is>
      </c>
      <c r="C623" s="5" t="n">
        <v>56541703000</v>
      </c>
      <c r="D623" s="5" t="n">
        <v>9173582000</v>
      </c>
      <c r="E623" s="5" t="n">
        <v>47368122000</v>
      </c>
      <c r="F623" s="5" t="n">
        <v>80022185000</v>
      </c>
      <c r="G623" s="5" t="n">
        <v>8967303000</v>
      </c>
      <c r="H623" s="5" t="n">
        <v>75826125000</v>
      </c>
      <c r="I623" s="5" t="n">
        <v>7775992000</v>
      </c>
      <c r="J623" s="4" t="n">
        <v>3.872900009155273</v>
      </c>
      <c r="K623" s="4" t="n">
        <v>0.1937000006437302</v>
      </c>
      <c r="L623" s="4" t="n">
        <v>0.1120999976992607</v>
      </c>
      <c r="M623" t="inlineStr">
        <is>
          <t>권영후</t>
        </is>
      </c>
      <c r="N623" t="inlineStr">
        <is>
          <t>032-547-3321</t>
        </is>
      </c>
      <c r="O623" t="inlineStr">
        <is>
          <t>070-7775-4198</t>
        </is>
      </c>
      <c r="P623" s="3">
        <f>HYPERLINK("http://www.oschem.co.kr", "http://www.oschem.co.kr")</f>
        <v/>
      </c>
      <c r="Q623" t="inlineStr">
        <is>
          <t>1228105809</t>
        </is>
      </c>
      <c r="R623" t="inlineStr">
        <is>
          <t>1201110004135</t>
        </is>
      </c>
      <c r="S623" t="inlineStr">
        <is>
          <t>대상아님</t>
        </is>
      </c>
      <c r="T623" t="inlineStr">
        <is>
          <t>일반법인</t>
        </is>
      </c>
      <c r="U623" t="inlineStr">
        <is>
          <t>중소기업</t>
        </is>
      </c>
      <c r="V623" t="inlineStr">
        <is>
          <t>외부감사대상</t>
        </is>
      </c>
      <c r="W623" s="6" t="inlineStr">
        <is>
          <t>1973-06-04</t>
        </is>
      </c>
      <c r="X623" t="inlineStr">
        <is>
          <t>KRI:10C2042100</t>
        </is>
      </c>
      <c r="Y623" t="inlineStr">
        <is>
          <t>계면활성제 제조업</t>
        </is>
      </c>
      <c r="Z623" t="inlineStr">
        <is>
          <t>계면활성제,합성유기염료,특수윤활유,금속가공유제 제조,도매,무역/부동산 임대,매매</t>
        </is>
      </c>
      <c r="AA623" t="inlineStr">
        <is>
          <t>인천 남동구 고잔동 645-10번지 남동공단</t>
        </is>
      </c>
      <c r="AB623" t="inlineStr">
        <is>
          <t>인천 남동구 청능대로 387 (고잔동,남동공단)</t>
        </is>
      </c>
    </row>
    <row r="624" s="1">
      <c r="A624" t="inlineStr">
        <is>
          <t>NICE:G09306</t>
        </is>
      </c>
      <c r="B624" t="inlineStr">
        <is>
          <t>서한관광개발</t>
        </is>
      </c>
      <c r="C624" s="5" t="n">
        <v>42645038000</v>
      </c>
      <c r="D624" s="5" t="n">
        <v>20079236000</v>
      </c>
      <c r="E624" s="5" t="n">
        <v>22565803000</v>
      </c>
      <c r="F624" s="5" t="n">
        <v>29656154000</v>
      </c>
      <c r="G624" s="5" t="n">
        <v>6762520000</v>
      </c>
      <c r="H624" s="5" t="n">
        <v>27106053000</v>
      </c>
      <c r="I624" s="5" t="n">
        <v>6010955000</v>
      </c>
      <c r="J624" s="4" t="n">
        <v>0.5630999803543091</v>
      </c>
      <c r="K624" s="4" t="n">
        <v>0.8898000121116638</v>
      </c>
      <c r="L624" s="4" t="n">
        <v>0.2279999852180481</v>
      </c>
      <c r="M624" t="inlineStr">
        <is>
          <t>서정호/조정욱</t>
        </is>
      </c>
      <c r="N624" t="inlineStr">
        <is>
          <t>02-2270-3406</t>
        </is>
      </c>
      <c r="O624" t="inlineStr">
        <is>
          <t>02-2270-3279</t>
        </is>
      </c>
      <c r="P624">
        <f>HYPERLINK("http://www.ambatel.com", "http://www.ambatel.com")</f>
        <v/>
      </c>
      <c r="Q624" t="inlineStr">
        <is>
          <t>2018609520</t>
        </is>
      </c>
      <c r="R624" t="inlineStr">
        <is>
          <t>1101114032431</t>
        </is>
      </c>
      <c r="S624" t="inlineStr">
        <is>
          <t>대상아님</t>
        </is>
      </c>
      <c r="T624" t="inlineStr">
        <is>
          <t>일반법인</t>
        </is>
      </c>
      <c r="U624" t="inlineStr">
        <is>
          <t>중소기업</t>
        </is>
      </c>
      <c r="V624" t="inlineStr">
        <is>
          <t>외부감사대상</t>
        </is>
      </c>
      <c r="W624" s="6" t="inlineStr">
        <is>
          <t>2009-01-21</t>
        </is>
      </c>
      <c r="X624" t="inlineStr">
        <is>
          <t>KRI:10I5510100</t>
        </is>
      </c>
      <c r="Y624" t="inlineStr">
        <is>
          <t>호텔업</t>
        </is>
      </c>
      <c r="Z624" t="inlineStr">
        <is>
          <t>관광호텔/일반,휴게음식점/환전</t>
        </is>
      </c>
      <c r="AA624" t="inlineStr">
        <is>
          <t>서울 중구 충무로2가 53-10번지</t>
        </is>
      </c>
      <c r="AB624" t="inlineStr">
        <is>
          <t>서울 중구 삼일대로 302</t>
        </is>
      </c>
    </row>
    <row r="625" s="1">
      <c r="A625" t="inlineStr">
        <is>
          <t>NICE:181629</t>
        </is>
      </c>
      <c r="B625" t="inlineStr">
        <is>
          <t>한국대풍</t>
        </is>
      </c>
      <c r="C625" s="5" t="n">
        <v>24558903000</v>
      </c>
      <c r="D625" s="5" t="n">
        <v>3033314000</v>
      </c>
      <c r="E625" s="5" t="n">
        <v>21525589000</v>
      </c>
      <c r="F625" s="5" t="n">
        <v>27188003000</v>
      </c>
      <c r="G625" s="5" t="n">
        <v>4852875000</v>
      </c>
      <c r="H625" s="5" t="n">
        <v>25836827000</v>
      </c>
      <c r="I625" s="5" t="n">
        <v>4380283000</v>
      </c>
      <c r="J625" s="4" t="n">
        <v>5.7778000831604</v>
      </c>
      <c r="K625" s="4" t="n">
        <v>0.1409000009298325</v>
      </c>
      <c r="L625" s="4" t="n">
        <v>0.1784999966621399</v>
      </c>
      <c r="M625" t="inlineStr">
        <is>
          <t>도경택/요코이아키히코</t>
        </is>
      </c>
      <c r="N625" t="inlineStr">
        <is>
          <t>053-593-2212</t>
        </is>
      </c>
      <c r="O625" t="inlineStr">
        <is>
          <t>053-593-2215</t>
        </is>
      </c>
      <c r="P625">
        <f>HYPERLINK("http://www.taihonet.co.jp/", "http://www.taihonet.co.jp/")</f>
        <v/>
      </c>
      <c r="Q625" t="inlineStr">
        <is>
          <t>5148140835</t>
        </is>
      </c>
      <c r="R625" t="inlineStr">
        <is>
          <t>1701110199225</t>
        </is>
      </c>
      <c r="S625" t="inlineStr">
        <is>
          <t>대상아님</t>
        </is>
      </c>
      <c r="T625" t="inlineStr">
        <is>
          <t>일반법인</t>
        </is>
      </c>
      <c r="U625" t="inlineStr">
        <is>
          <t>중소기업</t>
        </is>
      </c>
      <c r="V625" t="inlineStr">
        <is>
          <t>외부감사대상</t>
        </is>
      </c>
      <c r="W625" s="6" t="inlineStr">
        <is>
          <t>2001-06-19</t>
        </is>
      </c>
      <c r="X625" t="inlineStr">
        <is>
          <t>KRI:10C3031000</t>
        </is>
      </c>
      <c r="Y625" t="inlineStr">
        <is>
          <t>자동차 엔진용 신품 부품 제조업</t>
        </is>
      </c>
      <c r="Z625" t="inlineStr">
        <is>
          <t>자동차엔진부품(PISTON SHOE,SHAFT BUSH) 제조,도매,무역</t>
        </is>
      </c>
      <c r="AA625" t="inlineStr">
        <is>
          <t>대구 달서구 월암동 1088번지</t>
        </is>
      </c>
      <c r="AB625" t="inlineStr">
        <is>
          <t>대구 달서구 성서서로15길 16</t>
        </is>
      </c>
    </row>
    <row r="626" ht="19.2" customHeight="1" s="1">
      <c r="A626" t="inlineStr">
        <is>
          <t>NICE:198149</t>
        </is>
      </c>
      <c r="B626" t="inlineStr">
        <is>
          <t>코리아인터링크</t>
        </is>
      </c>
      <c r="C626" s="5" t="n">
        <v>23913116000</v>
      </c>
      <c r="D626" s="5" t="n">
        <v>3860087000</v>
      </c>
      <c r="E626" s="5" t="n">
        <v>20053028000</v>
      </c>
      <c r="F626" s="5" t="n">
        <v>26150164000</v>
      </c>
      <c r="G626" s="5" t="n">
        <v>6436493000</v>
      </c>
      <c r="H626" s="5" t="n">
        <v>16965053000</v>
      </c>
      <c r="I626" s="5" t="n">
        <v>2769375000</v>
      </c>
      <c r="J626" s="4" t="n">
        <v>4.852699756622314</v>
      </c>
      <c r="K626" s="4" t="n">
        <v>0.1924999952316284</v>
      </c>
      <c r="L626" s="4" t="n">
        <v>0.2460999935865402</v>
      </c>
      <c r="M626" t="inlineStr">
        <is>
          <t>안병현</t>
        </is>
      </c>
      <c r="N626" t="inlineStr">
        <is>
          <t>02-786-5251</t>
        </is>
      </c>
      <c r="O626" t="inlineStr">
        <is>
          <t>02-785-4789</t>
        </is>
      </c>
      <c r="P626" s="3">
        <f>HYPERLINK("http://www.koreainterlink.com", "http://www.koreainterlink.com")</f>
        <v/>
      </c>
      <c r="Q626" t="inlineStr">
        <is>
          <t>1078187909</t>
        </is>
      </c>
      <c r="R626" t="inlineStr">
        <is>
          <t>1101112026840</t>
        </is>
      </c>
      <c r="S626" t="inlineStr">
        <is>
          <t>대상아님</t>
        </is>
      </c>
      <c r="T626" t="inlineStr">
        <is>
          <t>일반법인</t>
        </is>
      </c>
      <c r="U626" t="inlineStr">
        <is>
          <t>중소기업</t>
        </is>
      </c>
      <c r="V626" t="inlineStr">
        <is>
          <t>외부감사대상</t>
        </is>
      </c>
      <c r="W626" s="6" t="inlineStr">
        <is>
          <t>2000-07-14</t>
        </is>
      </c>
      <c r="X626" t="inlineStr">
        <is>
          <t>KRI:10H5299200</t>
        </is>
      </c>
      <c r="Y626" t="inlineStr">
        <is>
          <t>화물운송 중개, 대리 및 관련 서비스업</t>
        </is>
      </c>
      <c r="Z626" t="inlineStr">
        <is>
          <t>복합운송주선</t>
        </is>
      </c>
      <c r="AA626" t="inlineStr">
        <is>
          <t>서울 영등포구 영등포동8가 92번지 케이엔케이디지털타워 1607호</t>
        </is>
      </c>
      <c r="AB626" t="inlineStr">
        <is>
          <t>서울 영등포구 영신로 220, 1607호 (영등포동8가,케이엔케이디지털타워)</t>
        </is>
      </c>
    </row>
    <row r="627" ht="19.2" customHeight="1" s="1">
      <c r="A627" t="inlineStr">
        <is>
          <t>NICE:201949</t>
        </is>
      </c>
      <c r="B627" t="inlineStr">
        <is>
          <t>오케이에프</t>
        </is>
      </c>
      <c r="C627" s="5" t="n">
        <v>220191992000</v>
      </c>
      <c r="D627" s="5" t="n">
        <v>191190872000</v>
      </c>
      <c r="E627" s="5" t="n">
        <v>29001120000</v>
      </c>
      <c r="F627" s="5" t="n">
        <v>174055451000</v>
      </c>
      <c r="G627" s="5" t="n">
        <v>20413521000</v>
      </c>
      <c r="H627" s="5" t="n">
        <v>172906379000</v>
      </c>
      <c r="I627" s="5" t="n">
        <v>15793792000</v>
      </c>
      <c r="J627" s="4" t="n">
        <v>0.4949000179767609</v>
      </c>
      <c r="K627" s="4" t="n">
        <v>6.592499732971191</v>
      </c>
      <c r="L627" s="4" t="n">
        <v>0.117299996316433</v>
      </c>
      <c r="M627" t="inlineStr">
        <is>
          <t>이상신</t>
        </is>
      </c>
      <c r="N627" t="inlineStr">
        <is>
          <t>02-491-1873</t>
        </is>
      </c>
      <c r="O627" t="inlineStr">
        <is>
          <t>02-491-1866</t>
        </is>
      </c>
      <c r="P627" s="3">
        <f>HYPERLINK("http://www.okf.kr", "http://www.okf.kr")</f>
        <v/>
      </c>
      <c r="Q627" t="inlineStr">
        <is>
          <t>2158195471</t>
        </is>
      </c>
      <c r="R627" t="inlineStr">
        <is>
          <t>1101112033803</t>
        </is>
      </c>
      <c r="S627" t="inlineStr">
        <is>
          <t>대상아님</t>
        </is>
      </c>
      <c r="T627" t="inlineStr">
        <is>
          <t>일반법인</t>
        </is>
      </c>
      <c r="U627" t="inlineStr">
        <is>
          <t>중견기업</t>
        </is>
      </c>
      <c r="V627" t="inlineStr">
        <is>
          <t>외부감사대상</t>
        </is>
      </c>
      <c r="W627" s="6" t="inlineStr">
        <is>
          <t>2000-07-25</t>
        </is>
      </c>
      <c r="X627" t="inlineStr">
        <is>
          <t>KRI:10G4633200</t>
        </is>
      </c>
      <c r="Y627" t="inlineStr">
        <is>
          <t>비알코올음료 도매업</t>
        </is>
      </c>
      <c r="Z627" t="inlineStr">
        <is>
          <t>식품(음료수) 도소매,제조/무역/수출 대행</t>
        </is>
      </c>
      <c r="AA627" t="inlineStr">
        <is>
          <t>서울 강남구 논현동 27-1번지</t>
        </is>
      </c>
      <c r="AB627" t="inlineStr">
        <is>
          <t>서울 강남구 학동로21길 54</t>
        </is>
      </c>
    </row>
    <row r="628" s="1">
      <c r="A628" t="inlineStr">
        <is>
          <t>NICE:005800</t>
        </is>
      </c>
      <c r="B628" t="inlineStr">
        <is>
          <t>동승통상</t>
        </is>
      </c>
      <c r="C628" s="5" t="n">
        <v>99263170000</v>
      </c>
      <c r="D628" s="5" t="n">
        <v>34099409000</v>
      </c>
      <c r="E628" s="5" t="n">
        <v>65163761000</v>
      </c>
      <c r="F628" s="5" t="n">
        <v>59853574000</v>
      </c>
      <c r="G628" s="5" t="n">
        <v>6567646000</v>
      </c>
      <c r="H628" s="5" t="n">
        <v>92236095000</v>
      </c>
      <c r="I628" s="5" t="n">
        <v>13775529000</v>
      </c>
      <c r="J628" s="4" t="n">
        <v>3.232699871063232</v>
      </c>
      <c r="K628" s="4" t="n">
        <v>0.5232999920845032</v>
      </c>
      <c r="L628" s="4" t="n">
        <v>0.1097000017762184</v>
      </c>
      <c r="M628" t="inlineStr">
        <is>
          <t>김철웅</t>
        </is>
      </c>
      <c r="N628" t="inlineStr">
        <is>
          <t>02-335-2551-4</t>
        </is>
      </c>
      <c r="O628" t="inlineStr">
        <is>
          <t>02-333-2868</t>
        </is>
      </c>
      <c r="Q628" t="inlineStr">
        <is>
          <t>1058104692</t>
        </is>
      </c>
      <c r="R628" t="inlineStr">
        <is>
          <t>1101110217897</t>
        </is>
      </c>
      <c r="S628" t="inlineStr">
        <is>
          <t>대상아님</t>
        </is>
      </c>
      <c r="T628" t="inlineStr">
        <is>
          <t>일반법인</t>
        </is>
      </c>
      <c r="U628" t="inlineStr">
        <is>
          <t>중소기업</t>
        </is>
      </c>
      <c r="V628" t="inlineStr">
        <is>
          <t>외부감사대상</t>
        </is>
      </c>
      <c r="W628" s="6" t="inlineStr">
        <is>
          <t>1977-08-18</t>
        </is>
      </c>
      <c r="X628" t="inlineStr">
        <is>
          <t>KRI:10G4646400</t>
        </is>
      </c>
      <c r="Y628" t="inlineStr">
        <is>
          <t>운동 및 경기용품 도매업</t>
        </is>
      </c>
      <c r="Z628" t="inlineStr">
        <is>
          <t>배드민턴 셔틀콕,운동용구 도소매,제조/전자상거래</t>
        </is>
      </c>
      <c r="AA628" t="inlineStr">
        <is>
          <t>서울 서초구 서초동 1354번지</t>
        </is>
      </c>
      <c r="AB628" t="inlineStr">
        <is>
          <t>서울 서초구 남부순환로 2543</t>
        </is>
      </c>
    </row>
    <row r="629" s="1">
      <c r="A629" t="inlineStr">
        <is>
          <t>NICE:IR7354</t>
        </is>
      </c>
      <c r="B629" t="inlineStr">
        <is>
          <t>한화파워</t>
        </is>
      </c>
      <c r="C629" s="5" t="n">
        <v>445759234000</v>
      </c>
      <c r="D629" s="5" t="n">
        <v>216838167000</v>
      </c>
      <c r="E629" s="5" t="n">
        <v>228921066000</v>
      </c>
      <c r="F629" s="5" t="n">
        <v>446436040000</v>
      </c>
      <c r="G629" s="5" t="n">
        <v>51407254000</v>
      </c>
      <c r="H629" s="5" t="n">
        <v>402863941000</v>
      </c>
      <c r="I629" s="5" t="n">
        <v>29151269000</v>
      </c>
      <c r="J629" s="4" t="n">
        <v>2.037999868392944</v>
      </c>
      <c r="K629" s="4" t="n">
        <v>0.9472000002861023</v>
      </c>
      <c r="L629" s="4" t="n">
        <v>0.1152000054717064</v>
      </c>
      <c r="M629" t="inlineStr">
        <is>
          <t>라피발타</t>
        </is>
      </c>
      <c r="N629" t="inlineStr">
        <is>
          <t>070-7147-8000</t>
        </is>
      </c>
      <c r="O629" t="inlineStr">
        <is>
          <t>031-8018-3750</t>
        </is>
      </c>
      <c r="P629">
        <f>HYPERLINK("http://www.hanwhapowersystems.co.kr", "http://www.hanwhapowersystems.co.kr")</f>
        <v/>
      </c>
      <c r="Q629" t="inlineStr">
        <is>
          <t>4778600771</t>
        </is>
      </c>
      <c r="R629" t="inlineStr">
        <is>
          <t>1942110273318</t>
        </is>
      </c>
      <c r="S629" t="inlineStr">
        <is>
          <t>대상아님</t>
        </is>
      </c>
      <c r="T629" t="inlineStr">
        <is>
          <t>일반법인</t>
        </is>
      </c>
      <c r="U629" t="inlineStr">
        <is>
          <t>대기업</t>
        </is>
      </c>
      <c r="V629" t="inlineStr">
        <is>
          <t>외부감사대상</t>
        </is>
      </c>
      <c r="W629" s="6" t="inlineStr">
        <is>
          <t>2017-07-03</t>
        </is>
      </c>
      <c r="X629" t="inlineStr">
        <is>
          <t>KRI:10C2913200</t>
        </is>
      </c>
      <c r="Y629" t="inlineStr">
        <is>
          <t>기체 펌프 및 압축기 제조업</t>
        </is>
      </c>
      <c r="Z629" t="inlineStr">
        <is>
          <t>압축기 제조</t>
        </is>
      </c>
      <c r="AA629" t="inlineStr">
        <is>
          <t>경남 창원시 성산구 성주동 28번지</t>
        </is>
      </c>
      <c r="AB629" t="inlineStr">
        <is>
          <t>경남 창원시 성산구 창원대로 1204</t>
        </is>
      </c>
    </row>
    <row r="630" ht="19.2" customHeight="1" s="1">
      <c r="A630" t="inlineStr">
        <is>
          <t>NICE:C76841</t>
        </is>
      </c>
      <c r="B630" t="inlineStr">
        <is>
          <t>씰리코리아컴퍼니</t>
        </is>
      </c>
      <c r="C630" s="5" t="n">
        <v>26986530000</v>
      </c>
      <c r="D630" s="5" t="n">
        <v>15061559000</v>
      </c>
      <c r="E630" s="5" t="n">
        <v>11924971000</v>
      </c>
      <c r="F630" s="5" t="n">
        <v>88927498000</v>
      </c>
      <c r="G630" s="5" t="n">
        <v>14559421000</v>
      </c>
      <c r="H630" s="5" t="n">
        <v>81056035000</v>
      </c>
      <c r="I630" s="5" t="n">
        <v>13879030000</v>
      </c>
      <c r="J630" s="4" t="n">
        <v>1.596099972724915</v>
      </c>
      <c r="K630" s="4" t="n">
        <v>1.263000011444092</v>
      </c>
      <c r="L630" s="4" t="n">
        <v>0.1636999994516373</v>
      </c>
      <c r="M630" t="inlineStr">
        <is>
          <t>데이비드몽고메리/싸이먼제이다이어/조지안소니다이어/마이클존포페</t>
        </is>
      </c>
      <c r="N630" t="inlineStr">
        <is>
          <t>1588-7703</t>
        </is>
      </c>
      <c r="O630" t="inlineStr">
        <is>
          <t>02-3481-3094</t>
        </is>
      </c>
      <c r="P630" s="3">
        <f>HYPERLINK("http://www.sealy.co.kr", "http://www.sealy.co.kr")</f>
        <v/>
      </c>
      <c r="Q630" t="inlineStr">
        <is>
          <t>1148639564</t>
        </is>
      </c>
      <c r="R630" t="inlineStr">
        <is>
          <t>1101140050663</t>
        </is>
      </c>
      <c r="S630" t="inlineStr">
        <is>
          <t>대상아님</t>
        </is>
      </c>
      <c r="T630" t="inlineStr">
        <is>
          <t>일반법인</t>
        </is>
      </c>
      <c r="U630" t="inlineStr">
        <is>
          <t>중소기업</t>
        </is>
      </c>
      <c r="V630" t="inlineStr">
        <is>
          <t>외부감사대상</t>
        </is>
      </c>
      <c r="W630" s="6" t="inlineStr">
        <is>
          <t>2004-10-20</t>
        </is>
      </c>
      <c r="X630" t="inlineStr">
        <is>
          <t>KRI:10C3201100</t>
        </is>
      </c>
      <c r="Y630" t="inlineStr">
        <is>
          <t>매트리스 및 침대 제조업</t>
        </is>
      </c>
      <c r="Z630" t="inlineStr">
        <is>
          <t>매트리스 제조,판매</t>
        </is>
      </c>
      <c r="AA630" t="inlineStr">
        <is>
          <t>서울 강남구 삼성동 21-1번지 3층</t>
        </is>
      </c>
      <c r="AB630" t="inlineStr">
        <is>
          <t>서울 강남구 삼성로 633, 3층</t>
        </is>
      </c>
    </row>
    <row r="631" ht="19.2" customHeight="1" s="1">
      <c r="A631" t="inlineStr">
        <is>
          <t>NICE:767620</t>
        </is>
      </c>
      <c r="B631" t="inlineStr">
        <is>
          <t>한국무역정보통신</t>
        </is>
      </c>
      <c r="C631" s="5" t="n">
        <v>141628729000</v>
      </c>
      <c r="D631" s="5" t="n">
        <v>12531107000</v>
      </c>
      <c r="E631" s="5" t="n">
        <v>129097622000</v>
      </c>
      <c r="F631" s="5" t="n">
        <v>77013193000</v>
      </c>
      <c r="G631" s="5" t="n">
        <v>8865267000</v>
      </c>
      <c r="H631" s="5" t="n">
        <v>84369233000</v>
      </c>
      <c r="I631" s="5" t="n">
        <v>11189401000</v>
      </c>
      <c r="J631" s="4" t="n">
        <v>8.602100372314453</v>
      </c>
      <c r="K631" s="4" t="n">
        <v>0.09709999710321426</v>
      </c>
      <c r="L631" s="4" t="n">
        <v>0.1150999963283539</v>
      </c>
      <c r="M631" t="inlineStr">
        <is>
          <t>고진</t>
        </is>
      </c>
      <c r="N631" t="inlineStr">
        <is>
          <t>02-6000-2114</t>
        </is>
      </c>
      <c r="O631" t="inlineStr">
        <is>
          <t>02-6000-2177</t>
        </is>
      </c>
      <c r="P631" s="3">
        <f>HYPERLINK("http://www.ktnet.co.kr", "http://www.ktnet.co.kr")</f>
        <v/>
      </c>
      <c r="Q631" t="inlineStr">
        <is>
          <t>1208102922</t>
        </is>
      </c>
      <c r="R631" t="inlineStr">
        <is>
          <t>1101110310104</t>
        </is>
      </c>
      <c r="S631" t="inlineStr">
        <is>
          <t>대상아님</t>
        </is>
      </c>
      <c r="T631" t="inlineStr">
        <is>
          <t>일반법인</t>
        </is>
      </c>
      <c r="U631" t="inlineStr">
        <is>
          <t>중소기업</t>
        </is>
      </c>
      <c r="V631" t="inlineStr">
        <is>
          <t>외부감사대상</t>
        </is>
      </c>
      <c r="W631" s="6" t="inlineStr">
        <is>
          <t>1982-01-11</t>
        </is>
      </c>
      <c r="X631" t="inlineStr">
        <is>
          <t>KRI:10J6311100</t>
        </is>
      </c>
      <c r="Y631" t="inlineStr">
        <is>
          <t>자료 처리업</t>
        </is>
      </c>
      <c r="Z631" t="inlineStr">
        <is>
          <t>정보처리,소프트웨어개발,공급,주차장 운영/컴퓨터시스템 도매,통신판매/부동산 임대,개발</t>
        </is>
      </c>
      <c r="AA631" t="inlineStr">
        <is>
          <t>서울 강남구 삼성동 159-1번지</t>
        </is>
      </c>
      <c r="AB631" t="inlineStr">
        <is>
          <t>서울 강남구 영동대로 511</t>
        </is>
      </c>
    </row>
    <row r="632" ht="19.2" customHeight="1" s="1">
      <c r="A632" t="inlineStr">
        <is>
          <t>NICE:383916</t>
        </is>
      </c>
      <c r="B632" t="inlineStr">
        <is>
          <t>명신해운</t>
        </is>
      </c>
      <c r="C632" s="5" t="n">
        <v>72318242000</v>
      </c>
      <c r="D632" s="5" t="n">
        <v>35329809000</v>
      </c>
      <c r="E632" s="5" t="n">
        <v>36988433000</v>
      </c>
      <c r="F632" s="5" t="n">
        <v>23523797000</v>
      </c>
      <c r="G632" s="5" t="n">
        <v>4016108000</v>
      </c>
      <c r="H632" s="5" t="n">
        <v>23063220000</v>
      </c>
      <c r="I632" s="5" t="n">
        <v>3597855000</v>
      </c>
      <c r="J632" s="4" t="n">
        <v>0.4174000024795532</v>
      </c>
      <c r="K632" s="4" t="n">
        <v>0.9551999568939209</v>
      </c>
      <c r="L632" s="4" t="n">
        <v>0.1706999987363815</v>
      </c>
      <c r="M632" t="inlineStr">
        <is>
          <t>이홍주</t>
        </is>
      </c>
      <c r="N632" t="inlineStr">
        <is>
          <t>052-256-9701</t>
        </is>
      </c>
      <c r="O632" t="inlineStr">
        <is>
          <t>052-256-9703</t>
        </is>
      </c>
      <c r="P632" s="3" t="n"/>
      <c r="Q632" t="inlineStr">
        <is>
          <t>6108166661</t>
        </is>
      </c>
      <c r="R632" t="inlineStr">
        <is>
          <t>2301110096311</t>
        </is>
      </c>
      <c r="S632" t="inlineStr">
        <is>
          <t>대상아님</t>
        </is>
      </c>
      <c r="T632" t="inlineStr">
        <is>
          <t>일반법인</t>
        </is>
      </c>
      <c r="U632" t="inlineStr">
        <is>
          <t>중소기업</t>
        </is>
      </c>
      <c r="V632" t="inlineStr">
        <is>
          <t>외부감사대상</t>
        </is>
      </c>
      <c r="W632" s="6" t="inlineStr">
        <is>
          <t>2003-06-09</t>
        </is>
      </c>
      <c r="X632" t="inlineStr">
        <is>
          <t>KRI:10H5013000</t>
        </is>
      </c>
      <c r="Y632" t="inlineStr">
        <is>
          <t>기타 해상 운송업</t>
        </is>
      </c>
      <c r="Z632" t="inlineStr">
        <is>
          <t>해상화물 운송</t>
        </is>
      </c>
      <c r="AA632" t="inlineStr">
        <is>
          <t>울산 남구 장생포동 79번지 2층</t>
        </is>
      </c>
      <c r="AB632" t="inlineStr">
        <is>
          <t>울산 남구 장생포고래로197번길 13, 2층</t>
        </is>
      </c>
    </row>
    <row r="633" ht="19.2" customHeight="1" s="1">
      <c r="A633" t="inlineStr">
        <is>
          <t>NICE:IN3125</t>
        </is>
      </c>
      <c r="B633" t="inlineStr">
        <is>
          <t>베리굿타일앤스톤</t>
        </is>
      </c>
      <c r="C633" s="5" t="n">
        <v>39811291000</v>
      </c>
      <c r="D633" s="5" t="n">
        <v>4330752000</v>
      </c>
      <c r="E633" s="5" t="n">
        <v>35480539000</v>
      </c>
      <c r="F633" s="5" t="n">
        <v>37355521000</v>
      </c>
      <c r="G633" s="5" t="n">
        <v>3848069000</v>
      </c>
      <c r="H633" s="5" t="n">
        <v>35265734000</v>
      </c>
      <c r="I633" s="5" t="n">
        <v>4185672000</v>
      </c>
      <c r="J633" s="4" t="n">
        <v>11.47259998321533</v>
      </c>
      <c r="K633" s="4" t="n">
        <v>0.1220999956130981</v>
      </c>
      <c r="L633" s="4" t="n">
        <v>0.1030000001192093</v>
      </c>
      <c r="M633" t="inlineStr">
        <is>
          <t>성승현</t>
        </is>
      </c>
      <c r="N633" t="inlineStr">
        <is>
          <t>070-7430-8189</t>
        </is>
      </c>
      <c r="O633" t="inlineStr">
        <is>
          <t>070-7469-8189</t>
        </is>
      </c>
      <c r="P633" s="3" t="n"/>
      <c r="Q633" t="inlineStr">
        <is>
          <t>3358100623</t>
        </is>
      </c>
      <c r="R633" t="inlineStr">
        <is>
          <t>1101116307501</t>
        </is>
      </c>
      <c r="S633" t="inlineStr">
        <is>
          <t>대상아님</t>
        </is>
      </c>
      <c r="T633" t="inlineStr">
        <is>
          <t>일반법인</t>
        </is>
      </c>
      <c r="U633" t="inlineStr">
        <is>
          <t>중소기업</t>
        </is>
      </c>
      <c r="V633" t="inlineStr">
        <is>
          <t>외부감사대상</t>
        </is>
      </c>
      <c r="W633" s="6" t="inlineStr">
        <is>
          <t>2017-02-03</t>
        </is>
      </c>
      <c r="X633" t="inlineStr">
        <is>
          <t>KRI:10G4669900</t>
        </is>
      </c>
      <c r="Y633" t="inlineStr">
        <is>
          <t>그 외 기타 건축자재 도매업</t>
        </is>
      </c>
      <c r="Z633" t="inlineStr">
        <is>
          <t>건축자재,염전바닥재타일 도소매,무역</t>
        </is>
      </c>
      <c r="AA633" t="inlineStr">
        <is>
          <t>서울 강남구 논현동 151-10번지 1층, 2층</t>
        </is>
      </c>
      <c r="AB633" t="inlineStr">
        <is>
          <t>서울 강남구 논현로123길 13, 1층, 2층</t>
        </is>
      </c>
    </row>
    <row r="634" ht="19.2" customHeight="1" s="1">
      <c r="A634" t="inlineStr">
        <is>
          <t>NICE:448274</t>
        </is>
      </c>
      <c r="B634" t="inlineStr">
        <is>
          <t>씨에이치디</t>
        </is>
      </c>
      <c r="C634" s="5" t="n">
        <v>22232886000</v>
      </c>
      <c r="D634" s="5" t="n">
        <v>4735349000</v>
      </c>
      <c r="E634" s="5" t="n">
        <v>17497537000</v>
      </c>
      <c r="F634" s="5" t="n">
        <v>44901710000</v>
      </c>
      <c r="G634" s="5" t="n">
        <v>5358696000</v>
      </c>
      <c r="H634" s="5" t="n">
        <v>41531475000</v>
      </c>
      <c r="I634" s="5" t="n">
        <v>5698698000</v>
      </c>
      <c r="J634" s="4" t="n">
        <v>4.772600173950195</v>
      </c>
      <c r="K634" s="4" t="n">
        <v>0.2705999910831451</v>
      </c>
      <c r="L634" s="4" t="n">
        <v>0.1193000003695488</v>
      </c>
      <c r="M634" t="inlineStr">
        <is>
          <t>서락원</t>
        </is>
      </c>
      <c r="N634" t="inlineStr">
        <is>
          <t>070-4035-8489</t>
        </is>
      </c>
      <c r="O634" t="inlineStr">
        <is>
          <t>031-976-7750</t>
        </is>
      </c>
      <c r="P634" s="3">
        <f>HYPERLINK("http://www.chdmedics.com", "http://www.chdmedics.com")</f>
        <v/>
      </c>
      <c r="Q634" t="inlineStr">
        <is>
          <t>1178144722</t>
        </is>
      </c>
      <c r="R634" t="inlineStr">
        <is>
          <t>1101112743973</t>
        </is>
      </c>
      <c r="S634" t="inlineStr">
        <is>
          <t>대상아님</t>
        </is>
      </c>
      <c r="T634" t="inlineStr">
        <is>
          <t>일반법인</t>
        </is>
      </c>
      <c r="U634" t="inlineStr">
        <is>
          <t>중소기업</t>
        </is>
      </c>
      <c r="V634" t="inlineStr">
        <is>
          <t>외부감사대상</t>
        </is>
      </c>
      <c r="W634" s="6" t="inlineStr">
        <is>
          <t>2003-03-24</t>
        </is>
      </c>
      <c r="X634" t="inlineStr">
        <is>
          <t>KRI:10C2042300</t>
        </is>
      </c>
      <c r="Y634" t="inlineStr">
        <is>
          <t>화장품 제조업</t>
        </is>
      </c>
      <c r="Z634" t="inlineStr">
        <is>
          <t>화장품 제조/반려동물처방식사료,간식,동물의약품,의약외품 제조,도소매</t>
        </is>
      </c>
      <c r="AA634" t="inlineStr">
        <is>
          <t>경기 고양시 일산동구 중산동 1682번지 대방트리플라온비즈니스타워 C동 506호</t>
        </is>
      </c>
      <c r="AB634" t="inlineStr">
        <is>
          <t>경기 고양시 일산동구 하늘마을로 158, C동 506호 (중산동,대방트리플라온비즈니스타워)</t>
        </is>
      </c>
    </row>
    <row r="635" ht="19.2" customHeight="1" s="1">
      <c r="A635" t="inlineStr">
        <is>
          <t>NICE:376535</t>
        </is>
      </c>
      <c r="B635" t="inlineStr">
        <is>
          <t>와이에스피전자</t>
        </is>
      </c>
      <c r="C635" s="5" t="n">
        <v>18177263000</v>
      </c>
      <c r="D635" s="5" t="n">
        <v>12369994000</v>
      </c>
      <c r="E635" s="5" t="n">
        <v>5807270000</v>
      </c>
      <c r="F635" s="5" t="n">
        <v>20229915000</v>
      </c>
      <c r="G635" s="5" t="n">
        <v>2518430000</v>
      </c>
      <c r="H635" s="5" t="n">
        <v>19766284000</v>
      </c>
      <c r="I635" s="5" t="n">
        <v>2259222000</v>
      </c>
      <c r="J635" s="4" t="n">
        <v>0.9704999923706055</v>
      </c>
      <c r="K635" s="4" t="n">
        <v>2.130100011825562</v>
      </c>
      <c r="L635" s="4" t="n">
        <v>0.124499998986721</v>
      </c>
      <c r="M635" t="inlineStr">
        <is>
          <t>전학수</t>
        </is>
      </c>
      <c r="N635" t="inlineStr">
        <is>
          <t>031-883-7095</t>
        </is>
      </c>
      <c r="O635" t="inlineStr">
        <is>
          <t>031-883-7098</t>
        </is>
      </c>
      <c r="P635" s="3" t="n"/>
      <c r="Q635" t="inlineStr">
        <is>
          <t>1268176169</t>
        </is>
      </c>
      <c r="R635" t="inlineStr">
        <is>
          <t>1312110018412</t>
        </is>
      </c>
      <c r="S635" t="inlineStr">
        <is>
          <t>대상아님</t>
        </is>
      </c>
      <c r="T635" t="inlineStr">
        <is>
          <t>일반법인</t>
        </is>
      </c>
      <c r="U635" t="inlineStr">
        <is>
          <t>중소기업</t>
        </is>
      </c>
      <c r="V635" t="inlineStr">
        <is>
          <t>외부감사대상</t>
        </is>
      </c>
      <c r="W635" s="6" t="inlineStr">
        <is>
          <t>2001-05-01</t>
        </is>
      </c>
      <c r="X635" t="inlineStr">
        <is>
          <t>KRI:10C2652100</t>
        </is>
      </c>
      <c r="Y635" t="inlineStr">
        <is>
          <t>라디오, 녹음 및 재생 기기 제조업</t>
        </is>
      </c>
      <c r="Z635" t="inlineStr">
        <is>
          <t>전자제품(자동차오디오),부품 제조,가공/무역/부동산 임대</t>
        </is>
      </c>
      <c r="AA635" t="inlineStr">
        <is>
          <t>경기 여주시 가남읍 삼군리 358-3번지</t>
        </is>
      </c>
      <c r="AB635" t="inlineStr">
        <is>
          <t>경기 여주시 가남읍 가남로 34</t>
        </is>
      </c>
    </row>
    <row r="636" ht="19.2" customHeight="1" s="1">
      <c r="A636" t="inlineStr">
        <is>
          <t>NICE:145903</t>
        </is>
      </c>
      <c r="B636" t="inlineStr">
        <is>
          <t>파워맥스</t>
        </is>
      </c>
      <c r="C636" s="5" t="n">
        <v>112932256000</v>
      </c>
      <c r="D636" s="5" t="n">
        <v>57018369000</v>
      </c>
      <c r="E636" s="5" t="n">
        <v>55913887000</v>
      </c>
      <c r="F636" s="5" t="n">
        <v>106705029000</v>
      </c>
      <c r="G636" s="5" t="n">
        <v>29542492000</v>
      </c>
      <c r="H636" s="5" t="n">
        <v>79761425000</v>
      </c>
      <c r="I636" s="5" t="n">
        <v>19355855000</v>
      </c>
      <c r="J636" s="4" t="n">
        <v>1.631399989128113</v>
      </c>
      <c r="K636" s="4" t="n">
        <v>1.019800066947937</v>
      </c>
      <c r="L636" s="4" t="n">
        <v>0.2768999934196472</v>
      </c>
      <c r="M636" t="inlineStr">
        <is>
          <t>박해인</t>
        </is>
      </c>
      <c r="N636" t="inlineStr">
        <is>
          <t>031-319-6291</t>
        </is>
      </c>
      <c r="O636" t="inlineStr">
        <is>
          <t>031-319-6308</t>
        </is>
      </c>
      <c r="P636" s="3">
        <f>HYPERLINK("http://www.powermaxkorea.co.kr", "http://www.powermaxkorea.co.kr")</f>
        <v/>
      </c>
      <c r="Q636" t="inlineStr">
        <is>
          <t>1218135144</t>
        </is>
      </c>
      <c r="R636" t="inlineStr">
        <is>
          <t>1201110208969</t>
        </is>
      </c>
      <c r="S636" t="inlineStr">
        <is>
          <t>대상아님</t>
        </is>
      </c>
      <c r="T636" t="inlineStr">
        <is>
          <t>일반법인</t>
        </is>
      </c>
      <c r="U636" t="inlineStr">
        <is>
          <t>중소기업</t>
        </is>
      </c>
      <c r="V636" t="inlineStr">
        <is>
          <t>외부감사대상</t>
        </is>
      </c>
      <c r="W636" s="6" t="inlineStr">
        <is>
          <t>1999-12-17</t>
        </is>
      </c>
      <c r="X636" t="inlineStr">
        <is>
          <t>KRI:10C2811200</t>
        </is>
      </c>
      <c r="Y636" t="inlineStr">
        <is>
          <t>변압기 제조업</t>
        </is>
      </c>
      <c r="Z636" t="inlineStr">
        <is>
          <t>변압기,발전기 제조/전기공사/부동산 임대</t>
        </is>
      </c>
      <c r="AA636" t="inlineStr">
        <is>
          <t>경기 시흥시 정왕동 1263-8번지</t>
        </is>
      </c>
      <c r="AB636" t="inlineStr">
        <is>
          <t>경기 시흥시 희망공원로 188</t>
        </is>
      </c>
    </row>
    <row r="637" ht="19.2" customHeight="1" s="1">
      <c r="A637" t="inlineStr">
        <is>
          <t>NICE:035334</t>
        </is>
      </c>
      <c r="B637" t="inlineStr">
        <is>
          <t>다무라케미컬코리아</t>
        </is>
      </c>
      <c r="C637" s="5" t="n">
        <v>37965361000</v>
      </c>
      <c r="D637" s="5" t="n">
        <v>11384121000</v>
      </c>
      <c r="E637" s="5" t="n">
        <v>26581239000</v>
      </c>
      <c r="F637" s="5" t="n">
        <v>49488174000</v>
      </c>
      <c r="G637" s="5" t="n">
        <v>5045700000</v>
      </c>
      <c r="H637" s="5" t="n">
        <v>42728157000</v>
      </c>
      <c r="I637" s="5" t="n">
        <v>4519725000</v>
      </c>
      <c r="J637" s="4" t="n">
        <v>2.728299856185913</v>
      </c>
      <c r="K637" s="4" t="n">
        <v>0.4283000230789185</v>
      </c>
      <c r="L637" s="4" t="n">
        <v>0.1019999980926514</v>
      </c>
      <c r="M637" t="inlineStr">
        <is>
          <t>김익성/소가요시하루</t>
        </is>
      </c>
      <c r="N637" t="inlineStr">
        <is>
          <t>031-676-2374</t>
        </is>
      </c>
      <c r="O637" t="inlineStr">
        <is>
          <t>031-674-4427</t>
        </is>
      </c>
      <c r="P637" s="3" t="n"/>
      <c r="Q637" t="inlineStr">
        <is>
          <t>1018121307</t>
        </is>
      </c>
      <c r="R637" t="inlineStr">
        <is>
          <t>1101110637326</t>
        </is>
      </c>
      <c r="S637" t="inlineStr">
        <is>
          <t>대상아님</t>
        </is>
      </c>
      <c r="T637" t="inlineStr">
        <is>
          <t>일반법인</t>
        </is>
      </c>
      <c r="U637" t="inlineStr">
        <is>
          <t>중견기업</t>
        </is>
      </c>
      <c r="V637" t="inlineStr">
        <is>
          <t>외부감사대상</t>
        </is>
      </c>
      <c r="W637" s="6" t="inlineStr">
        <is>
          <t>1989-07-06</t>
        </is>
      </c>
      <c r="X637" t="inlineStr">
        <is>
          <t>KRI:10C2011900</t>
        </is>
      </c>
      <c r="Y637" t="inlineStr">
        <is>
          <t>석탄화학계 화합물 및 기타 기초 유기 화학물질 제조업</t>
        </is>
      </c>
      <c r="Z637" t="inlineStr">
        <is>
          <t>전자재료(솔더페이스트,플럭스,프린트기판용재료),도전도료(PCB잉크),기계장치 제조,무역</t>
        </is>
      </c>
      <c r="AA637" t="inlineStr">
        <is>
          <t>경기 안성시 신건지동 58-3번지</t>
        </is>
      </c>
      <c r="AB637" t="inlineStr">
        <is>
          <t>경기 안성시 공단1로 98-22</t>
        </is>
      </c>
    </row>
    <row r="638" ht="19.2" customHeight="1" s="1">
      <c r="A638" t="inlineStr">
        <is>
          <t>NICE:763497</t>
        </is>
      </c>
      <c r="B638" t="inlineStr">
        <is>
          <t>제이미크론</t>
        </is>
      </c>
      <c r="C638" s="5" t="n">
        <v>24367762000</v>
      </c>
      <c r="D638" s="5" t="n">
        <v>5130617000</v>
      </c>
      <c r="E638" s="5" t="n">
        <v>19237145000</v>
      </c>
      <c r="F638" s="5" t="n">
        <v>35356783000</v>
      </c>
      <c r="G638" s="5" t="n">
        <v>4184190000</v>
      </c>
      <c r="H638" s="5" t="n">
        <v>28865040000</v>
      </c>
      <c r="I638" s="5" t="n">
        <v>3530075000</v>
      </c>
      <c r="J638" s="4" t="n">
        <v>2.050800085067749</v>
      </c>
      <c r="K638" s="4" t="n">
        <v>0.2666999995708466</v>
      </c>
      <c r="L638" s="4" t="n">
        <v>0.1182999983429909</v>
      </c>
      <c r="M638" t="inlineStr">
        <is>
          <t>황재익/황성민</t>
        </is>
      </c>
      <c r="N638" t="inlineStr">
        <is>
          <t>031-491-3001</t>
        </is>
      </c>
      <c r="O638" t="inlineStr">
        <is>
          <t>031-491-3005</t>
        </is>
      </c>
      <c r="P638" s="3">
        <f>HYPERLINK("http://www.j-micron.co.kr", "http://www.j-micron.co.kr")</f>
        <v/>
      </c>
      <c r="Q638" t="inlineStr">
        <is>
          <t>1398104583</t>
        </is>
      </c>
      <c r="R638" t="inlineStr">
        <is>
          <t>1201110052580</t>
        </is>
      </c>
      <c r="S638" t="inlineStr">
        <is>
          <t>대상아님</t>
        </is>
      </c>
      <c r="T638" t="inlineStr">
        <is>
          <t>일반법인</t>
        </is>
      </c>
      <c r="U638" t="inlineStr">
        <is>
          <t>중소기업</t>
        </is>
      </c>
      <c r="V638" t="inlineStr">
        <is>
          <t>외부감사대상</t>
        </is>
      </c>
      <c r="W638" s="6" t="inlineStr">
        <is>
          <t>1986-07-17</t>
        </is>
      </c>
      <c r="X638" t="inlineStr">
        <is>
          <t>KRI:10C2592200</t>
        </is>
      </c>
      <c r="Y638" t="inlineStr">
        <is>
          <t>도금업</t>
        </is>
      </c>
      <c r="Z638" t="inlineStr">
        <is>
          <t>도금,표면처리,전자부품,통신부품 제조</t>
        </is>
      </c>
      <c r="AA638" t="inlineStr">
        <is>
          <t>경기 안산시 단원구 신길동 1048-9번지</t>
        </is>
      </c>
      <c r="AB638" t="inlineStr">
        <is>
          <t>경기 안산시 단원구 해봉로273번길 12</t>
        </is>
      </c>
    </row>
    <row r="639" ht="19.2" customHeight="1" s="1">
      <c r="A639" t="inlineStr">
        <is>
          <t>NICE:715492</t>
        </is>
      </c>
      <c r="B639" t="inlineStr">
        <is>
          <t>한울생약</t>
        </is>
      </c>
      <c r="C639" s="5" t="n">
        <v>112463275000</v>
      </c>
      <c r="D639" s="5" t="n">
        <v>70304850000</v>
      </c>
      <c r="E639" s="5" t="n">
        <v>42158425000</v>
      </c>
      <c r="F639" s="5" t="n">
        <v>140556221000</v>
      </c>
      <c r="G639" s="5" t="n">
        <v>14297239000</v>
      </c>
      <c r="H639" s="5" t="n">
        <v>123101172000</v>
      </c>
      <c r="I639" s="5" t="n">
        <v>12111682000</v>
      </c>
      <c r="J639" s="4" t="n">
        <v>1.15690004825592</v>
      </c>
      <c r="K639" s="4" t="n">
        <v>1.66759991645813</v>
      </c>
      <c r="L639" s="4" t="n">
        <v>0.1017000004649162</v>
      </c>
      <c r="M639" t="inlineStr">
        <is>
          <t>한영돈/한종우</t>
        </is>
      </c>
      <c r="N639" t="inlineStr">
        <is>
          <t>031-944-0015</t>
        </is>
      </c>
      <c r="O639" t="inlineStr">
        <is>
          <t>031-944-8515</t>
        </is>
      </c>
      <c r="P639" s="3">
        <f>HYPERLINK("http://www.hanul.co.kr", "http://www.hanul.co.kr")</f>
        <v/>
      </c>
      <c r="Q639" t="inlineStr">
        <is>
          <t>1288110616</t>
        </is>
      </c>
      <c r="R639" t="inlineStr">
        <is>
          <t>1159110002031</t>
        </is>
      </c>
      <c r="S639" t="inlineStr">
        <is>
          <t>대상아님</t>
        </is>
      </c>
      <c r="T639" t="inlineStr">
        <is>
          <t>일반법인</t>
        </is>
      </c>
      <c r="U639" t="inlineStr">
        <is>
          <t>중소기업</t>
        </is>
      </c>
      <c r="V639" t="inlineStr">
        <is>
          <t>외부감사대상</t>
        </is>
      </c>
      <c r="W639" s="6" t="inlineStr">
        <is>
          <t>1991-08-09</t>
        </is>
      </c>
      <c r="X639" t="inlineStr">
        <is>
          <t>KRI:10C1790200</t>
        </is>
      </c>
      <c r="Y639" t="inlineStr">
        <is>
          <t>위생용 종이제품 제조업</t>
        </is>
      </c>
      <c r="Z639" t="inlineStr">
        <is>
          <t>위생용 종이제품(물티슈) 제조</t>
        </is>
      </c>
      <c r="AA639" t="inlineStr">
        <is>
          <t>경기 파주시 문산읍 선유리 1373-14번지</t>
        </is>
      </c>
      <c r="AB639" t="inlineStr">
        <is>
          <t>경기 파주시 문산읍 돈유2로 170</t>
        </is>
      </c>
    </row>
    <row r="640" ht="19.2" customHeight="1" s="1">
      <c r="A640" t="inlineStr">
        <is>
          <t>NICE:I90721</t>
        </is>
      </c>
      <c r="B640" t="inlineStr">
        <is>
          <t>테이진리엘소트코리아</t>
        </is>
      </c>
      <c r="C640" s="5" t="n">
        <v>162749985000</v>
      </c>
      <c r="D640" s="5" t="n">
        <v>33770068000</v>
      </c>
      <c r="E640" s="5" t="n">
        <v>128979917000</v>
      </c>
      <c r="F640" s="5" t="n">
        <v>209037128000</v>
      </c>
      <c r="G640" s="5" t="n">
        <v>85413940000</v>
      </c>
      <c r="H640" s="5" t="n">
        <v>177708772000</v>
      </c>
      <c r="I640" s="5" t="n">
        <v>57887804000</v>
      </c>
      <c r="J640" s="4" t="n">
        <v>3.906799793243408</v>
      </c>
      <c r="K640" s="4" t="n">
        <v>0.2617999911308289</v>
      </c>
      <c r="L640" s="4" t="n">
        <v>0.4086000025272369</v>
      </c>
      <c r="M640" t="inlineStr">
        <is>
          <t>노노카와류지</t>
        </is>
      </c>
      <c r="N640" t="inlineStr">
        <is>
          <t>041-420-2401</t>
        </is>
      </c>
      <c r="O640" t="inlineStr">
        <is>
          <t>041-420-2499</t>
        </is>
      </c>
      <c r="P640" s="3" t="n"/>
      <c r="Q640" t="inlineStr">
        <is>
          <t>3128632485</t>
        </is>
      </c>
      <c r="R640" t="inlineStr">
        <is>
          <t>1648110062509</t>
        </is>
      </c>
      <c r="S640" t="inlineStr">
        <is>
          <t>대상아님</t>
        </is>
      </c>
      <c r="T640" t="inlineStr">
        <is>
          <t>일반법인</t>
        </is>
      </c>
      <c r="U640" t="inlineStr">
        <is>
          <t>중견기업</t>
        </is>
      </c>
      <c r="V640" t="inlineStr">
        <is>
          <t>외부감사대상</t>
        </is>
      </c>
      <c r="W640" s="6" t="inlineStr">
        <is>
          <t>2011-10-31</t>
        </is>
      </c>
      <c r="X640" t="inlineStr">
        <is>
          <t>KRI:10C2820200</t>
        </is>
      </c>
      <c r="Y640" t="inlineStr">
        <is>
          <t>축전지 제조업</t>
        </is>
      </c>
      <c r="Z640" t="inlineStr">
        <is>
          <t>리튬이온2차전지용분리막 제조</t>
        </is>
      </c>
      <c r="AA640" t="inlineStr">
        <is>
          <t>충남 아산시 둔포면 송용리 49-6번지</t>
        </is>
      </c>
      <c r="AB640" t="inlineStr">
        <is>
          <t>충남 아산시 둔포면 윤보선로450번길 95-75</t>
        </is>
      </c>
    </row>
    <row r="641" s="1">
      <c r="A641" t="inlineStr">
        <is>
          <t>NICE:189763</t>
        </is>
      </c>
      <c r="B641" t="inlineStr">
        <is>
          <t>중앙종합건설</t>
        </is>
      </c>
      <c r="C641" s="5" t="n">
        <v>91732476000</v>
      </c>
      <c r="D641" s="5" t="n">
        <v>48355441000</v>
      </c>
      <c r="E641" s="5" t="n">
        <v>43377035000</v>
      </c>
      <c r="F641" s="5" t="n">
        <v>43193509000</v>
      </c>
      <c r="G641" s="5" t="n">
        <v>8511361000</v>
      </c>
      <c r="H641" s="5" t="n">
        <v>44786834000</v>
      </c>
      <c r="I641" s="5" t="n">
        <v>8490777000</v>
      </c>
      <c r="J641" s="4" t="n">
        <v>2.107700109481812</v>
      </c>
      <c r="K641" s="4" t="n">
        <v>1.114799976348877</v>
      </c>
      <c r="L641" s="4" t="n">
        <v>0.1970999836921692</v>
      </c>
      <c r="M641" t="inlineStr">
        <is>
          <t>조병호/조영균</t>
        </is>
      </c>
      <c r="N641" t="inlineStr">
        <is>
          <t>031-723-0500</t>
        </is>
      </c>
      <c r="O641" t="inlineStr">
        <is>
          <t>031-723-0504</t>
        </is>
      </c>
      <c r="P641">
        <f>HYPERLINK("http://www.joong-ang.co.kr/", "http://www.joong-ang.co.kr/")</f>
        <v/>
      </c>
      <c r="Q641" t="inlineStr">
        <is>
          <t>1298127503</t>
        </is>
      </c>
      <c r="R641" t="inlineStr">
        <is>
          <t>1311110037919</t>
        </is>
      </c>
      <c r="S641" t="inlineStr">
        <is>
          <t>대상아님</t>
        </is>
      </c>
      <c r="T641" t="inlineStr">
        <is>
          <t>일반법인</t>
        </is>
      </c>
      <c r="U641" t="inlineStr">
        <is>
          <t>중소기업</t>
        </is>
      </c>
      <c r="V641" t="inlineStr">
        <is>
          <t>외부감사대상</t>
        </is>
      </c>
      <c r="W641" s="6" t="inlineStr">
        <is>
          <t>1999-02-23</t>
        </is>
      </c>
      <c r="X641" t="inlineStr">
        <is>
          <t>KRI:10F4122000</t>
        </is>
      </c>
      <c r="Y641" t="inlineStr">
        <is>
          <t>토목시설물 건설업</t>
        </is>
      </c>
      <c r="Z641" t="inlineStr">
        <is>
          <t>토목공사,건축공사,주택공사/부동산 임대,건물관리</t>
        </is>
      </c>
      <c r="AA641" t="inlineStr">
        <is>
          <t>경기 성남시 중원구 상대원동 171번지 중앙이노테크 B동 208호</t>
        </is>
      </c>
      <c r="AB641" t="inlineStr">
        <is>
          <t>경기 성남시 중원구 사기막골로 148, 비208호 (상대원동,중앙이노테크)</t>
        </is>
      </c>
    </row>
    <row r="642" ht="19.2" customHeight="1" s="1">
      <c r="A642" t="inlineStr">
        <is>
          <t>NICE:J09851</t>
        </is>
      </c>
      <c r="B642" t="inlineStr">
        <is>
          <t>토와한국</t>
        </is>
      </c>
      <c r="C642" s="5" t="n">
        <v>80510201000</v>
      </c>
      <c r="D642" s="5" t="n">
        <v>6861369000</v>
      </c>
      <c r="E642" s="5" t="n">
        <v>73648832000</v>
      </c>
      <c r="F642" s="5" t="n">
        <v>55353136000</v>
      </c>
      <c r="G642" s="5" t="n">
        <v>14488882000</v>
      </c>
      <c r="H642" s="5" t="n">
        <v>55818919000</v>
      </c>
      <c r="I642" s="5" t="n">
        <v>13796151000</v>
      </c>
      <c r="J642" s="4" t="n">
        <v>7.064899921417236</v>
      </c>
      <c r="K642" s="4" t="n">
        <v>0.09319999814033508</v>
      </c>
      <c r="L642" s="4" t="n">
        <v>0.2617999911308289</v>
      </c>
      <c r="M642" t="inlineStr">
        <is>
          <t>한상윤</t>
        </is>
      </c>
      <c r="N642" t="inlineStr">
        <is>
          <t>02-784-0256</t>
        </is>
      </c>
      <c r="O642" t="inlineStr">
        <is>
          <t>02-784-0257</t>
        </is>
      </c>
      <c r="P642" s="3" t="n"/>
      <c r="Q642" t="inlineStr">
        <is>
          <t>1078791666</t>
        </is>
      </c>
      <c r="R642" t="inlineStr">
        <is>
          <t>1101115107655</t>
        </is>
      </c>
      <c r="S642" t="inlineStr">
        <is>
          <t>대상아님</t>
        </is>
      </c>
      <c r="T642" t="inlineStr">
        <is>
          <t>일반법인</t>
        </is>
      </c>
      <c r="U642" t="inlineStr">
        <is>
          <t>중견기업</t>
        </is>
      </c>
      <c r="V642" t="inlineStr">
        <is>
          <t>외부감사대상</t>
        </is>
      </c>
      <c r="W642" s="6" t="inlineStr">
        <is>
          <t>2013-04-08</t>
        </is>
      </c>
      <c r="X642" t="inlineStr">
        <is>
          <t>KRI:10C2929400</t>
        </is>
      </c>
      <c r="Y642" t="inlineStr">
        <is>
          <t>주형 및 금형 제조업</t>
        </is>
      </c>
      <c r="Z642" t="inlineStr">
        <is>
          <t>주형,기계장치 제조/무역대리</t>
        </is>
      </c>
      <c r="AA642" t="inlineStr">
        <is>
          <t>서울 강남구 논현동 202-9번지 리체힐 신논현오피스텔 에이동 302호,301호</t>
        </is>
      </c>
      <c r="AB642" t="inlineStr">
        <is>
          <t>서울 강남구 봉은사로 123, 에이동 302호,301호 (논현동,리체힐 신논현오피스텔)</t>
        </is>
      </c>
    </row>
    <row r="643" s="1">
      <c r="A643" t="inlineStr">
        <is>
          <t>NICE:JR6338</t>
        </is>
      </c>
      <c r="B643" t="inlineStr">
        <is>
          <t>우진미트</t>
        </is>
      </c>
      <c r="C643" s="5" t="n">
        <v>74526052000</v>
      </c>
      <c r="D643" s="5" t="n">
        <v>20573447000</v>
      </c>
      <c r="E643" s="5" t="n">
        <v>53952605000</v>
      </c>
      <c r="F643" s="5" t="n">
        <v>164432751000</v>
      </c>
      <c r="G643" s="5" t="n">
        <v>17380905000</v>
      </c>
      <c r="H643" s="5" t="n">
        <v>142520124000</v>
      </c>
      <c r="I643" s="5" t="n">
        <v>12408215000</v>
      </c>
      <c r="J643" s="4" t="n">
        <v>6.28380012512207</v>
      </c>
      <c r="K643" s="4" t="n">
        <v>0.3813000023365021</v>
      </c>
      <c r="L643" s="4" t="n">
        <v>0.1056999936699867</v>
      </c>
      <c r="M643" t="inlineStr">
        <is>
          <t>김홍수</t>
        </is>
      </c>
      <c r="N643" t="inlineStr">
        <is>
          <t>031-287-4486</t>
        </is>
      </c>
      <c r="O643" t="inlineStr">
        <is>
          <t>031-287-4490</t>
        </is>
      </c>
      <c r="P643">
        <f>HYPERLINK("http://www.woojinmeat.com", "http://www.woojinmeat.com")</f>
        <v/>
      </c>
      <c r="Q643" t="inlineStr">
        <is>
          <t>5398101388</t>
        </is>
      </c>
      <c r="R643" t="inlineStr">
        <is>
          <t>1311140010448</t>
        </is>
      </c>
      <c r="S643" t="inlineStr">
        <is>
          <t>대상아님</t>
        </is>
      </c>
      <c r="T643" t="inlineStr">
        <is>
          <t>일반법인</t>
        </is>
      </c>
      <c r="U643" t="inlineStr">
        <is>
          <t>중소기업</t>
        </is>
      </c>
      <c r="V643" t="inlineStr">
        <is>
          <t>외부감사대상</t>
        </is>
      </c>
      <c r="W643" s="6" t="inlineStr">
        <is>
          <t>2019-07-19</t>
        </is>
      </c>
      <c r="X643" t="inlineStr">
        <is>
          <t>KRI:10G4631300</t>
        </is>
      </c>
      <c r="Y643" t="inlineStr">
        <is>
          <t>육류 도매업</t>
        </is>
      </c>
      <c r="Z643" t="inlineStr">
        <is>
          <t>축산물,가공축산물 도소매/전자상거래/구매 대행</t>
        </is>
      </c>
      <c r="AA643" t="inlineStr">
        <is>
          <t>경기 용인시 기흥구 고매동 365-20번지 201호</t>
        </is>
      </c>
      <c r="AB643" t="inlineStr">
        <is>
          <t>경기 용인시 기흥구 기흥단지로141번길 28, 201호</t>
        </is>
      </c>
    </row>
    <row r="644" ht="19.2" customHeight="1" s="1">
      <c r="A644" t="inlineStr">
        <is>
          <t>NICE:691332</t>
        </is>
      </c>
      <c r="B644" t="inlineStr">
        <is>
          <t>아주뉴스코퍼레이션</t>
        </is>
      </c>
      <c r="C644" s="5" t="n">
        <v>49495499000</v>
      </c>
      <c r="D644" s="5" t="n">
        <v>5095606000</v>
      </c>
      <c r="E644" s="5" t="n">
        <v>44399892000</v>
      </c>
      <c r="F644" s="5" t="n">
        <v>29963013000</v>
      </c>
      <c r="G644" s="5" t="n">
        <v>4228135000</v>
      </c>
      <c r="H644" s="5" t="n">
        <v>71351441000</v>
      </c>
      <c r="I644" s="5" t="n">
        <v>8070491000</v>
      </c>
      <c r="J644" s="4" t="n">
        <v>8.636300086975098</v>
      </c>
      <c r="K644" s="4" t="n">
        <v>0.1147999912500381</v>
      </c>
      <c r="L644" s="4" t="n">
        <v>0.1410999894142151</v>
      </c>
      <c r="M644" t="inlineStr">
        <is>
          <t>곽영길</t>
        </is>
      </c>
      <c r="N644" t="inlineStr">
        <is>
          <t>02-767-1500</t>
        </is>
      </c>
      <c r="O644" t="inlineStr">
        <is>
          <t>02-767-1589</t>
        </is>
      </c>
      <c r="P644" s="3">
        <f>HYPERLINK("http://www.ajunews.com", "http://www.ajunews.com")</f>
        <v/>
      </c>
      <c r="Q644" t="inlineStr">
        <is>
          <t>1048610221</t>
        </is>
      </c>
      <c r="R644" t="inlineStr">
        <is>
          <t>1101113753525</t>
        </is>
      </c>
      <c r="S644" t="inlineStr">
        <is>
          <t>대상아님</t>
        </is>
      </c>
      <c r="T644" t="inlineStr">
        <is>
          <t>일반법인</t>
        </is>
      </c>
      <c r="U644" t="inlineStr">
        <is>
          <t>중소기업</t>
        </is>
      </c>
      <c r="V644" t="inlineStr">
        <is>
          <t>외부감사대상</t>
        </is>
      </c>
      <c r="W644" s="6" t="inlineStr">
        <is>
          <t>2007-09-12</t>
        </is>
      </c>
      <c r="X644" t="inlineStr">
        <is>
          <t>KRI:10J5812100</t>
        </is>
      </c>
      <c r="Y644" t="inlineStr">
        <is>
          <t>신문 발행업</t>
        </is>
      </c>
      <c r="Z644" t="inlineStr">
        <is>
          <t>신문 발행/주택신축 판매/소프트웨어 개발,온라인정보통신,컨설팅</t>
        </is>
      </c>
      <c r="AA644" t="inlineStr">
        <is>
          <t>서울 종로구 수송동 146-1번지 이마빌딩 11층</t>
        </is>
      </c>
      <c r="AB644" t="inlineStr">
        <is>
          <t>서울 종로구 종로1길 42, 11층 (수송동,이마빌딩)</t>
        </is>
      </c>
    </row>
    <row r="645" ht="19.2" customHeight="1" s="1">
      <c r="A645" t="inlineStr">
        <is>
          <t>NICE:295572</t>
        </is>
      </c>
      <c r="B645" t="inlineStr">
        <is>
          <t>동인종합건설</t>
        </is>
      </c>
      <c r="C645" s="5" t="n">
        <v>54912262000</v>
      </c>
      <c r="D645" s="5" t="n">
        <v>19756636000</v>
      </c>
      <c r="E645" s="5" t="n">
        <v>35155626000</v>
      </c>
      <c r="F645" s="5" t="n">
        <v>113980908000</v>
      </c>
      <c r="G645" s="5" t="n">
        <v>12831904000</v>
      </c>
      <c r="H645" s="5" t="n">
        <v>179397868000</v>
      </c>
      <c r="I645" s="5" t="n">
        <v>12166152000</v>
      </c>
      <c r="J645" s="4" t="n">
        <v>2.403500080108643</v>
      </c>
      <c r="K645" s="4" t="n">
        <v>0.5619999766349792</v>
      </c>
      <c r="L645" s="4" t="n">
        <v>0.1125999987125397</v>
      </c>
      <c r="M645" t="inlineStr">
        <is>
          <t>백종서</t>
        </is>
      </c>
      <c r="N645" t="inlineStr">
        <is>
          <t>02-844-0599</t>
        </is>
      </c>
      <c r="O645" t="inlineStr">
        <is>
          <t>02-844-0423</t>
        </is>
      </c>
      <c r="P645" s="3">
        <f>HYPERLINK("http://www.dong-in.co.kr", "http://www.dong-in.co.kr")</f>
        <v/>
      </c>
      <c r="Q645" t="inlineStr">
        <is>
          <t>1088160510</t>
        </is>
      </c>
      <c r="R645" t="inlineStr">
        <is>
          <t>1101112781410</t>
        </is>
      </c>
      <c r="S645" t="inlineStr">
        <is>
          <t>대상아님</t>
        </is>
      </c>
      <c r="T645" t="inlineStr">
        <is>
          <t>일반법인</t>
        </is>
      </c>
      <c r="U645" t="inlineStr">
        <is>
          <t>중견기업</t>
        </is>
      </c>
      <c r="V645" t="inlineStr">
        <is>
          <t>외부감사대상</t>
        </is>
      </c>
      <c r="W645" s="6" t="inlineStr">
        <is>
          <t>2003-05-17</t>
        </is>
      </c>
      <c r="X645" t="inlineStr">
        <is>
          <t>KRI:10F4110000</t>
        </is>
      </c>
      <c r="Y645" t="inlineStr">
        <is>
          <t>건물 건설업</t>
        </is>
      </c>
      <c r="Z645" t="inlineStr">
        <is>
          <t>건축공사,토목공사,주택신축판매(건설)/자주식(기계식)주차설비 제조,설치,임대</t>
        </is>
      </c>
      <c r="AA645" t="inlineStr">
        <is>
          <t>서울 영등포구 영등포동7가 62-3번지 경수1996빌딩</t>
        </is>
      </c>
      <c r="AB645" t="inlineStr">
        <is>
          <t>서울 영등포구 국회대로 638 (영등포동7가,경수1996빌딩)</t>
        </is>
      </c>
    </row>
    <row r="646" ht="19.2" customHeight="1" s="1">
      <c r="A646" t="inlineStr">
        <is>
          <t>NICE:OS2554</t>
        </is>
      </c>
      <c r="B646" t="inlineStr">
        <is>
          <t>브라운앤드왓슨인터내셔널</t>
        </is>
      </c>
      <c r="C646" s="5" t="n">
        <v>46025155000</v>
      </c>
      <c r="D646" s="5" t="n">
        <v>21620151000</v>
      </c>
      <c r="E646" s="5" t="n">
        <v>24405004000</v>
      </c>
      <c r="F646" s="5" t="n">
        <v>45465138000</v>
      </c>
      <c r="G646" s="5" t="n">
        <v>7092330000</v>
      </c>
      <c r="H646" s="5" t="n">
        <v>43368149000</v>
      </c>
      <c r="I646" s="5" t="n">
        <v>8804258000</v>
      </c>
      <c r="J646" s="4" t="n">
        <v>1.825700044631958</v>
      </c>
      <c r="K646" s="4" t="n">
        <v>0.8858999609947205</v>
      </c>
      <c r="L646" s="4" t="n">
        <v>0.1560000032186508</v>
      </c>
      <c r="M646" t="inlineStr">
        <is>
          <t>이경욱</t>
        </is>
      </c>
      <c r="N646" t="inlineStr">
        <is>
          <t>1670-4813</t>
        </is>
      </c>
      <c r="O646" t="inlineStr">
        <is>
          <t>031-373-4817</t>
        </is>
      </c>
      <c r="P646" s="3">
        <f>HYPERLINK("http://brownwatson.co.kr", "http://brownwatson.co.kr")</f>
        <v/>
      </c>
      <c r="Q646" t="inlineStr">
        <is>
          <t>3738602180</t>
        </is>
      </c>
      <c r="R646" t="inlineStr">
        <is>
          <t>1101140285781</t>
        </is>
      </c>
      <c r="S646" t="inlineStr">
        <is>
          <t>대상아님</t>
        </is>
      </c>
      <c r="T646" t="inlineStr">
        <is>
          <t>일반법인</t>
        </is>
      </c>
      <c r="U646" t="inlineStr">
        <is>
          <t>중견기업</t>
        </is>
      </c>
      <c r="V646" t="inlineStr">
        <is>
          <t>외부감사대상</t>
        </is>
      </c>
      <c r="W646" s="6" t="inlineStr">
        <is>
          <t>2021-11-04</t>
        </is>
      </c>
      <c r="X646" t="inlineStr">
        <is>
          <t>KRI:10C2842200</t>
        </is>
      </c>
      <c r="Y646" t="inlineStr">
        <is>
          <t>일반용 전기 조명장치 제조업</t>
        </is>
      </c>
      <c r="Z646" t="inlineStr">
        <is>
          <t>LED조명기구 제조</t>
        </is>
      </c>
      <c r="AA646" t="inlineStr">
        <is>
          <t>경기 화성시 동탄구 방교동 825-3번지</t>
        </is>
      </c>
      <c r="AB646" t="inlineStr">
        <is>
          <t>경기 화성시 동탄구 동탄산단9길 23-7</t>
        </is>
      </c>
    </row>
    <row r="647" ht="19.2" customHeight="1" s="1">
      <c r="A647" t="inlineStr">
        <is>
          <t>NICE:487820</t>
        </is>
      </c>
      <c r="B647" t="inlineStr">
        <is>
          <t>해커스어학연구소</t>
        </is>
      </c>
      <c r="C647" s="5" t="n">
        <v>182478546000</v>
      </c>
      <c r="D647" s="5" t="n">
        <v>72425542000</v>
      </c>
      <c r="E647" s="5" t="n">
        <v>110053004000</v>
      </c>
      <c r="F647" s="5" t="n">
        <v>27852911000</v>
      </c>
      <c r="G647" s="5" t="n">
        <v>9447391000</v>
      </c>
      <c r="H647" s="5" t="n">
        <v>26072279000</v>
      </c>
      <c r="I647" s="5" t="n">
        <v>7500187000</v>
      </c>
      <c r="J647" s="4" t="n">
        <v>2.4096999168396</v>
      </c>
      <c r="K647" s="4" t="n">
        <v>0.6580999493598938</v>
      </c>
      <c r="L647" s="4" t="n">
        <v>0.339199960231781</v>
      </c>
      <c r="M647" t="inlineStr">
        <is>
          <t>박영진</t>
        </is>
      </c>
      <c r="N647" t="inlineStr">
        <is>
          <t>02-534-2580</t>
        </is>
      </c>
      <c r="O647" t="inlineStr">
        <is>
          <t>02-563-0622</t>
        </is>
      </c>
      <c r="P647" s="3">
        <f>HYPERLINK("http://www.hackers.co.kr", "http://www.hackers.co.kr")</f>
        <v/>
      </c>
      <c r="Q647" t="inlineStr">
        <is>
          <t>1208669665</t>
        </is>
      </c>
      <c r="R647" t="inlineStr">
        <is>
          <t>1101113040948</t>
        </is>
      </c>
      <c r="S647" t="inlineStr">
        <is>
          <t>대상아님</t>
        </is>
      </c>
      <c r="T647" t="inlineStr">
        <is>
          <t>일반법인</t>
        </is>
      </c>
      <c r="U647" t="inlineStr">
        <is>
          <t>중소기업</t>
        </is>
      </c>
      <c r="V647" t="inlineStr">
        <is>
          <t>외부감사대상</t>
        </is>
      </c>
      <c r="W647" s="6" t="inlineStr">
        <is>
          <t>2004-07-01</t>
        </is>
      </c>
      <c r="X647" t="inlineStr">
        <is>
          <t>KRI:10J5811100</t>
        </is>
      </c>
      <c r="Y647" t="inlineStr">
        <is>
          <t>교과서 및 학습서적 출판업</t>
        </is>
      </c>
      <c r="Z647" t="inlineStr">
        <is>
          <t>교육교재 출판/서적 도소매/어플리케이션 개발,판매,컨텐츠제공</t>
        </is>
      </c>
      <c r="AA647" t="inlineStr">
        <is>
          <t>서울 서초구 서초동 1316-15번지 202호</t>
        </is>
      </c>
      <c r="AB647" t="inlineStr">
        <is>
          <t>서울 서초구 강남대로61길 23, 202호</t>
        </is>
      </c>
    </row>
    <row r="648" ht="19.2" customHeight="1" s="1">
      <c r="A648" t="inlineStr">
        <is>
          <t>NICE:JS0773</t>
        </is>
      </c>
      <c r="B648" t="inlineStr">
        <is>
          <t>인천계양효성피에프브이</t>
        </is>
      </c>
      <c r="C648" s="5" t="n">
        <v>53308622000</v>
      </c>
      <c r="D648" s="5" t="n">
        <v>2551765000</v>
      </c>
      <c r="E648" s="5" t="n">
        <v>50756858000</v>
      </c>
      <c r="F648" s="5" t="n">
        <v>291330050000</v>
      </c>
      <c r="G648" s="5" t="n">
        <v>45218663000</v>
      </c>
      <c r="H648" s="5" t="n">
        <v>284227890000</v>
      </c>
      <c r="I648" s="5" t="n">
        <v>53763712000</v>
      </c>
      <c r="J648" s="4" t="n">
        <v>20.89049911499023</v>
      </c>
      <c r="K648" s="4" t="n">
        <v>0.0503000020980835</v>
      </c>
      <c r="L648" s="4" t="n">
        <v>0.1552000045776367</v>
      </c>
      <c r="M648" t="inlineStr">
        <is>
          <t>김경수</t>
        </is>
      </c>
      <c r="N648" t="inlineStr">
        <is>
          <t>062-607-5512</t>
        </is>
      </c>
      <c r="O648" t="inlineStr">
        <is>
          <t>062-234-3104</t>
        </is>
      </c>
      <c r="P648" s="3" t="n"/>
      <c r="Q648" t="inlineStr">
        <is>
          <t>2048701238</t>
        </is>
      </c>
      <c r="R648" t="inlineStr">
        <is>
          <t>2001110569827</t>
        </is>
      </c>
      <c r="S648" t="inlineStr">
        <is>
          <t>대상아님</t>
        </is>
      </c>
      <c r="T648" t="inlineStr">
        <is>
          <t>일반법인</t>
        </is>
      </c>
      <c r="U648" t="inlineStr">
        <is>
          <t>중견기업</t>
        </is>
      </c>
      <c r="V648" t="inlineStr">
        <is>
          <t>외부감사대상</t>
        </is>
      </c>
      <c r="W648" s="6" t="inlineStr">
        <is>
          <t>2019-08-01</t>
        </is>
      </c>
      <c r="X648" t="inlineStr">
        <is>
          <t>KRI:10L6812100</t>
        </is>
      </c>
      <c r="Y648" t="inlineStr">
        <is>
          <t>주거용 건물 개발 및 공급업</t>
        </is>
      </c>
      <c r="Z648" t="inlineStr">
        <is>
          <t>주택신축분양/부동산 개발,공급,매매,임대</t>
        </is>
      </c>
      <c r="AA648" t="inlineStr">
        <is>
          <t>광주 동구 수기동 23-2번지 제일오피스텔 102호</t>
        </is>
      </c>
      <c r="AB648" t="inlineStr">
        <is>
          <t>광주 동구 천변우로 339, 102호 (수기동,제일오피스텔)</t>
        </is>
      </c>
    </row>
    <row r="649" ht="19.2" customHeight="1" s="1">
      <c r="A649" t="inlineStr">
        <is>
          <t>NICE:LF2921</t>
        </is>
      </c>
      <c r="B649" t="inlineStr">
        <is>
          <t>애경스페셜티</t>
        </is>
      </c>
      <c r="C649" s="5" t="n">
        <v>117679458000</v>
      </c>
      <c r="D649" s="5" t="n">
        <v>23797781000</v>
      </c>
      <c r="E649" s="5" t="n">
        <v>93881677000</v>
      </c>
      <c r="F649" s="5" t="n">
        <v>101153518000</v>
      </c>
      <c r="G649" s="5" t="n">
        <v>13092846000</v>
      </c>
      <c r="H649" s="5" t="n">
        <v>84438782000</v>
      </c>
      <c r="I649" s="5" t="n">
        <v>10474935000</v>
      </c>
      <c r="J649" s="4" t="n">
        <v>2.923999786376953</v>
      </c>
      <c r="K649" s="4" t="n">
        <v>0.2534999847412109</v>
      </c>
      <c r="L649" s="4" t="n">
        <v>0.1293999999761581</v>
      </c>
      <c r="M649" t="inlineStr">
        <is>
          <t>박태한</t>
        </is>
      </c>
      <c r="N649" t="inlineStr">
        <is>
          <t>031-488-4678</t>
        </is>
      </c>
      <c r="O649" t="inlineStr">
        <is>
          <t>031-498-6068</t>
        </is>
      </c>
      <c r="P649" s="3">
        <f>HYPERLINK("https://aekyungspecialty.com", "https://aekyungspecialty.com")</f>
        <v/>
      </c>
      <c r="Q649" t="inlineStr">
        <is>
          <t>1188123128</t>
        </is>
      </c>
      <c r="R649" t="inlineStr">
        <is>
          <t>1101117474375</t>
        </is>
      </c>
      <c r="S649" t="inlineStr">
        <is>
          <t>대상아님</t>
        </is>
      </c>
      <c r="T649" t="inlineStr">
        <is>
          <t>일반법인</t>
        </is>
      </c>
      <c r="U649" t="inlineStr">
        <is>
          <t>중견기업</t>
        </is>
      </c>
      <c r="V649" t="inlineStr">
        <is>
          <t>외부감사대상</t>
        </is>
      </c>
      <c r="W649" s="6" t="inlineStr">
        <is>
          <t>2020-05-01</t>
        </is>
      </c>
      <c r="X649" t="inlineStr">
        <is>
          <t>KRI:10C2041100</t>
        </is>
      </c>
      <c r="Y649" t="inlineStr">
        <is>
          <t>일반용 도료 및 관련제품 제조업</t>
        </is>
      </c>
      <c r="Z649" t="inlineStr">
        <is>
          <t>일반용도료,관련제품 제조/염료,안료,관련제품 도소매</t>
        </is>
      </c>
      <c r="AA649" t="inlineStr">
        <is>
          <t>경기 시흥시 정왕동 1251-4번지</t>
        </is>
      </c>
      <c r="AB649" t="inlineStr">
        <is>
          <t>경기 시흥시 옥구천서로 169</t>
        </is>
      </c>
    </row>
    <row r="650" s="1">
      <c r="A650" t="inlineStr">
        <is>
          <t>NICE:L61439</t>
        </is>
      </c>
      <c r="B650" t="inlineStr">
        <is>
          <t>성진기업</t>
        </is>
      </c>
      <c r="C650" s="5" t="n">
        <v>49213907000</v>
      </c>
      <c r="D650" s="5" t="n">
        <v>30465088000</v>
      </c>
      <c r="E650" s="5" t="n">
        <v>18748819000</v>
      </c>
      <c r="F650" s="5" t="n">
        <v>20075738000</v>
      </c>
      <c r="G650" s="5" t="n">
        <v>2102121000</v>
      </c>
      <c r="H650" s="5" t="n">
        <v>20933548000</v>
      </c>
      <c r="I650" s="5" t="n">
        <v>2906273000</v>
      </c>
      <c r="J650" s="4" t="n">
        <v>0.5148000121116638</v>
      </c>
      <c r="K650" s="4" t="n">
        <v>1.624899983406067</v>
      </c>
      <c r="L650" s="4" t="n">
        <v>0.1046999990940094</v>
      </c>
      <c r="M650" t="inlineStr">
        <is>
          <t>한광윤</t>
        </is>
      </c>
      <c r="N650" t="inlineStr">
        <is>
          <t>031-358-4051</t>
        </is>
      </c>
      <c r="O650" t="inlineStr">
        <is>
          <t>031-358-4061</t>
        </is>
      </c>
      <c r="Q650" t="inlineStr">
        <is>
          <t>1258621083</t>
        </is>
      </c>
      <c r="R650" t="inlineStr">
        <is>
          <t>1313110135280</t>
        </is>
      </c>
      <c r="S650" t="inlineStr">
        <is>
          <t>대상아님</t>
        </is>
      </c>
      <c r="T650" t="inlineStr">
        <is>
          <t>일반법인</t>
        </is>
      </c>
      <c r="U650" t="inlineStr">
        <is>
          <t>중소기업</t>
        </is>
      </c>
      <c r="V650" t="inlineStr">
        <is>
          <t>외부감사대상</t>
        </is>
      </c>
      <c r="W650" s="6" t="inlineStr">
        <is>
          <t>2014-03-12</t>
        </is>
      </c>
      <c r="X650" t="inlineStr">
        <is>
          <t>KRI:10C3039900</t>
        </is>
      </c>
      <c r="Y650" t="inlineStr">
        <is>
          <t>그 외 자동차용 신품 부품 제조업</t>
        </is>
      </c>
      <c r="Z650" t="inlineStr">
        <is>
          <t>자동차부품 제조/화물운송 주선/임대/임가공,도급</t>
        </is>
      </c>
      <c r="AA650" t="inlineStr">
        <is>
          <t>경기 화성시 만세구 우정읍 매향리 992번지</t>
        </is>
      </c>
      <c r="AB650" t="inlineStr">
        <is>
          <t>경기 화성시 만세구 우정읍 매향석천로 52</t>
        </is>
      </c>
    </row>
    <row r="651" ht="19.2" customHeight="1" s="1">
      <c r="A651" t="inlineStr">
        <is>
          <t>NICE:G99629</t>
        </is>
      </c>
      <c r="B651" t="inlineStr">
        <is>
          <t>티디엠</t>
        </is>
      </c>
      <c r="C651" s="5" t="n">
        <v>46397155000</v>
      </c>
      <c r="D651" s="5" t="n">
        <v>20280738000</v>
      </c>
      <c r="E651" s="5" t="n">
        <v>26116416000</v>
      </c>
      <c r="F651" s="5" t="n">
        <v>23478699000</v>
      </c>
      <c r="G651" s="5" t="n">
        <v>3784218000</v>
      </c>
      <c r="H651" s="5" t="n">
        <v>21674517000</v>
      </c>
      <c r="I651" s="5" t="n">
        <v>3492988000</v>
      </c>
      <c r="J651" s="4" t="n">
        <v>1.905799984931946</v>
      </c>
      <c r="K651" s="4" t="n">
        <v>0.7766000032424927</v>
      </c>
      <c r="L651" s="4" t="n">
        <v>0.1612000018358231</v>
      </c>
      <c r="M651" t="inlineStr">
        <is>
          <t>김선미</t>
        </is>
      </c>
      <c r="N651" t="inlineStr">
        <is>
          <t>031-732-0631</t>
        </is>
      </c>
      <c r="O651" t="inlineStr">
        <is>
          <t>0507-0329-3397</t>
        </is>
      </c>
      <c r="P651" s="3">
        <f>HYPERLINK("http://www.tdmkorea.co.kr", "http://www.tdmkorea.co.kr")</f>
        <v/>
      </c>
      <c r="Q651" t="inlineStr">
        <is>
          <t>4098610392</t>
        </is>
      </c>
      <c r="R651" t="inlineStr">
        <is>
          <t>2001110284839</t>
        </is>
      </c>
      <c r="S651" t="inlineStr">
        <is>
          <t>대상아님</t>
        </is>
      </c>
      <c r="T651" t="inlineStr">
        <is>
          <t>일반법인</t>
        </is>
      </c>
      <c r="U651" t="inlineStr">
        <is>
          <t>중소기업</t>
        </is>
      </c>
      <c r="V651" t="inlineStr">
        <is>
          <t>외부감사대상</t>
        </is>
      </c>
      <c r="W651" s="6" t="inlineStr">
        <is>
          <t>2009-09-24</t>
        </is>
      </c>
      <c r="X651" t="inlineStr">
        <is>
          <t>KRI:10C2719900</t>
        </is>
      </c>
      <c r="Y651" t="inlineStr">
        <is>
          <t>그 외 기타 의료용 기기 제조업</t>
        </is>
      </c>
      <c r="Z651" t="inlineStr">
        <is>
          <t>의료용기기 제조</t>
        </is>
      </c>
      <c r="AA651" t="inlineStr">
        <is>
          <t>광주 북구 월출동 970-109번지</t>
        </is>
      </c>
      <c r="AB651" t="inlineStr">
        <is>
          <t>광주 북구 첨단벤처소로37번길 69</t>
        </is>
      </c>
    </row>
    <row r="652" ht="19.2" customHeight="1" s="1">
      <c r="A652" t="inlineStr">
        <is>
          <t>NICE:E66715</t>
        </is>
      </c>
      <c r="B652" t="inlineStr">
        <is>
          <t>썬프로로시스템코리아</t>
        </is>
      </c>
      <c r="C652" s="5" t="n">
        <v>37677436000</v>
      </c>
      <c r="D652" s="5" t="n">
        <v>7149701000</v>
      </c>
      <c r="E652" s="5" t="n">
        <v>30527734000</v>
      </c>
      <c r="F652" s="5" t="n">
        <v>22101079000</v>
      </c>
      <c r="G652" s="5" t="n">
        <v>6574679000</v>
      </c>
      <c r="H652" s="5" t="n">
        <v>20518254000</v>
      </c>
      <c r="I652" s="5" t="n">
        <v>4257416000</v>
      </c>
      <c r="J652" s="4" t="n">
        <v>4.693099975585938</v>
      </c>
      <c r="K652" s="4" t="n">
        <v>0.2342000007629395</v>
      </c>
      <c r="L652" s="4" t="n">
        <v>0.2974999845027924</v>
      </c>
      <c r="M652" t="inlineStr">
        <is>
          <t>카와구치미츠요시</t>
        </is>
      </c>
      <c r="N652" t="inlineStr">
        <is>
          <t>041-566-3266</t>
        </is>
      </c>
      <c r="O652" t="inlineStr">
        <is>
          <t>041-566-3268</t>
        </is>
      </c>
      <c r="P652" s="3">
        <f>HYPERLINK("http://www.sunfluro.co.kr", "http://www.sunfluro.co.kr")</f>
        <v/>
      </c>
      <c r="Q652" t="inlineStr">
        <is>
          <t>1358624340</t>
        </is>
      </c>
      <c r="R652" t="inlineStr">
        <is>
          <t>1348110248395</t>
        </is>
      </c>
      <c r="S652" t="inlineStr">
        <is>
          <t>대상아님</t>
        </is>
      </c>
      <c r="T652" t="inlineStr">
        <is>
          <t>일반법인</t>
        </is>
      </c>
      <c r="U652" t="inlineStr">
        <is>
          <t>중소기업</t>
        </is>
      </c>
      <c r="V652" t="inlineStr">
        <is>
          <t>외부감사대상</t>
        </is>
      </c>
      <c r="W652" s="6" t="inlineStr">
        <is>
          <t>2012-07-13</t>
        </is>
      </c>
      <c r="X652" t="inlineStr">
        <is>
          <t>KRI:10C2020200</t>
        </is>
      </c>
      <c r="Y652" t="inlineStr">
        <is>
          <t>합성수지 및 기타 플라스틱 물질 제조업</t>
        </is>
      </c>
      <c r="Z652" t="inlineStr">
        <is>
          <t>불소수지라이닝제품,화학물저장탱크 제조,도매,진단,점검</t>
        </is>
      </c>
      <c r="AA652" t="inlineStr">
        <is>
          <t>충남 천안시 동남구 성남면 대화리 354번지</t>
        </is>
      </c>
      <c r="AB652" t="inlineStr">
        <is>
          <t>충남 천안시 동남구 성남면 5산단3로 1</t>
        </is>
      </c>
    </row>
    <row r="653" ht="19.2" customHeight="1" s="1">
      <c r="A653" t="inlineStr">
        <is>
          <t>NICE:130389</t>
        </is>
      </c>
      <c r="B653" t="inlineStr">
        <is>
          <t>동남</t>
        </is>
      </c>
      <c r="C653" s="5" t="n">
        <v>111820847000</v>
      </c>
      <c r="D653" s="5" t="n">
        <v>45142677000</v>
      </c>
      <c r="E653" s="5" t="n">
        <v>66678170000</v>
      </c>
      <c r="F653" s="5" t="n">
        <v>90887738000</v>
      </c>
      <c r="G653" s="5" t="n">
        <v>11990271000</v>
      </c>
      <c r="H653" s="5" t="n">
        <v>92430602000</v>
      </c>
      <c r="I653" s="5" t="n">
        <v>3967584000</v>
      </c>
      <c r="J653" s="4" t="n">
        <v>1.569199919700623</v>
      </c>
      <c r="K653" s="4" t="n">
        <v>0.6769999265670776</v>
      </c>
      <c r="L653" s="4" t="n">
        <v>0.1318999975919724</v>
      </c>
      <c r="M653" t="inlineStr">
        <is>
          <t>윤명길</t>
        </is>
      </c>
      <c r="N653" t="inlineStr">
        <is>
          <t>051-250-7000</t>
        </is>
      </c>
      <c r="O653" t="inlineStr">
        <is>
          <t>051-250-7023</t>
        </is>
      </c>
      <c r="P653" s="3">
        <f>HYPERLINK("http://www.charmson.co.kr", "http://www.charmson.co.kr")</f>
        <v/>
      </c>
      <c r="Q653" t="inlineStr">
        <is>
          <t>6038106419</t>
        </is>
      </c>
      <c r="R653" t="inlineStr">
        <is>
          <t>1801110026997</t>
        </is>
      </c>
      <c r="S653" t="inlineStr">
        <is>
          <t>대상아님</t>
        </is>
      </c>
      <c r="T653" t="inlineStr">
        <is>
          <t>일반법인</t>
        </is>
      </c>
      <c r="U653" t="inlineStr">
        <is>
          <t>중소기업</t>
        </is>
      </c>
      <c r="V653" t="inlineStr">
        <is>
          <t>외부감사대상</t>
        </is>
      </c>
      <c r="W653" s="6" t="inlineStr">
        <is>
          <t>1977-05-19</t>
        </is>
      </c>
      <c r="X653" t="inlineStr">
        <is>
          <t>KRI:10G4631500</t>
        </is>
      </c>
      <c r="Y653" t="inlineStr">
        <is>
          <t>신선, 냉동 및 기타 수산물 도매업</t>
        </is>
      </c>
      <c r="Z653" t="inlineStr">
        <is>
          <t>수산물 도매/원양어업</t>
        </is>
      </c>
      <c r="AA653" t="inlineStr">
        <is>
          <t>부산 서구 암남동 739번지</t>
        </is>
      </c>
      <c r="AB653" t="inlineStr">
        <is>
          <t>부산 서구 원양로 171</t>
        </is>
      </c>
    </row>
    <row r="654" ht="19.2" customHeight="1" s="1">
      <c r="A654" t="inlineStr">
        <is>
          <t>NICE:E10282</t>
        </is>
      </c>
      <c r="B654" t="inlineStr">
        <is>
          <t>이노바이오써지</t>
        </is>
      </c>
      <c r="C654" s="5" t="n">
        <v>65124953000</v>
      </c>
      <c r="D654" s="5" t="n">
        <v>28267304000</v>
      </c>
      <c r="E654" s="5" t="n">
        <v>36857649000</v>
      </c>
      <c r="F654" s="5" t="n">
        <v>23348158000</v>
      </c>
      <c r="G654" s="5" t="n">
        <v>5198362000</v>
      </c>
      <c r="H654" s="5" t="n">
        <v>27455827000</v>
      </c>
      <c r="I654" s="5" t="n">
        <v>4105095000</v>
      </c>
      <c r="J654" s="4" t="n">
        <v>0.6065999865531921</v>
      </c>
      <c r="K654" s="4" t="n">
        <v>0.7669000029563904</v>
      </c>
      <c r="L654" s="4" t="n">
        <v>0.2225999981164932</v>
      </c>
      <c r="M654" t="inlineStr">
        <is>
          <t>왕제원</t>
        </is>
      </c>
      <c r="N654" t="inlineStr">
        <is>
          <t>042-933-2879</t>
        </is>
      </c>
      <c r="O654" t="inlineStr">
        <is>
          <t>042-933-2881</t>
        </is>
      </c>
      <c r="P654" s="3">
        <f>HYPERLINK("http://www.ibsimplant.com", "http://www.ibsimplant.com")</f>
        <v/>
      </c>
      <c r="Q654" t="inlineStr">
        <is>
          <t>3058194533</t>
        </is>
      </c>
      <c r="R654" t="inlineStr">
        <is>
          <t>1601110247266</t>
        </is>
      </c>
      <c r="S654" t="inlineStr">
        <is>
          <t>대상아님</t>
        </is>
      </c>
      <c r="T654" t="inlineStr">
        <is>
          <t>일반법인</t>
        </is>
      </c>
      <c r="U654" t="inlineStr">
        <is>
          <t>중소기업</t>
        </is>
      </c>
      <c r="V654" t="inlineStr">
        <is>
          <t>외부감사대상</t>
        </is>
      </c>
      <c r="W654" s="6" t="inlineStr">
        <is>
          <t>2008-09-04</t>
        </is>
      </c>
      <c r="X654" t="inlineStr">
        <is>
          <t>KRI:10C2719200</t>
        </is>
      </c>
      <c r="Y654" t="inlineStr">
        <is>
          <t>정형외과용 및 신체보정용 기기 제조업</t>
        </is>
      </c>
      <c r="Z654" t="inlineStr">
        <is>
          <t>정형외과용신체보정기기,치과용임플란트 제조,도소매,무역/의학,약학 연구개발</t>
        </is>
      </c>
      <c r="AA654" t="inlineStr">
        <is>
          <t>대전 유성구 탑립동 811번지</t>
        </is>
      </c>
      <c r="AB654" t="inlineStr">
        <is>
          <t>대전 유성구 테크노10로 44-19</t>
        </is>
      </c>
    </row>
    <row r="655" ht="19.2" customHeight="1" s="1">
      <c r="A655" t="inlineStr">
        <is>
          <t>NICE:I96804</t>
        </is>
      </c>
      <c r="B655" t="inlineStr">
        <is>
          <t>한국후지필름일렉트로닉머티리얼즈</t>
        </is>
      </c>
      <c r="C655" s="5" t="n">
        <v>145657733000</v>
      </c>
      <c r="D655" s="5" t="n">
        <v>50648413000</v>
      </c>
      <c r="E655" s="5" t="n">
        <v>95009320000</v>
      </c>
      <c r="F655" s="5" t="n">
        <v>159425297000</v>
      </c>
      <c r="G655" s="5" t="n">
        <v>31990044000</v>
      </c>
      <c r="H655" s="5" t="n">
        <v>149408359000</v>
      </c>
      <c r="I655" s="5" t="n">
        <v>28905877000</v>
      </c>
      <c r="J655" s="4" t="n">
        <v>3.027199983596802</v>
      </c>
      <c r="K655" s="4" t="n">
        <v>0.5331000089645386</v>
      </c>
      <c r="L655" s="4" t="n">
        <v>0.2006999850273132</v>
      </c>
      <c r="M655" t="inlineStr">
        <is>
          <t>코바야시시게키</t>
        </is>
      </c>
      <c r="N655" t="inlineStr">
        <is>
          <t>041-412-7770</t>
        </is>
      </c>
      <c r="O655" t="inlineStr">
        <is>
          <t>041-412-7797</t>
        </is>
      </c>
      <c r="P655" s="3">
        <f>HYPERLINK("https://www.fujifilm.com/kr/ko", "https://www.fujifilm.com/kr/ko")</f>
        <v/>
      </c>
      <c r="Q655" t="inlineStr">
        <is>
          <t>3128636050</t>
        </is>
      </c>
      <c r="R655" t="inlineStr">
        <is>
          <t>1615110138242</t>
        </is>
      </c>
      <c r="S655" t="inlineStr">
        <is>
          <t>대상아님</t>
        </is>
      </c>
      <c r="T655" t="inlineStr">
        <is>
          <t>일반법인</t>
        </is>
      </c>
      <c r="U655" t="inlineStr">
        <is>
          <t>중소기업</t>
        </is>
      </c>
      <c r="V655" t="inlineStr">
        <is>
          <t>외부감사대상</t>
        </is>
      </c>
      <c r="W655" s="6" t="inlineStr">
        <is>
          <t>2012-02-14</t>
        </is>
      </c>
      <c r="X655" t="inlineStr">
        <is>
          <t>KRI:10C2049900</t>
        </is>
      </c>
      <c r="Y655" t="inlineStr">
        <is>
          <t>그 외 기타 분류 안된 화학제품 제조업</t>
        </is>
      </c>
      <c r="Z655" t="inlineStr">
        <is>
          <t>반도체,디스플레이전자재료(IC제조용약품,현상액) 제조,판매</t>
        </is>
      </c>
      <c r="AA655" t="inlineStr">
        <is>
          <t>충남 천안시 서북구 업성동 624-3번지</t>
        </is>
      </c>
      <c r="AB655" t="inlineStr">
        <is>
          <t>충남 천안시 서북구 2공단3로 79</t>
        </is>
      </c>
    </row>
    <row r="656" s="1">
      <c r="A656" t="inlineStr">
        <is>
          <t>NICE:M37416</t>
        </is>
      </c>
      <c r="B656" t="inlineStr">
        <is>
          <t>해태산업</t>
        </is>
      </c>
      <c r="C656" s="5" t="n">
        <v>153731804000</v>
      </c>
      <c r="D656" s="5" t="n">
        <v>56825394000</v>
      </c>
      <c r="E656" s="5" t="n">
        <v>96906411000</v>
      </c>
      <c r="F656" s="5" t="n">
        <v>24415288000</v>
      </c>
      <c r="G656" s="5" t="n">
        <v>10480093000</v>
      </c>
      <c r="H656" s="5" t="n">
        <v>20118693000</v>
      </c>
      <c r="I656" s="5" t="n">
        <v>8848605000</v>
      </c>
      <c r="J656" s="4" t="n">
        <v>0.09539999812841415</v>
      </c>
      <c r="K656" s="4" t="n">
        <v>0.5863999724388123</v>
      </c>
      <c r="L656" s="4" t="n">
        <v>0.4291999638080597</v>
      </c>
      <c r="M656" t="inlineStr">
        <is>
          <t>오희영</t>
        </is>
      </c>
      <c r="N656" t="inlineStr">
        <is>
          <t>042-826-5595</t>
        </is>
      </c>
      <c r="O656" t="inlineStr">
        <is>
          <t>042-824-5594</t>
        </is>
      </c>
      <c r="Q656" t="inlineStr">
        <is>
          <t>3188105638</t>
        </is>
      </c>
      <c r="R656" t="inlineStr">
        <is>
          <t>1601110385991</t>
        </is>
      </c>
      <c r="S656" t="inlineStr">
        <is>
          <t>대상아님</t>
        </is>
      </c>
      <c r="T656" t="inlineStr">
        <is>
          <t>일반법인</t>
        </is>
      </c>
      <c r="U656" t="inlineStr">
        <is>
          <t>중소기업</t>
        </is>
      </c>
      <c r="V656" t="inlineStr">
        <is>
          <t>외부감사대상</t>
        </is>
      </c>
      <c r="W656" s="6" t="inlineStr">
        <is>
          <t>2014-11-28</t>
        </is>
      </c>
      <c r="X656" t="inlineStr">
        <is>
          <t>KRI:10S9699100</t>
        </is>
      </c>
      <c r="Y656" t="inlineStr">
        <is>
          <t>예식장업</t>
        </is>
      </c>
      <c r="Z656" t="inlineStr">
        <is>
          <t>예식장 운영</t>
        </is>
      </c>
      <c r="AA656" t="inlineStr">
        <is>
          <t>대전 유성구 원신흥동 578-6번지</t>
        </is>
      </c>
      <c r="AB656" t="inlineStr">
        <is>
          <t>대전 유성구 동서대로 639</t>
        </is>
      </c>
    </row>
    <row r="657" ht="19.2" customHeight="1" s="1">
      <c r="A657" t="inlineStr">
        <is>
          <t>NICE:IM9455</t>
        </is>
      </c>
      <c r="B657" t="inlineStr">
        <is>
          <t>비씨월드헬스케어</t>
        </is>
      </c>
      <c r="C657" s="5" t="n">
        <v>35339441000</v>
      </c>
      <c r="D657" s="5" t="n">
        <v>31574389000</v>
      </c>
      <c r="E657" s="5" t="n">
        <v>3765051000</v>
      </c>
      <c r="F657" s="5" t="n">
        <v>20321520000</v>
      </c>
      <c r="G657" s="5" t="n">
        <v>6578070000</v>
      </c>
      <c r="H657" s="5" t="n">
        <v>15900836000</v>
      </c>
      <c r="I657" s="5" t="n">
        <v>3051074000</v>
      </c>
      <c r="J657" s="4" t="n">
        <v>0.3513000011444092</v>
      </c>
      <c r="K657" s="4" t="n">
        <v>8.386199951171875</v>
      </c>
      <c r="L657" s="4" t="n">
        <v>0.3236999809741974</v>
      </c>
      <c r="M657" t="inlineStr">
        <is>
          <t>홍성한</t>
        </is>
      </c>
      <c r="P657" s="3" t="n"/>
      <c r="Q657" t="inlineStr">
        <is>
          <t>1808600635</t>
        </is>
      </c>
      <c r="R657" t="inlineStr">
        <is>
          <t>1412110087647</t>
        </is>
      </c>
      <c r="S657" t="inlineStr">
        <is>
          <t>대상아님</t>
        </is>
      </c>
      <c r="T657" t="inlineStr">
        <is>
          <t>일반법인</t>
        </is>
      </c>
      <c r="U657" t="inlineStr">
        <is>
          <t>중소기업</t>
        </is>
      </c>
      <c r="V657" t="inlineStr">
        <is>
          <t>외부감사대상</t>
        </is>
      </c>
      <c r="W657" s="6" t="inlineStr">
        <is>
          <t>2017-01-23</t>
        </is>
      </c>
      <c r="X657" t="inlineStr">
        <is>
          <t>KRI:10C2121000</t>
        </is>
      </c>
      <c r="Y657" t="inlineStr">
        <is>
          <t>완제 의약품 제조업</t>
        </is>
      </c>
      <c r="Z657" t="inlineStr">
        <is>
          <t>의약품 제조,도소매</t>
        </is>
      </c>
    </row>
    <row r="658" s="1">
      <c r="A658" t="inlineStr">
        <is>
          <t>NICE:C16897</t>
        </is>
      </c>
      <c r="B658" t="inlineStr">
        <is>
          <t>제이서해안고속도로</t>
        </is>
      </c>
      <c r="C658" s="5" t="n">
        <v>524707160000</v>
      </c>
      <c r="D658" s="5" t="n">
        <v>510344014000</v>
      </c>
      <c r="E658" s="5" t="n">
        <v>14363145000</v>
      </c>
      <c r="F658" s="5" t="n">
        <v>80628238000</v>
      </c>
      <c r="G658" s="5" t="n">
        <v>34681235000</v>
      </c>
      <c r="H658" s="5" t="n">
        <v>80064897000</v>
      </c>
      <c r="I658" s="5" t="n">
        <v>37413209000</v>
      </c>
      <c r="J658" s="4" t="n">
        <v>0.2345000058412552</v>
      </c>
      <c r="K658" s="4" t="n">
        <v>35.53149795532227</v>
      </c>
      <c r="L658" s="4" t="n">
        <v>0.4300999641418457</v>
      </c>
      <c r="M658" t="inlineStr">
        <is>
          <t>주현</t>
        </is>
      </c>
      <c r="N658" t="inlineStr">
        <is>
          <t>031-494-0370</t>
        </is>
      </c>
      <c r="O658" t="inlineStr">
        <is>
          <t>031-494-0371</t>
        </is>
      </c>
      <c r="P658">
        <f>HYPERLINK("http://www.sseway.co.kr", "http://www.sseway.co.kr")</f>
        <v/>
      </c>
      <c r="Q658" t="inlineStr">
        <is>
          <t>1388137650</t>
        </is>
      </c>
      <c r="R658" t="inlineStr">
        <is>
          <t>1341110148375</t>
        </is>
      </c>
      <c r="S658" t="inlineStr">
        <is>
          <t>대상아님</t>
        </is>
      </c>
      <c r="T658" t="inlineStr">
        <is>
          <t>일반법인</t>
        </is>
      </c>
      <c r="U658" t="inlineStr">
        <is>
          <t>중견기업</t>
        </is>
      </c>
      <c r="V658" t="inlineStr">
        <is>
          <t>외부감사대상</t>
        </is>
      </c>
      <c r="W658" s="6" t="inlineStr">
        <is>
          <t>2006-12-06</t>
        </is>
      </c>
      <c r="X658" t="inlineStr">
        <is>
          <t>KRI:10H5291400</t>
        </is>
      </c>
      <c r="Y658" t="inlineStr">
        <is>
          <t>도로 및 관련시설 운영업</t>
        </is>
      </c>
      <c r="Z658" t="inlineStr">
        <is>
          <t>도로시설 운영</t>
        </is>
      </c>
      <c r="AA658" t="inlineStr">
        <is>
          <t>경기 화성시 만세구 마도면 슬항리 17-9번지</t>
        </is>
      </c>
      <c r="AB658" t="inlineStr">
        <is>
          <t>경기 화성시 만세구 마도면 평택시흥고속도로 21</t>
        </is>
      </c>
    </row>
    <row r="659" ht="19.2" customHeight="1" s="1">
      <c r="A659" t="inlineStr">
        <is>
          <t>NICE:J03561</t>
        </is>
      </c>
      <c r="B659" t="inlineStr">
        <is>
          <t>다미아니코리아</t>
        </is>
      </c>
      <c r="C659" s="5" t="n">
        <v>82901559000</v>
      </c>
      <c r="D659" s="5" t="n">
        <v>15222869000</v>
      </c>
      <c r="E659" s="5" t="n">
        <v>67678690000</v>
      </c>
      <c r="F659" s="5" t="n">
        <v>90825966000</v>
      </c>
      <c r="G659" s="5" t="n">
        <v>20099856000</v>
      </c>
      <c r="H659" s="5" t="n">
        <v>81518083000</v>
      </c>
      <c r="I659" s="5" t="n">
        <v>18257564000</v>
      </c>
      <c r="J659" s="4" t="n">
        <v>5.35830020904541</v>
      </c>
      <c r="K659" s="4" t="n">
        <v>0.2248999923467636</v>
      </c>
      <c r="L659" s="4" t="n">
        <v>0.2212999910116196</v>
      </c>
      <c r="M659" t="inlineStr">
        <is>
          <t>실비아마리아그라시다미아니</t>
        </is>
      </c>
      <c r="N659" t="inlineStr">
        <is>
          <t>02-546-1924</t>
        </is>
      </c>
      <c r="O659" t="inlineStr">
        <is>
          <t>02-542-1924</t>
        </is>
      </c>
      <c r="P659" s="3">
        <f>HYPERLINK("http://www.damiani.com", "http://www.damiani.com")</f>
        <v/>
      </c>
      <c r="Q659" t="inlineStr">
        <is>
          <t>1078790880</t>
        </is>
      </c>
      <c r="R659" t="inlineStr">
        <is>
          <t>1101115088087</t>
        </is>
      </c>
      <c r="S659" t="inlineStr">
        <is>
          <t>대상아님</t>
        </is>
      </c>
      <c r="T659" t="inlineStr">
        <is>
          <t>일반법인</t>
        </is>
      </c>
      <c r="U659" t="inlineStr">
        <is>
          <t>중소기업</t>
        </is>
      </c>
      <c r="V659" t="inlineStr">
        <is>
          <t>외부감사대상</t>
        </is>
      </c>
      <c r="W659" s="6" t="inlineStr">
        <is>
          <t>2013-03-13</t>
        </is>
      </c>
      <c r="X659" t="inlineStr">
        <is>
          <t>KRI:10G4649200</t>
        </is>
      </c>
      <c r="Y659" t="inlineStr">
        <is>
          <t>시계 및 귀금속제품 도매업</t>
        </is>
      </c>
      <c r="Z659" t="inlineStr">
        <is>
          <t>귀금속,액세서리 도소매,무역</t>
        </is>
      </c>
      <c r="AA659" t="inlineStr">
        <is>
          <t>서울 강남구 청담동 118번지 3층, 4층</t>
        </is>
      </c>
      <c r="AB659" t="inlineStr">
        <is>
          <t>서울 강남구 압구정로 451, 3층, 4층</t>
        </is>
      </c>
    </row>
    <row r="660" ht="19.2" customHeight="1" s="1">
      <c r="A660" t="inlineStr">
        <is>
          <t>NICE:F53779</t>
        </is>
      </c>
      <c r="B660" t="inlineStr">
        <is>
          <t>흥양디컨</t>
        </is>
      </c>
      <c r="C660" s="5" t="n">
        <v>77055126000</v>
      </c>
      <c r="D660" s="5" t="n">
        <v>42098402000</v>
      </c>
      <c r="E660" s="5" t="n">
        <v>34956724000</v>
      </c>
      <c r="F660" s="5" t="n">
        <v>29000000000</v>
      </c>
      <c r="G660" s="5" t="n">
        <v>8284150000</v>
      </c>
      <c r="H660" s="5" t="n">
        <v>37003881000</v>
      </c>
      <c r="I660" s="5" t="n">
        <v>5886011000</v>
      </c>
      <c r="J660" s="4" t="n">
        <v>23.96699905395508</v>
      </c>
      <c r="K660" s="4" t="n">
        <v>1.204299926757812</v>
      </c>
      <c r="L660" s="4" t="n">
        <v>0.2856999933719635</v>
      </c>
      <c r="M660" t="inlineStr">
        <is>
          <t>박형재</t>
        </is>
      </c>
      <c r="N660" t="inlineStr">
        <is>
          <t>02-416-3500</t>
        </is>
      </c>
      <c r="O660" t="inlineStr">
        <is>
          <t>02-474-4274</t>
        </is>
      </c>
      <c r="P660" s="3" t="n"/>
      <c r="Q660" t="inlineStr">
        <is>
          <t>2118779317</t>
        </is>
      </c>
      <c r="R660" t="inlineStr">
        <is>
          <t>1101113424986</t>
        </is>
      </c>
      <c r="S660" t="inlineStr">
        <is>
          <t>대상아님</t>
        </is>
      </c>
      <c r="T660" t="inlineStr">
        <is>
          <t>일반법인</t>
        </is>
      </c>
      <c r="U660" t="inlineStr">
        <is>
          <t>중소기업</t>
        </is>
      </c>
      <c r="V660" t="inlineStr">
        <is>
          <t>외부감사대상</t>
        </is>
      </c>
      <c r="W660" s="6" t="inlineStr">
        <is>
          <t>2006-03-23</t>
        </is>
      </c>
      <c r="X660" t="inlineStr">
        <is>
          <t>KRI:10F4111000</t>
        </is>
      </c>
      <c r="Y660" t="inlineStr">
        <is>
          <t>주거용 건물 건설업</t>
        </is>
      </c>
      <c r="Z660" t="inlineStr">
        <is>
          <t>주택신축판매공사,건물건설공사</t>
        </is>
      </c>
      <c r="AA660" t="inlineStr">
        <is>
          <t>서울 강남구 역삼동 746-11번지 브릭스타워 3층</t>
        </is>
      </c>
      <c r="AB660" t="inlineStr">
        <is>
          <t>서울 강남구 논현로 413, 3층 (역삼동,브릭스타워)</t>
        </is>
      </c>
    </row>
    <row r="661" ht="19.2" customHeight="1" s="1">
      <c r="A661" t="inlineStr">
        <is>
          <t>NICE:925055</t>
        </is>
      </c>
      <c r="B661" t="inlineStr">
        <is>
          <t>선우테크</t>
        </is>
      </c>
      <c r="C661" s="5" t="n">
        <v>36224545000</v>
      </c>
      <c r="D661" s="5" t="n">
        <v>6963189000</v>
      </c>
      <c r="E661" s="5" t="n">
        <v>29261356000</v>
      </c>
      <c r="F661" s="5" t="n">
        <v>33866746000</v>
      </c>
      <c r="G661" s="5" t="n">
        <v>9883452000</v>
      </c>
      <c r="H661" s="5" t="n">
        <v>30644855000</v>
      </c>
      <c r="I661" s="5" t="n">
        <v>8777549000</v>
      </c>
      <c r="J661" s="4" t="n">
        <v>3.16159987449646</v>
      </c>
      <c r="K661" s="4" t="n">
        <v>0.2379999905824661</v>
      </c>
      <c r="L661" s="4" t="n">
        <v>0.2917999923229218</v>
      </c>
      <c r="M661" t="inlineStr">
        <is>
          <t>최재관</t>
        </is>
      </c>
      <c r="N661" t="inlineStr">
        <is>
          <t>043-275-5300</t>
        </is>
      </c>
      <c r="O661" t="inlineStr">
        <is>
          <t>043-275-5519</t>
        </is>
      </c>
      <c r="P661" s="3" t="n"/>
      <c r="Q661" t="inlineStr">
        <is>
          <t>2118625380</t>
        </is>
      </c>
      <c r="R661" t="inlineStr">
        <is>
          <t>1101111472911</t>
        </is>
      </c>
      <c r="S661" t="inlineStr">
        <is>
          <t>대상아님</t>
        </is>
      </c>
      <c r="T661" t="inlineStr">
        <is>
          <t>일반법인</t>
        </is>
      </c>
      <c r="U661" t="inlineStr">
        <is>
          <t>중소기업</t>
        </is>
      </c>
      <c r="V661" t="inlineStr">
        <is>
          <t>외부감사대상</t>
        </is>
      </c>
      <c r="W661" s="6" t="inlineStr">
        <is>
          <t>1997-10-15</t>
        </is>
      </c>
      <c r="X661" t="inlineStr">
        <is>
          <t>KRI:10C2622300</t>
        </is>
      </c>
      <c r="Y661" t="inlineStr">
        <is>
          <t>연성 및 기타 인쇄회로기판 제조업</t>
        </is>
      </c>
      <c r="Z661" t="inlineStr">
        <is>
          <t>전자부품(PCB) 제조</t>
        </is>
      </c>
      <c r="AA661" t="inlineStr">
        <is>
          <t>충북 청주시 흥덕구 송정동 140-63번지</t>
        </is>
      </c>
      <c r="AB661" t="inlineStr">
        <is>
          <t>충북 청주시 흥덕구 백봉로 64</t>
        </is>
      </c>
    </row>
    <row r="662" ht="19.2" customHeight="1" s="1">
      <c r="A662" t="inlineStr">
        <is>
          <t>NICE:446368</t>
        </is>
      </c>
      <c r="B662" t="inlineStr">
        <is>
          <t>제이앤에스</t>
        </is>
      </c>
      <c r="C662" s="5" t="n">
        <v>34297422000</v>
      </c>
      <c r="D662" s="5" t="n">
        <v>11337801000</v>
      </c>
      <c r="E662" s="5" t="n">
        <v>22959621000</v>
      </c>
      <c r="F662" s="5" t="n">
        <v>36374912000</v>
      </c>
      <c r="G662" s="5" t="n">
        <v>7806324000</v>
      </c>
      <c r="H662" s="5" t="n">
        <v>35974911000</v>
      </c>
      <c r="I662" s="5" t="n">
        <v>5671656000</v>
      </c>
      <c r="J662" s="4" t="n">
        <v>3.162300109863281</v>
      </c>
      <c r="K662" s="4" t="n">
        <v>0.493800014257431</v>
      </c>
      <c r="L662" s="4" t="n">
        <v>0.2145999819040298</v>
      </c>
      <c r="M662" t="inlineStr">
        <is>
          <t>김영재</t>
        </is>
      </c>
      <c r="N662" t="inlineStr">
        <is>
          <t>031-627-2363</t>
        </is>
      </c>
      <c r="O662" t="inlineStr">
        <is>
          <t>031-627-2367</t>
        </is>
      </c>
      <c r="P662" s="3">
        <f>HYPERLINK("http://www.jns.co.kr", "http://www.jns.co.kr")</f>
        <v/>
      </c>
      <c r="Q662" t="inlineStr">
        <is>
          <t>2128162383</t>
        </is>
      </c>
      <c r="R662" t="inlineStr">
        <is>
          <t>1101112718223</t>
        </is>
      </c>
      <c r="S662" t="inlineStr">
        <is>
          <t>대상아님</t>
        </is>
      </c>
      <c r="T662" t="inlineStr">
        <is>
          <t>일반법인</t>
        </is>
      </c>
      <c r="U662" t="inlineStr">
        <is>
          <t>중소기업</t>
        </is>
      </c>
      <c r="V662" t="inlineStr">
        <is>
          <t>외부감사대상</t>
        </is>
      </c>
      <c r="W662" s="6" t="inlineStr">
        <is>
          <t>2003-02-18</t>
        </is>
      </c>
      <c r="X662" t="inlineStr">
        <is>
          <t>KRI:10C2811900</t>
        </is>
      </c>
      <c r="Y662" t="inlineStr">
        <is>
          <t>기타 전기 변환장치 제조업</t>
        </is>
      </c>
      <c r="Z662" t="inlineStr">
        <is>
          <t>전원공급기,전기제어장치 제조/소프트웨어 개발,개발연구용역</t>
        </is>
      </c>
      <c r="AA662" t="inlineStr">
        <is>
          <t>경기 용인시 기흥구 영덕동 1029번지 U-TOWER 1006호</t>
        </is>
      </c>
      <c r="AB662" t="inlineStr">
        <is>
          <t>경기 용인시 기흥구 흥덕중앙로 120, 1006호 (영덕동,U-TOWER)</t>
        </is>
      </c>
    </row>
    <row r="663" ht="19.2" customHeight="1" s="1">
      <c r="A663" t="inlineStr">
        <is>
          <t>NICE:JF9062</t>
        </is>
      </c>
      <c r="B663" t="inlineStr">
        <is>
          <t>한국산요카세이제조</t>
        </is>
      </c>
      <c r="C663" s="5" t="n">
        <v>29564020000</v>
      </c>
      <c r="D663" s="5" t="n">
        <v>26403502000</v>
      </c>
      <c r="E663" s="5" t="n">
        <v>3160518000</v>
      </c>
      <c r="F663" s="5" t="n">
        <v>30172533000</v>
      </c>
      <c r="G663" s="5" t="n">
        <v>3905053000</v>
      </c>
      <c r="H663" s="5" t="n">
        <v>26480960000</v>
      </c>
      <c r="I663" s="5" t="n">
        <v>4124230000</v>
      </c>
      <c r="J663" s="4" t="n">
        <v>1.230299949645996</v>
      </c>
      <c r="K663" s="4" t="n">
        <v>8.354199409484863</v>
      </c>
      <c r="L663" s="4" t="n">
        <v>0.1293999999761581</v>
      </c>
      <c r="M663" t="inlineStr">
        <is>
          <t>손경호</t>
        </is>
      </c>
      <c r="N663" t="inlineStr">
        <is>
          <t>02-2192-6772</t>
        </is>
      </c>
      <c r="O663" t="inlineStr">
        <is>
          <t>02-571-3694</t>
        </is>
      </c>
      <c r="P663" s="3" t="n"/>
      <c r="Q663" t="inlineStr">
        <is>
          <t>2018801139</t>
        </is>
      </c>
      <c r="R663" t="inlineStr">
        <is>
          <t>1545110079817</t>
        </is>
      </c>
      <c r="S663" t="inlineStr">
        <is>
          <t>대상아님</t>
        </is>
      </c>
      <c r="T663" t="inlineStr">
        <is>
          <t>일반법인</t>
        </is>
      </c>
      <c r="U663" t="inlineStr">
        <is>
          <t>중소기업</t>
        </is>
      </c>
      <c r="V663" t="inlineStr">
        <is>
          <t>외부감사대상</t>
        </is>
      </c>
      <c r="W663" s="6" t="inlineStr">
        <is>
          <t>2018-08-20</t>
        </is>
      </c>
      <c r="X663" t="inlineStr">
        <is>
          <t>KRI:10C2049900</t>
        </is>
      </c>
      <c r="Y663" t="inlineStr">
        <is>
          <t>그 외 기타 분류 안된 화학제품 제조업</t>
        </is>
      </c>
      <c r="Z663" t="inlineStr">
        <is>
          <t>윤활유,첨가제 제조</t>
        </is>
      </c>
      <c r="AA663" t="inlineStr">
        <is>
          <t>충북 음성군 대소면 수태리 501-1번지</t>
        </is>
      </c>
      <c r="AB663" t="inlineStr">
        <is>
          <t>충북 음성군 대소면 수태로 95-19</t>
        </is>
      </c>
    </row>
    <row r="664" ht="19.2" customHeight="1" s="1">
      <c r="A664" t="inlineStr">
        <is>
          <t>NICE:195891</t>
        </is>
      </c>
      <c r="B664" t="inlineStr">
        <is>
          <t>우광개발</t>
        </is>
      </c>
      <c r="C664" s="5" t="n">
        <v>27772208000</v>
      </c>
      <c r="D664" s="5" t="n">
        <v>9788087000</v>
      </c>
      <c r="E664" s="5" t="n">
        <v>17984121000</v>
      </c>
      <c r="F664" s="5" t="n">
        <v>26983862000</v>
      </c>
      <c r="G664" s="5" t="n">
        <v>3571478000</v>
      </c>
      <c r="H664" s="5" t="n">
        <v>24870997000</v>
      </c>
      <c r="I664" s="5" t="n">
        <v>1018618000</v>
      </c>
      <c r="J664" s="4" t="n">
        <v>1.995499968528748</v>
      </c>
      <c r="K664" s="4" t="n">
        <v>0.5443000197410583</v>
      </c>
      <c r="L664" s="4" t="n">
        <v>0.1323999911546707</v>
      </c>
      <c r="M664" t="inlineStr">
        <is>
          <t>임태권</t>
        </is>
      </c>
      <c r="N664" t="inlineStr">
        <is>
          <t>032-675-5300</t>
        </is>
      </c>
      <c r="O664" t="inlineStr">
        <is>
          <t>032-682-0264</t>
        </is>
      </c>
      <c r="P664" s="3">
        <f>HYPERLINK("http://www.wookwangdev.com", "http://www.wookwangdev.com")</f>
        <v/>
      </c>
      <c r="Q664" t="inlineStr">
        <is>
          <t>1308176931</t>
        </is>
      </c>
      <c r="R664" t="inlineStr">
        <is>
          <t>1211110083526</t>
        </is>
      </c>
      <c r="S664" t="inlineStr">
        <is>
          <t>대상아님</t>
        </is>
      </c>
      <c r="T664" t="inlineStr">
        <is>
          <t>일반법인</t>
        </is>
      </c>
      <c r="U664" t="inlineStr">
        <is>
          <t>중소기업</t>
        </is>
      </c>
      <c r="V664" t="inlineStr">
        <is>
          <t>외부감사대상</t>
        </is>
      </c>
      <c r="W664" s="6" t="inlineStr">
        <is>
          <t>2001-02-27</t>
        </is>
      </c>
      <c r="X664" t="inlineStr">
        <is>
          <t>KRI:10E3823000</t>
        </is>
      </c>
      <c r="Y664" t="inlineStr">
        <is>
          <t>건설 폐기물 처리업</t>
        </is>
      </c>
      <c r="Z664" t="inlineStr">
        <is>
          <t>건축폐기물 처리,수집,운반/토공사,비계구조물해체공사/골재 도소매</t>
        </is>
      </c>
      <c r="AA664" t="inlineStr">
        <is>
          <t>경기 부천시 오정구 오정동 805-3번지</t>
        </is>
      </c>
      <c r="AB664" t="inlineStr">
        <is>
          <t>경기 부천시 오정구 신흥로511번길 165</t>
        </is>
      </c>
    </row>
    <row r="665" ht="19.2" customHeight="1" s="1">
      <c r="A665" t="inlineStr">
        <is>
          <t>NICE:IT8351</t>
        </is>
      </c>
      <c r="B665" t="inlineStr">
        <is>
          <t>태성</t>
        </is>
      </c>
      <c r="C665" s="5" t="n">
        <v>14888892000</v>
      </c>
      <c r="D665" s="5" t="n">
        <v>2376156000</v>
      </c>
      <c r="E665" s="5" t="n">
        <v>12512737000</v>
      </c>
      <c r="F665" s="5" t="n">
        <v>27908660000</v>
      </c>
      <c r="G665" s="5" t="n">
        <v>3645605000</v>
      </c>
      <c r="H665" s="5" t="n">
        <v>27882381000</v>
      </c>
      <c r="I665" s="5" t="n">
        <v>3061965000</v>
      </c>
      <c r="J665" s="4" t="n">
        <v>4.597799777984619</v>
      </c>
      <c r="K665" s="4" t="n">
        <v>0.1898999959230423</v>
      </c>
      <c r="L665" s="4" t="n">
        <v>0.1306000053882599</v>
      </c>
      <c r="M665" t="inlineStr">
        <is>
          <t>김경식</t>
        </is>
      </c>
      <c r="N665" t="inlineStr">
        <is>
          <t>031-298-7652</t>
        </is>
      </c>
      <c r="O665" t="inlineStr">
        <is>
          <t>031-298-7653</t>
        </is>
      </c>
      <c r="P665" s="3" t="n"/>
      <c r="Q665" t="inlineStr">
        <is>
          <t>3478800891</t>
        </is>
      </c>
      <c r="R665" t="inlineStr">
        <is>
          <t>1358110324409</t>
        </is>
      </c>
      <c r="S665" t="inlineStr">
        <is>
          <t>대상아님</t>
        </is>
      </c>
      <c r="T665" t="inlineStr">
        <is>
          <t>일반법인</t>
        </is>
      </c>
      <c r="U665" t="inlineStr">
        <is>
          <t>중소기업</t>
        </is>
      </c>
      <c r="V665" t="inlineStr">
        <is>
          <t>외부감사대상</t>
        </is>
      </c>
      <c r="W665" s="6" t="inlineStr">
        <is>
          <t>2017-09-04</t>
        </is>
      </c>
      <c r="X665" t="inlineStr">
        <is>
          <t>KRI:10G4632900</t>
        </is>
      </c>
      <c r="Y665" t="inlineStr">
        <is>
          <t>기타 가공식품 도매업</t>
        </is>
      </c>
      <c r="Z665" t="inlineStr">
        <is>
          <t>식품,식품첨가물,화장품원료</t>
        </is>
      </c>
      <c r="AA665" t="inlineStr">
        <is>
          <t>경기 수원시 권선구 고색동 86-3번지 태성빌딩 2층</t>
        </is>
      </c>
      <c r="AB665" t="inlineStr">
        <is>
          <t>경기 수원시 권선구 고색로66번길 29, 2층 (고색동,태성빌딩)</t>
        </is>
      </c>
    </row>
    <row r="666" ht="19.2" customHeight="1" s="1">
      <c r="A666" t="inlineStr">
        <is>
          <t>NICE:158688</t>
        </is>
      </c>
      <c r="B666" t="inlineStr">
        <is>
          <t>넷츠</t>
        </is>
      </c>
      <c r="C666" s="5" t="n">
        <v>29784046000</v>
      </c>
      <c r="D666" s="5" t="n">
        <v>3837479000</v>
      </c>
      <c r="E666" s="5" t="n">
        <v>25946567000</v>
      </c>
      <c r="F666" s="5" t="n">
        <v>20507804000</v>
      </c>
      <c r="G666" s="5" t="n">
        <v>4426008000</v>
      </c>
      <c r="H666" s="5" t="n">
        <v>20482870000</v>
      </c>
      <c r="I666" s="5" t="n">
        <v>3704555000</v>
      </c>
      <c r="J666" s="4" t="n">
        <v>7.283599853515625</v>
      </c>
      <c r="K666" s="4" t="n">
        <v>0.1479000002145767</v>
      </c>
      <c r="L666" s="4" t="n">
        <v>0.2157999873161316</v>
      </c>
      <c r="M666" t="inlineStr">
        <is>
          <t>이승민</t>
        </is>
      </c>
      <c r="N666" t="inlineStr">
        <is>
          <t>02-508-6421</t>
        </is>
      </c>
      <c r="O666" t="inlineStr">
        <is>
          <t>02-508-6221</t>
        </is>
      </c>
      <c r="P666" s="3">
        <f>HYPERLINK("http://www.nets.co.kr", "http://www.nets.co.kr")</f>
        <v/>
      </c>
      <c r="Q666" t="inlineStr">
        <is>
          <t>2298132228</t>
        </is>
      </c>
      <c r="R666" t="inlineStr">
        <is>
          <t>1101111546021</t>
        </is>
      </c>
      <c r="S666" t="inlineStr">
        <is>
          <t>대상아님</t>
        </is>
      </c>
      <c r="T666" t="inlineStr">
        <is>
          <t>일반법인</t>
        </is>
      </c>
      <c r="U666" t="inlineStr">
        <is>
          <t>중소기업</t>
        </is>
      </c>
      <c r="V666" t="inlineStr">
        <is>
          <t>외부감사대상</t>
        </is>
      </c>
      <c r="W666" s="6" t="inlineStr">
        <is>
          <t>1998-05-14</t>
        </is>
      </c>
      <c r="X666" t="inlineStr">
        <is>
          <t>KRI:10J6202100</t>
        </is>
      </c>
      <c r="Y666" t="inlineStr">
        <is>
          <t>컴퓨터시스템 통합 자문 및 구축 서비스업</t>
        </is>
      </c>
      <c r="Z666" t="inlineStr">
        <is>
          <t>소프트웨어(단일인증솔루션,통합계정권한관리솔루션) 개발/컴퓨터통신용장비 제조,도소매</t>
        </is>
      </c>
      <c r="AA666" t="inlineStr">
        <is>
          <t>서울 강남구 도곡동 411-4번지</t>
        </is>
      </c>
      <c r="AB666" t="inlineStr">
        <is>
          <t>서울 강남구 논현로38길 11</t>
        </is>
      </c>
    </row>
    <row r="667" ht="19.2" customHeight="1" s="1">
      <c r="A667" t="inlineStr">
        <is>
          <t>NICE:LD8535</t>
        </is>
      </c>
      <c r="B667" t="inlineStr">
        <is>
          <t>에스피에스엔에이</t>
        </is>
      </c>
      <c r="C667" s="5" t="n">
        <v>148235022000</v>
      </c>
      <c r="D667" s="5" t="n">
        <v>37386633000</v>
      </c>
      <c r="E667" s="5" t="n">
        <v>110848389000</v>
      </c>
      <c r="F667" s="5" t="n">
        <v>118630191000</v>
      </c>
      <c r="G667" s="5" t="n">
        <v>16248714000</v>
      </c>
      <c r="H667" s="5" t="n">
        <v>116979557000</v>
      </c>
      <c r="I667" s="5" t="n">
        <v>21613356000</v>
      </c>
      <c r="J667" s="4" t="n">
        <v>2.066699981689453</v>
      </c>
      <c r="K667" s="4" t="n">
        <v>0.3373000025749207</v>
      </c>
      <c r="L667" s="4" t="n">
        <v>0.1369999945163727</v>
      </c>
      <c r="M667" t="inlineStr">
        <is>
          <t>이병훈</t>
        </is>
      </c>
      <c r="N667" t="inlineStr">
        <is>
          <t>031-684-9452</t>
        </is>
      </c>
      <c r="O667" t="inlineStr">
        <is>
          <t>031-684-9458</t>
        </is>
      </c>
      <c r="P667" s="3" t="n"/>
      <c r="Q667" t="inlineStr">
        <is>
          <t>4648101783</t>
        </is>
      </c>
      <c r="R667" t="inlineStr">
        <is>
          <t>1650110072115</t>
        </is>
      </c>
      <c r="S667" t="inlineStr">
        <is>
          <t>대상아님</t>
        </is>
      </c>
      <c r="T667" t="inlineStr">
        <is>
          <t>일반법인</t>
        </is>
      </c>
      <c r="U667" t="inlineStr">
        <is>
          <t>중견기업</t>
        </is>
      </c>
      <c r="V667" t="inlineStr">
        <is>
          <t>외부감사비대상</t>
        </is>
      </c>
      <c r="W667" s="6" t="inlineStr">
        <is>
          <t>2020-04-01</t>
        </is>
      </c>
      <c r="X667" t="inlineStr">
        <is>
          <t>KRI:10C2331100</t>
        </is>
      </c>
      <c r="Y667" t="inlineStr">
        <is>
          <t>시멘트 제조업</t>
        </is>
      </c>
      <c r="Z667" t="inlineStr">
        <is>
          <t>슬래그,슬래그파우더 제조/무역(고로수재슬래그)</t>
        </is>
      </c>
      <c r="AA667" t="inlineStr">
        <is>
          <t>충남 당진시 신평면 매산리 976-32번지</t>
        </is>
      </c>
      <c r="AB667" t="inlineStr">
        <is>
          <t>충남 당진시 신평면 당진항만로 97</t>
        </is>
      </c>
    </row>
    <row r="668" ht="19.2" customHeight="1" s="1">
      <c r="A668" t="inlineStr">
        <is>
          <t>NICE:IM3415</t>
        </is>
      </c>
      <c r="B668" t="inlineStr">
        <is>
          <t>한국도심공항</t>
        </is>
      </c>
      <c r="C668" s="5" t="n">
        <v>119785752000</v>
      </c>
      <c r="D668" s="5" t="n">
        <v>12359151000</v>
      </c>
      <c r="E668" s="5" t="n">
        <v>107426601000</v>
      </c>
      <c r="F668" s="5" t="n">
        <v>38680135000</v>
      </c>
      <c r="G668" s="5" t="n">
        <v>5619473000</v>
      </c>
      <c r="H668" s="5" t="n">
        <v>46375161000</v>
      </c>
      <c r="I668" s="5" t="n">
        <v>6629966000</v>
      </c>
      <c r="J668" s="4" t="n">
        <v>3.612099885940552</v>
      </c>
      <c r="K668" s="4" t="n">
        <v>0.114999994635582</v>
      </c>
      <c r="L668" s="4" t="n">
        <v>0.1453000009059906</v>
      </c>
      <c r="M668" t="inlineStr">
        <is>
          <t>김고현</t>
        </is>
      </c>
      <c r="N668" t="inlineStr">
        <is>
          <t>02-551-0581</t>
        </is>
      </c>
      <c r="O668" t="inlineStr">
        <is>
          <t>02-551-0008</t>
        </is>
      </c>
      <c r="P668" s="3">
        <f>HYPERLINK("http://www.calt.co.kr", "http://www.calt.co.kr")</f>
        <v/>
      </c>
      <c r="Q668" t="inlineStr">
        <is>
          <t>3678100654</t>
        </is>
      </c>
      <c r="R668" t="inlineStr">
        <is>
          <t>1101116277655</t>
        </is>
      </c>
      <c r="S668" t="inlineStr">
        <is>
          <t>대상아님</t>
        </is>
      </c>
      <c r="T668" t="inlineStr">
        <is>
          <t>일반법인</t>
        </is>
      </c>
      <c r="U668" t="inlineStr">
        <is>
          <t>중견기업</t>
        </is>
      </c>
      <c r="V668" t="inlineStr">
        <is>
          <t>외부감사대상</t>
        </is>
      </c>
      <c r="W668" s="6" t="inlineStr">
        <is>
          <t>2017-01-02</t>
        </is>
      </c>
      <c r="X668" t="inlineStr">
        <is>
          <t>KRI:10H5293900</t>
        </is>
      </c>
      <c r="Y668" t="inlineStr">
        <is>
          <t>기타 항공 운송지원 서비스업</t>
        </is>
      </c>
      <c r="Z668" t="inlineStr">
        <is>
          <t>항공 운송지원</t>
        </is>
      </c>
      <c r="AA668" t="inlineStr">
        <is>
          <t>서울 강남구 삼성동 159-6번지</t>
        </is>
      </c>
      <c r="AB668" t="inlineStr">
        <is>
          <t>서울 강남구 테헤란로87길 22</t>
        </is>
      </c>
    </row>
    <row r="669" ht="19.2" customHeight="1" s="1">
      <c r="A669" t="inlineStr">
        <is>
          <t>NICE:095557</t>
        </is>
      </c>
      <c r="B669" t="inlineStr">
        <is>
          <t>알코판넬</t>
        </is>
      </c>
      <c r="C669" s="5" t="n">
        <v>80908376000</v>
      </c>
      <c r="D669" s="5" t="n">
        <v>8820074000</v>
      </c>
      <c r="E669" s="5" t="n">
        <v>72088302000</v>
      </c>
      <c r="F669" s="5" t="n">
        <v>58460555000</v>
      </c>
      <c r="G669" s="5" t="n">
        <v>6722864000</v>
      </c>
      <c r="H669" s="5" t="n">
        <v>58652715000</v>
      </c>
      <c r="I669" s="5" t="n">
        <v>7553750000</v>
      </c>
      <c r="J669" s="4" t="n">
        <v>7.656400203704834</v>
      </c>
      <c r="K669" s="4" t="n">
        <v>0.1223999932408333</v>
      </c>
      <c r="L669" s="4" t="n">
        <v>0.114999994635582</v>
      </c>
      <c r="M669" t="inlineStr">
        <is>
          <t>김민한</t>
        </is>
      </c>
      <c r="N669" t="inlineStr">
        <is>
          <t>043-878-2367</t>
        </is>
      </c>
      <c r="O669" t="inlineStr">
        <is>
          <t>043-878-2433</t>
        </is>
      </c>
      <c r="P669" s="3">
        <f>HYPERLINK("http://www.alcopanel.com", "http://www.alcopanel.com")</f>
        <v/>
      </c>
      <c r="Q669" t="inlineStr">
        <is>
          <t>3038134790</t>
        </is>
      </c>
      <c r="R669" t="inlineStr">
        <is>
          <t>1511110020556</t>
        </is>
      </c>
      <c r="S669" t="inlineStr">
        <is>
          <t>대상아님</t>
        </is>
      </c>
      <c r="T669" t="inlineStr">
        <is>
          <t>일반법인</t>
        </is>
      </c>
      <c r="U669" t="inlineStr">
        <is>
          <t>중소기업</t>
        </is>
      </c>
      <c r="V669" t="inlineStr">
        <is>
          <t>외부감사대상</t>
        </is>
      </c>
      <c r="W669" s="6" t="inlineStr">
        <is>
          <t>2002-11-05</t>
        </is>
      </c>
      <c r="X669" t="inlineStr">
        <is>
          <t>KRI:10C2422200</t>
        </is>
      </c>
      <c r="Y669" t="inlineStr">
        <is>
          <t>알루미늄 압연, 압출 및 연신제품 제조업</t>
        </is>
      </c>
      <c r="Z669" t="inlineStr">
        <is>
          <t>알루미늄복합패널 제조/세라믹코팅공사</t>
        </is>
      </c>
      <c r="AA669" t="inlineStr">
        <is>
          <t>충북 음성군 삼성면 청용리 351번지</t>
        </is>
      </c>
      <c r="AB669" t="inlineStr">
        <is>
          <t>충북 음성군 삼성면 대청로 269</t>
        </is>
      </c>
    </row>
    <row r="670" ht="19.2" customHeight="1" s="1">
      <c r="A670" t="inlineStr">
        <is>
          <t>NICE:H43070</t>
        </is>
      </c>
      <c r="B670" t="inlineStr">
        <is>
          <t>우신라보타치</t>
        </is>
      </c>
      <c r="C670" s="5" t="n">
        <v>26065571000</v>
      </c>
      <c r="D670" s="5" t="n">
        <v>9851636000</v>
      </c>
      <c r="E670" s="5" t="n">
        <v>16213935000</v>
      </c>
      <c r="F670" s="5" t="n">
        <v>38191122000</v>
      </c>
      <c r="G670" s="5" t="n">
        <v>6611100000</v>
      </c>
      <c r="H670" s="5" t="n">
        <v>32033268000</v>
      </c>
      <c r="I670" s="5" t="n">
        <v>4116814000</v>
      </c>
      <c r="J670" s="4" t="n">
        <v>1.449900031089783</v>
      </c>
      <c r="K670" s="4" t="n">
        <v>0.6075999736785889</v>
      </c>
      <c r="L670" s="4" t="n">
        <v>0.1730999946594238</v>
      </c>
      <c r="M670" t="inlineStr">
        <is>
          <t>남택수</t>
        </is>
      </c>
      <c r="N670" t="inlineStr">
        <is>
          <t>02-867-9849</t>
        </is>
      </c>
      <c r="O670" t="inlineStr">
        <is>
          <t>02-786-9850</t>
        </is>
      </c>
      <c r="P670" s="3">
        <f>HYPERLINK("http://www.wooshinmed.com", "http://www.wooshinmed.com")</f>
        <v/>
      </c>
      <c r="Q670" t="inlineStr">
        <is>
          <t>1138649827</t>
        </is>
      </c>
      <c r="R670" t="inlineStr">
        <is>
          <t>1101114540905</t>
        </is>
      </c>
      <c r="S670" t="inlineStr">
        <is>
          <t>대상아님</t>
        </is>
      </c>
      <c r="T670" t="inlineStr">
        <is>
          <t>일반법인</t>
        </is>
      </c>
      <c r="U670" t="inlineStr">
        <is>
          <t>중소기업</t>
        </is>
      </c>
      <c r="V670" t="inlineStr">
        <is>
          <t>외부감사대상</t>
        </is>
      </c>
      <c r="W670" s="6" t="inlineStr">
        <is>
          <t>2011-02-22</t>
        </is>
      </c>
      <c r="X670" t="inlineStr">
        <is>
          <t>KRI:10G4644000</t>
        </is>
      </c>
      <c r="Y670" t="inlineStr">
        <is>
          <t>의약품, 의료용품 및 화장품 도매업</t>
        </is>
      </c>
      <c r="Z670" t="inlineStr">
        <is>
          <t>의약품,의료기기,의료장비,화장품,원료 도소매,제조,수출입/전자상거래/오파/의학,약학 연구개발</t>
        </is>
      </c>
      <c r="AA670" t="inlineStr">
        <is>
          <t>서울 구로구 구로동 212-8번지 대륭포스트타워1차 1907호</t>
        </is>
      </c>
      <c r="AB670" t="inlineStr">
        <is>
          <t>서울 구로구 디지털로 288, 1907호 (구로동,대륭포스트타워1차)</t>
        </is>
      </c>
    </row>
    <row r="671" ht="19.2" customHeight="1" s="1">
      <c r="A671" t="inlineStr">
        <is>
          <t>NICE:I42404</t>
        </is>
      </c>
      <c r="B671" t="inlineStr">
        <is>
          <t>엘리온종합물류</t>
        </is>
      </c>
      <c r="C671" s="5" t="n">
        <v>20616538000</v>
      </c>
      <c r="D671" s="5" t="n">
        <v>2017058000</v>
      </c>
      <c r="E671" s="5" t="n">
        <v>18599480000</v>
      </c>
      <c r="F671" s="5" t="n">
        <v>23227270000</v>
      </c>
      <c r="G671" s="5" t="n">
        <v>3176393000</v>
      </c>
      <c r="H671" s="5" t="n">
        <v>26811761000</v>
      </c>
      <c r="I671" s="5" t="n">
        <v>2769022000</v>
      </c>
      <c r="J671" s="4" t="n">
        <v>5.477700233459473</v>
      </c>
      <c r="K671" s="4" t="n">
        <v>0.1084000021219254</v>
      </c>
      <c r="L671" s="4" t="n">
        <v>0.1368000060319901</v>
      </c>
      <c r="M671" t="inlineStr">
        <is>
          <t>김도형</t>
        </is>
      </c>
      <c r="N671" t="inlineStr">
        <is>
          <t>054-248-4707</t>
        </is>
      </c>
      <c r="O671" t="inlineStr">
        <is>
          <t>054-248-4705</t>
        </is>
      </c>
      <c r="P671" s="3" t="n"/>
      <c r="Q671" t="inlineStr">
        <is>
          <t>6178183088</t>
        </is>
      </c>
      <c r="R671" t="inlineStr">
        <is>
          <t>1801110705997</t>
        </is>
      </c>
      <c r="S671" t="inlineStr">
        <is>
          <t>대상아님</t>
        </is>
      </c>
      <c r="T671" t="inlineStr">
        <is>
          <t>일반법인</t>
        </is>
      </c>
      <c r="U671" t="inlineStr">
        <is>
          <t>중소기업</t>
        </is>
      </c>
      <c r="V671" t="inlineStr">
        <is>
          <t>외부감사대상</t>
        </is>
      </c>
      <c r="W671" s="6" t="inlineStr">
        <is>
          <t>2010-03-22</t>
        </is>
      </c>
      <c r="X671" t="inlineStr">
        <is>
          <t>KRI:10H5299200</t>
        </is>
      </c>
      <c r="Y671" t="inlineStr">
        <is>
          <t>화물운송 중개, 대리 및 관련 서비스업</t>
        </is>
      </c>
      <c r="Z671" t="inlineStr">
        <is>
          <t>복합물류주선,국제물류주선</t>
        </is>
      </c>
      <c r="AA671" t="inlineStr">
        <is>
          <t>경북 포항시 북구 흥해읍 용한리 895번지</t>
        </is>
      </c>
      <c r="AB671" t="inlineStr">
        <is>
          <t>경북 포항시 북구 흥해읍 영일만항로 238</t>
        </is>
      </c>
    </row>
    <row r="672" ht="19.2" customHeight="1" s="1">
      <c r="A672" t="inlineStr">
        <is>
          <t>NICE:IO7740</t>
        </is>
      </c>
      <c r="B672" t="inlineStr">
        <is>
          <t>지디씨</t>
        </is>
      </c>
      <c r="C672" s="5" t="n">
        <v>11826383000</v>
      </c>
      <c r="D672" s="5" t="n">
        <v>4350022000</v>
      </c>
      <c r="E672" s="5" t="n">
        <v>7476361000</v>
      </c>
      <c r="F672" s="5" t="n">
        <v>28728288000</v>
      </c>
      <c r="G672" s="5" t="n">
        <v>3286641000</v>
      </c>
      <c r="H672" s="5" t="n">
        <v>25558727000</v>
      </c>
      <c r="I672" s="5" t="n">
        <v>2260610000</v>
      </c>
      <c r="J672" s="4" t="n">
        <v>4.252600193023682</v>
      </c>
      <c r="K672" s="4" t="n">
        <v>0.5817999839782715</v>
      </c>
      <c r="L672" s="4" t="n">
        <v>0.1143999919295311</v>
      </c>
      <c r="M672" t="inlineStr">
        <is>
          <t>박근호</t>
        </is>
      </c>
      <c r="N672" t="inlineStr">
        <is>
          <t>031-429-5057</t>
        </is>
      </c>
      <c r="O672" t="inlineStr">
        <is>
          <t>031-8084-9874</t>
        </is>
      </c>
      <c r="P672" s="3" t="n"/>
      <c r="Q672" t="inlineStr">
        <is>
          <t>4418100699</t>
        </is>
      </c>
      <c r="R672" t="inlineStr">
        <is>
          <t>1341110464268</t>
        </is>
      </c>
      <c r="S672" t="inlineStr">
        <is>
          <t>대상아님</t>
        </is>
      </c>
      <c r="T672" t="inlineStr">
        <is>
          <t>일반법인</t>
        </is>
      </c>
      <c r="U672" t="inlineStr">
        <is>
          <t>중소기업</t>
        </is>
      </c>
      <c r="V672" t="inlineStr">
        <is>
          <t>외부감사비대상</t>
        </is>
      </c>
      <c r="W672" s="6" t="inlineStr">
        <is>
          <t>2017-03-23</t>
        </is>
      </c>
      <c r="X672" t="inlineStr">
        <is>
          <t>KRI:10G4521200</t>
        </is>
      </c>
      <c r="Y672" t="inlineStr">
        <is>
          <t>자동차용 전용 신품 부품 판매업</t>
        </is>
      </c>
      <c r="Z672" t="inlineStr">
        <is>
          <t>자동차부품,전자부품 도소매,제조,무역,통신 판매/부동산 임대/자동차용전장부품소프트웨어 개발,공급</t>
        </is>
      </c>
      <c r="AA672" t="inlineStr">
        <is>
          <t>경기 안양시 동안구 관양동 922번지 평촌역하이필드지식산업센터 에이 16층 1606호, 1607호, 1608호</t>
        </is>
      </c>
      <c r="AB672" t="inlineStr">
        <is>
          <t>경기 안양시 동안구 벌말로 66, 에이 16층 1606호, 1607호, 1608호 (관양동,평촌역하이필드지식산업센터)</t>
        </is>
      </c>
    </row>
    <row r="673" ht="19.2" customHeight="1" s="1">
      <c r="A673" t="inlineStr">
        <is>
          <t>NICE:488373</t>
        </is>
      </c>
      <c r="B673" t="inlineStr">
        <is>
          <t>삼녹</t>
        </is>
      </c>
      <c r="C673" s="5" t="n">
        <v>74422867000</v>
      </c>
      <c r="D673" s="5" t="n">
        <v>43055015000</v>
      </c>
      <c r="E673" s="5" t="n">
        <v>31367852000</v>
      </c>
      <c r="F673" s="5" t="n">
        <v>55537503000</v>
      </c>
      <c r="G673" s="5" t="n">
        <v>6895226000</v>
      </c>
      <c r="H673" s="5" t="n">
        <v>60561130000</v>
      </c>
      <c r="I673" s="5" t="n">
        <v>7606249000</v>
      </c>
      <c r="J673" s="4" t="n">
        <v>0.6402999758720398</v>
      </c>
      <c r="K673" s="4" t="n">
        <v>1.372599959373474</v>
      </c>
      <c r="L673" s="4" t="n">
        <v>0.1242000013589859</v>
      </c>
      <c r="M673" t="inlineStr">
        <is>
          <t>김기덕/이헌국/김환중</t>
        </is>
      </c>
      <c r="N673" t="inlineStr">
        <is>
          <t>055-638-3227</t>
        </is>
      </c>
      <c r="O673" t="inlineStr">
        <is>
          <t>055-638-3127</t>
        </is>
      </c>
      <c r="P673" s="3">
        <f>HYPERLINK("http://www.samnok.co.kr", "http://www.samnok.co.kr")</f>
        <v/>
      </c>
      <c r="Q673" t="inlineStr">
        <is>
          <t>6128124158</t>
        </is>
      </c>
      <c r="R673" t="inlineStr">
        <is>
          <t>1949110014940</t>
        </is>
      </c>
      <c r="S673" t="inlineStr">
        <is>
          <t>대상아님</t>
        </is>
      </c>
      <c r="T673" t="inlineStr">
        <is>
          <t>일반법인</t>
        </is>
      </c>
      <c r="U673" t="inlineStr">
        <is>
          <t>중소기업</t>
        </is>
      </c>
      <c r="V673" t="inlineStr">
        <is>
          <t>외부감사대상</t>
        </is>
      </c>
      <c r="W673" s="6" t="inlineStr">
        <is>
          <t>2006-02-03</t>
        </is>
      </c>
      <c r="X673" t="inlineStr">
        <is>
          <t>KRI:10C2592200</t>
        </is>
      </c>
      <c r="Y673" t="inlineStr">
        <is>
          <t>도금업</t>
        </is>
      </c>
      <c r="Z673" t="inlineStr">
        <is>
          <t>도금,선박구성부분품 제작,설치</t>
        </is>
      </c>
      <c r="AA673" t="inlineStr">
        <is>
          <t>경남 거제시 연초면 오비리 779-3번지</t>
        </is>
      </c>
      <c r="AB673" t="inlineStr">
        <is>
          <t>경남 거제시 연초면 오비4길 54</t>
        </is>
      </c>
    </row>
    <row r="674" ht="19.2" customHeight="1" s="1">
      <c r="A674" t="inlineStr">
        <is>
          <t>NICE:159554</t>
        </is>
      </c>
      <c r="B674" t="inlineStr">
        <is>
          <t>이카운트</t>
        </is>
      </c>
      <c r="C674" s="5" t="n">
        <v>63981609000</v>
      </c>
      <c r="D674" s="5" t="n">
        <v>11658414000</v>
      </c>
      <c r="E674" s="5" t="n">
        <v>52323195000</v>
      </c>
      <c r="F674" s="5" t="n">
        <v>44189205000</v>
      </c>
      <c r="G674" s="5" t="n">
        <v>6250711000</v>
      </c>
      <c r="H674" s="5" t="n">
        <v>42121374000</v>
      </c>
      <c r="I674" s="5" t="n">
        <v>8243300000</v>
      </c>
      <c r="J674" s="4" t="n">
        <v>1.087499976158142</v>
      </c>
      <c r="K674" s="4" t="n">
        <v>0.222800001502037</v>
      </c>
      <c r="L674" s="4" t="n">
        <v>0.1414999961853027</v>
      </c>
      <c r="M674" t="inlineStr">
        <is>
          <t>김신래</t>
        </is>
      </c>
      <c r="N674" t="inlineStr">
        <is>
          <t>1566-5333</t>
        </is>
      </c>
      <c r="O674" t="inlineStr">
        <is>
          <t>02-584-3396</t>
        </is>
      </c>
      <c r="P674" s="3">
        <f>HYPERLINK("http://www.ecount.co.kr", "http://www.ecount.co.kr")</f>
        <v/>
      </c>
      <c r="Q674" t="inlineStr">
        <is>
          <t>2208165848</t>
        </is>
      </c>
      <c r="R674" t="inlineStr">
        <is>
          <t>1101111755002</t>
        </is>
      </c>
      <c r="S674" t="inlineStr">
        <is>
          <t>대상아님</t>
        </is>
      </c>
      <c r="T674" t="inlineStr">
        <is>
          <t>일반법인</t>
        </is>
      </c>
      <c r="U674" t="inlineStr">
        <is>
          <t>중소기업</t>
        </is>
      </c>
      <c r="V674" t="inlineStr">
        <is>
          <t>외부감사대상</t>
        </is>
      </c>
      <c r="W674" s="6" t="inlineStr">
        <is>
          <t>1999-08-18</t>
        </is>
      </c>
      <c r="X674" t="inlineStr">
        <is>
          <t>KRI:10J5822200</t>
        </is>
      </c>
      <c r="Y674" t="inlineStr">
        <is>
          <t>응용 소프트웨어 개발 및 공급업</t>
        </is>
      </c>
      <c r="Z674" t="inlineStr">
        <is>
          <t>소프트웨어 개발,공급,온라인정보 제공</t>
        </is>
      </c>
      <c r="AA674" t="inlineStr">
        <is>
          <t>서울 강동구 고덕동 38-11번지</t>
        </is>
      </c>
      <c r="AB674" t="inlineStr">
        <is>
          <t>서울 강동구 고덕비즈밸리로6길 84</t>
        </is>
      </c>
    </row>
    <row r="675" ht="19.2" customHeight="1" s="1">
      <c r="A675" t="inlineStr">
        <is>
          <t>NICE:264268</t>
        </is>
      </c>
      <c r="B675" t="inlineStr">
        <is>
          <t>인터콘시스템스</t>
        </is>
      </c>
      <c r="C675" s="5" t="n">
        <v>44367036000</v>
      </c>
      <c r="D675" s="5" t="n">
        <v>12545754000</v>
      </c>
      <c r="E675" s="5" t="n">
        <v>31821283000</v>
      </c>
      <c r="F675" s="5" t="n">
        <v>34333253000</v>
      </c>
      <c r="G675" s="5" t="n">
        <v>6120130000</v>
      </c>
      <c r="H675" s="5" t="n">
        <v>20398648000</v>
      </c>
      <c r="I675" s="5" t="n">
        <v>2175033000</v>
      </c>
      <c r="J675" s="4" t="n">
        <v>2.937900066375732</v>
      </c>
      <c r="K675" s="4" t="n">
        <v>0.3942999839782715</v>
      </c>
      <c r="L675" s="4" t="n">
        <v>0.1782999932765961</v>
      </c>
      <c r="M675" t="inlineStr">
        <is>
          <t>김인현/전상필</t>
        </is>
      </c>
      <c r="N675" t="inlineStr">
        <is>
          <t>031-218-1241</t>
        </is>
      </c>
      <c r="O675" t="inlineStr">
        <is>
          <t>031-293-3969</t>
        </is>
      </c>
      <c r="P675" s="3">
        <f>HYPERLINK("http://www.icsys.co.kr", "http://www.icsys.co.kr")</f>
        <v/>
      </c>
      <c r="Q675" t="inlineStr">
        <is>
          <t>2148682100</t>
        </is>
      </c>
      <c r="R675" t="inlineStr">
        <is>
          <t>1101112236431</t>
        </is>
      </c>
      <c r="S675" t="inlineStr">
        <is>
          <t>대상아님</t>
        </is>
      </c>
      <c r="T675" t="inlineStr">
        <is>
          <t>일반법인</t>
        </is>
      </c>
      <c r="U675" t="inlineStr">
        <is>
          <t>중소기업</t>
        </is>
      </c>
      <c r="V675" t="inlineStr">
        <is>
          <t>외부감사대상</t>
        </is>
      </c>
      <c r="W675" s="6" t="inlineStr">
        <is>
          <t>2001-05-11</t>
        </is>
      </c>
      <c r="X675" t="inlineStr">
        <is>
          <t>KRI:10C3120200</t>
        </is>
      </c>
      <c r="Y675" t="inlineStr">
        <is>
          <t>철도차량 부품 및 관련 장치물 제조업</t>
        </is>
      </c>
      <c r="Z675" t="inlineStr">
        <is>
          <t>철도차량제어시스템,차량방송장치,출입문시스템 제조/철도차량 진단</t>
        </is>
      </c>
      <c r="AA675" t="inlineStr">
        <is>
          <t>경기 수원시 권선구 고색동 1049번지</t>
        </is>
      </c>
      <c r="AB675" t="inlineStr">
        <is>
          <t>경기 수원시 권선구 산업로155번길 264</t>
        </is>
      </c>
    </row>
    <row r="676" ht="19.2" customHeight="1" s="1">
      <c r="A676" t="inlineStr">
        <is>
          <t>NICE:JA6876</t>
        </is>
      </c>
      <c r="B676" t="inlineStr">
        <is>
          <t>안좌쏠라시티</t>
        </is>
      </c>
      <c r="C676" s="5" t="n">
        <v>226647765000</v>
      </c>
      <c r="D676" s="5" t="n">
        <v>184103127000</v>
      </c>
      <c r="E676" s="5" t="n">
        <v>42544638000</v>
      </c>
      <c r="F676" s="5" t="n">
        <v>37958416000</v>
      </c>
      <c r="G676" s="5" t="n">
        <v>13973544000</v>
      </c>
      <c r="H676" s="5" t="n">
        <v>36948493000</v>
      </c>
      <c r="I676" s="5" t="n">
        <v>12911388000</v>
      </c>
      <c r="J676" s="4" t="n">
        <v>1.616000056266785</v>
      </c>
      <c r="K676" s="4" t="n">
        <v>4.327300071716309</v>
      </c>
      <c r="L676" s="4" t="n">
        <v>0.3681000173091888</v>
      </c>
      <c r="M676" t="inlineStr">
        <is>
          <t>심현보</t>
        </is>
      </c>
      <c r="N676" t="inlineStr">
        <is>
          <t>02-3440-6200</t>
        </is>
      </c>
      <c r="O676" t="inlineStr">
        <is>
          <t>02-6000-7871</t>
        </is>
      </c>
      <c r="P676" s="3">
        <f>HYPERLINK("http://www.kchglobal.com", "http://www.kchglobal.com")</f>
        <v/>
      </c>
      <c r="Q676" t="inlineStr">
        <is>
          <t>3188108936</t>
        </is>
      </c>
      <c r="R676" t="inlineStr">
        <is>
          <t>2011110052623</t>
        </is>
      </c>
      <c r="S676" t="inlineStr">
        <is>
          <t>대상아님</t>
        </is>
      </c>
      <c r="T676" t="inlineStr">
        <is>
          <t>일반법인</t>
        </is>
      </c>
      <c r="U676" t="inlineStr">
        <is>
          <t>중소기업</t>
        </is>
      </c>
      <c r="V676" t="inlineStr">
        <is>
          <t>외부감사대상</t>
        </is>
      </c>
      <c r="W676" s="6" t="inlineStr">
        <is>
          <t>2018-03-20</t>
        </is>
      </c>
      <c r="X676" t="inlineStr">
        <is>
          <t>KRI:10D3511400</t>
        </is>
      </c>
      <c r="Y676" t="inlineStr">
        <is>
          <t>태양력 발전업</t>
        </is>
      </c>
      <c r="Z676" t="inlineStr">
        <is>
          <t>태양력 발전/전기공사/부동산 임대</t>
        </is>
      </c>
      <c r="AA676" t="inlineStr">
        <is>
          <t>전남 신안군 안좌면 구대리 675번지</t>
        </is>
      </c>
      <c r="AB676" t="inlineStr">
        <is>
          <t>전남 신안군 안좌면 안좌남부길 530-94</t>
        </is>
      </c>
    </row>
    <row r="677" ht="19.2" customHeight="1" s="1">
      <c r="A677" t="inlineStr">
        <is>
          <t>NICE:095267</t>
        </is>
      </c>
      <c r="B677" t="inlineStr">
        <is>
          <t>세계에프엘</t>
        </is>
      </c>
      <c r="C677" s="5" t="n">
        <v>39925178000</v>
      </c>
      <c r="D677" s="5" t="n">
        <v>3614438000</v>
      </c>
      <c r="E677" s="5" t="n">
        <v>36310740000</v>
      </c>
      <c r="F677" s="5" t="n">
        <v>23065126000</v>
      </c>
      <c r="G677" s="5" t="n">
        <v>3371619000</v>
      </c>
      <c r="H677" s="5" t="n">
        <v>21424214000</v>
      </c>
      <c r="I677" s="5" t="n">
        <v>3759502000</v>
      </c>
      <c r="J677" s="4" t="n">
        <v>7.599299907684326</v>
      </c>
      <c r="K677" s="4" t="n">
        <v>0.09949999302625656</v>
      </c>
      <c r="L677" s="4" t="n">
        <v>0.1462000012397766</v>
      </c>
      <c r="M677" t="inlineStr">
        <is>
          <t>이장우</t>
        </is>
      </c>
      <c r="N677" t="inlineStr">
        <is>
          <t>041-732-1803</t>
        </is>
      </c>
      <c r="O677" t="inlineStr">
        <is>
          <t>041-732-1824</t>
        </is>
      </c>
      <c r="P677" s="3">
        <f>HYPERLINK("http://www.sgfood.co.kr", "http://www.sgfood.co.kr")</f>
        <v/>
      </c>
      <c r="Q677" t="inlineStr">
        <is>
          <t>3088116837</t>
        </is>
      </c>
      <c r="R677" t="inlineStr">
        <is>
          <t>1643110006101</t>
        </is>
      </c>
      <c r="S677" t="inlineStr">
        <is>
          <t>대상아님</t>
        </is>
      </c>
      <c r="T677" t="inlineStr">
        <is>
          <t>일반법인</t>
        </is>
      </c>
      <c r="U677" t="inlineStr">
        <is>
          <t>중소기업</t>
        </is>
      </c>
      <c r="V677" t="inlineStr">
        <is>
          <t>외부감사대상</t>
        </is>
      </c>
      <c r="W677" s="6" t="inlineStr">
        <is>
          <t>2001-12-24</t>
        </is>
      </c>
      <c r="X677" t="inlineStr">
        <is>
          <t>KRI:10C1074900</t>
        </is>
      </c>
      <c r="Y677" t="inlineStr">
        <is>
          <t>기타 식품 첨가물 제조업</t>
        </is>
      </c>
      <c r="Z677" t="inlineStr">
        <is>
          <t>식품첨가물,건강식품 제조,도소매/창고/연구,개발</t>
        </is>
      </c>
      <c r="AA677" t="inlineStr">
        <is>
          <t>충남 논산시 성동면 원북리 855-9번지</t>
        </is>
      </c>
      <c r="AB677" t="inlineStr">
        <is>
          <t>충남 논산시 성동면 산업단지로3길 42</t>
        </is>
      </c>
    </row>
    <row r="678" ht="19.2" customHeight="1" s="1">
      <c r="A678" t="inlineStr">
        <is>
          <t>NICE:379012</t>
        </is>
      </c>
      <c r="B678" t="inlineStr">
        <is>
          <t>에릭슨코리아파트너스</t>
        </is>
      </c>
      <c r="C678" s="5" t="n">
        <v>311112561000</v>
      </c>
      <c r="D678" s="5" t="n">
        <v>87190235000</v>
      </c>
      <c r="E678" s="5" t="n">
        <v>223922326000</v>
      </c>
      <c r="F678" s="5" t="n">
        <v>224753205000</v>
      </c>
      <c r="G678" s="5" t="n">
        <v>23290294000</v>
      </c>
      <c r="H678" s="5" t="n">
        <v>345904233000</v>
      </c>
      <c r="I678" s="5" t="n">
        <v>41410343000</v>
      </c>
      <c r="J678" s="4" t="n">
        <v>2.996700048446655</v>
      </c>
      <c r="K678" s="4" t="n">
        <v>0.3893999755382538</v>
      </c>
      <c r="L678" s="4" t="n">
        <v>0.1035999953746796</v>
      </c>
      <c r="M678" t="inlineStr">
        <is>
          <t>허행만/시벨톰파즈피오라니</t>
        </is>
      </c>
      <c r="N678" t="inlineStr">
        <is>
          <t>02-2016-1588</t>
        </is>
      </c>
      <c r="O678" t="inlineStr">
        <is>
          <t>02-2016-1850</t>
        </is>
      </c>
      <c r="P678" s="3">
        <f>HYPERLINK("http://www.ericssonlg.co.kr", "http://www.ericssonlg.co.kr")</f>
        <v/>
      </c>
      <c r="Q678" t="inlineStr">
        <is>
          <t>2208717654</t>
        </is>
      </c>
      <c r="R678" t="inlineStr">
        <is>
          <t>1101113322669</t>
        </is>
      </c>
      <c r="S678" t="inlineStr">
        <is>
          <t>대상아님</t>
        </is>
      </c>
      <c r="T678" t="inlineStr">
        <is>
          <t>일반법인</t>
        </is>
      </c>
      <c r="U678" t="inlineStr">
        <is>
          <t>중견기업</t>
        </is>
      </c>
      <c r="V678" t="inlineStr">
        <is>
          <t>외부감사대상</t>
        </is>
      </c>
      <c r="W678" s="6" t="inlineStr">
        <is>
          <t>2005-10-13</t>
        </is>
      </c>
      <c r="X678" t="inlineStr">
        <is>
          <t>KRI:10G4652200</t>
        </is>
      </c>
      <c r="Y678" t="inlineStr">
        <is>
          <t>통신ㆍ방송장비 및 부품 도매업</t>
        </is>
      </c>
      <c r="Z678" t="inlineStr">
        <is>
          <t>통신장비,전기전자,전자교환기,키폰 도매,제조/연구,개발,전기전자,통신 엔지니어링</t>
        </is>
      </c>
      <c r="AA678" t="inlineStr">
        <is>
          <t>서울 강남구 역삼동 825-2번지 메리츠타워 13층</t>
        </is>
      </c>
      <c r="AB678" t="inlineStr">
        <is>
          <t>서울 강남구 강남대로 382, 13층 (역삼동,메리츠타워)</t>
        </is>
      </c>
    </row>
    <row r="679" ht="19.2" customHeight="1" s="1">
      <c r="A679" t="inlineStr">
        <is>
          <t>NICE:774774</t>
        </is>
      </c>
      <c r="B679" t="inlineStr">
        <is>
          <t>하나에어로다이내믹스</t>
        </is>
      </c>
      <c r="C679" s="5" t="n">
        <v>61427175000</v>
      </c>
      <c r="D679" s="5" t="n">
        <v>46269336000</v>
      </c>
      <c r="E679" s="5" t="n">
        <v>15157839000</v>
      </c>
      <c r="F679" s="5" t="n">
        <v>33286339000</v>
      </c>
      <c r="G679" s="5" t="n">
        <v>4988489000</v>
      </c>
      <c r="H679" s="5" t="n">
        <v>32037320000</v>
      </c>
      <c r="I679" s="5" t="n">
        <v>2854925000</v>
      </c>
      <c r="J679" s="4" t="n">
        <v>0.7231999635696411</v>
      </c>
      <c r="K679" s="4" t="n">
        <v>3.052500009536743</v>
      </c>
      <c r="L679" s="4" t="n">
        <v>0.1498999893665314</v>
      </c>
      <c r="M679" t="inlineStr">
        <is>
          <t>이명진/손창환</t>
        </is>
      </c>
      <c r="N679" t="inlineStr">
        <is>
          <t>055-830-3800</t>
        </is>
      </c>
      <c r="O679" t="inlineStr">
        <is>
          <t>055-901-0230</t>
        </is>
      </c>
      <c r="P679" s="3">
        <f>HYPERLINK("http://www.hanaaero.com/", "http://www.hanaaero.com/")</f>
        <v/>
      </c>
      <c r="Q679" t="inlineStr">
        <is>
          <t>6138142839</t>
        </is>
      </c>
      <c r="R679" t="inlineStr">
        <is>
          <t>1954110013446</t>
        </is>
      </c>
      <c r="S679" t="inlineStr">
        <is>
          <t>대상아님</t>
        </is>
      </c>
      <c r="T679" t="inlineStr">
        <is>
          <t>일반법인</t>
        </is>
      </c>
      <c r="U679" t="inlineStr">
        <is>
          <t>중소기업</t>
        </is>
      </c>
      <c r="V679" t="inlineStr">
        <is>
          <t>외부감사대상</t>
        </is>
      </c>
      <c r="W679" s="6" t="inlineStr">
        <is>
          <t>1990-01-03</t>
        </is>
      </c>
      <c r="X679" t="inlineStr">
        <is>
          <t>KRI:10C3132200</t>
        </is>
      </c>
      <c r="Y679" t="inlineStr">
        <is>
          <t>항공기용 부품 제조업</t>
        </is>
      </c>
      <c r="Z679" t="inlineStr">
        <is>
          <t>항공기부품,치공구 제조</t>
        </is>
      </c>
      <c r="AA679" t="inlineStr">
        <is>
          <t>경남 사천시 용현면 신복리 383번지</t>
        </is>
      </c>
      <c r="AB679" t="inlineStr">
        <is>
          <t>경남 사천시 용현면 안점봉수대길 87</t>
        </is>
      </c>
    </row>
    <row r="680" ht="19.2" customHeight="1" s="1">
      <c r="A680" t="inlineStr">
        <is>
          <t>NICE:C12921</t>
        </is>
      </c>
      <c r="B680" t="inlineStr">
        <is>
          <t>세명정공</t>
        </is>
      </c>
      <c r="C680" s="5" t="n">
        <v>16741068000</v>
      </c>
      <c r="D680" s="5" t="n">
        <v>6824922000</v>
      </c>
      <c r="E680" s="5" t="n">
        <v>9916146000</v>
      </c>
      <c r="F680" s="5" t="n">
        <v>20231406000</v>
      </c>
      <c r="G680" s="5" t="n">
        <v>5051802000</v>
      </c>
      <c r="H680" s="5" t="n">
        <v>12213575000</v>
      </c>
      <c r="I680" s="5" t="n">
        <v>1536057000</v>
      </c>
      <c r="J680" s="4" t="n">
        <v>3.814500093460083</v>
      </c>
      <c r="K680" s="4" t="n">
        <v>0.6883000135421753</v>
      </c>
      <c r="L680" s="4" t="n">
        <v>0.2496999949216843</v>
      </c>
      <c r="M680" t="inlineStr">
        <is>
          <t>박종두</t>
        </is>
      </c>
      <c r="N680" t="inlineStr">
        <is>
          <t>055-297-4871</t>
        </is>
      </c>
      <c r="O680" t="inlineStr">
        <is>
          <t>055-297-4873</t>
        </is>
      </c>
      <c r="P680" s="3" t="n"/>
      <c r="Q680" t="inlineStr">
        <is>
          <t>6088136882</t>
        </is>
      </c>
      <c r="R680" t="inlineStr">
        <is>
          <t>1901110036853</t>
        </is>
      </c>
      <c r="S680" t="inlineStr">
        <is>
          <t>대상아님</t>
        </is>
      </c>
      <c r="T680" t="inlineStr">
        <is>
          <t>일반법인</t>
        </is>
      </c>
      <c r="U680" t="inlineStr">
        <is>
          <t>중소기업</t>
        </is>
      </c>
      <c r="V680" t="inlineStr">
        <is>
          <t>외부감사대상</t>
        </is>
      </c>
      <c r="W680" s="6" t="inlineStr">
        <is>
          <t>1999-11-23</t>
        </is>
      </c>
      <c r="X680" t="inlineStr">
        <is>
          <t>KRI:10C2851900</t>
        </is>
      </c>
      <c r="Y680" t="inlineStr">
        <is>
          <t>기타 가정용 전기기기 제조업</t>
        </is>
      </c>
      <c r="Z680" t="inlineStr">
        <is>
          <t>전자기기부품 제조/기계설비공사/부동산 임대/용역</t>
        </is>
      </c>
      <c r="AA680" t="inlineStr">
        <is>
          <t>경남 함안군 칠원읍 용정리 1048-1번지</t>
        </is>
      </c>
      <c r="AB680" t="inlineStr">
        <is>
          <t>경남 함안군 칠원읍 원서로 213-11</t>
        </is>
      </c>
    </row>
    <row r="681" ht="19.2" customHeight="1" s="1">
      <c r="A681" t="inlineStr">
        <is>
          <t>NICE:231959</t>
        </is>
      </c>
      <c r="B681" t="inlineStr">
        <is>
          <t>엠티에스코리아</t>
        </is>
      </c>
      <c r="C681" s="5" t="n">
        <v>14664117000</v>
      </c>
      <c r="D681" s="5" t="n">
        <v>9809069000</v>
      </c>
      <c r="E681" s="5" t="n">
        <v>4855047000</v>
      </c>
      <c r="F681" s="5" t="n">
        <v>31389134000</v>
      </c>
      <c r="G681" s="5" t="n">
        <v>3613083000</v>
      </c>
      <c r="H681" s="5" t="n">
        <v>25031419000</v>
      </c>
      <c r="I681" s="5" t="n">
        <v>1114673000</v>
      </c>
      <c r="J681" s="4" t="n">
        <v>1.319399952888489</v>
      </c>
      <c r="K681" s="4" t="n">
        <v>2.020399808883667</v>
      </c>
      <c r="L681" s="4" t="n">
        <v>0.1150999963283539</v>
      </c>
      <c r="M681" t="inlineStr">
        <is>
          <t>김희승</t>
        </is>
      </c>
      <c r="N681" t="inlineStr">
        <is>
          <t>031-728-1600</t>
        </is>
      </c>
      <c r="O681" t="inlineStr">
        <is>
          <t>031-778-8499</t>
        </is>
      </c>
      <c r="P681" s="3">
        <f>HYPERLINK("http://www.mts.com/ko", "http://www.mts.com/ko")</f>
        <v/>
      </c>
      <c r="Q681" t="inlineStr">
        <is>
          <t>1208127786</t>
        </is>
      </c>
      <c r="R681" t="inlineStr">
        <is>
          <t>1101110938021</t>
        </is>
      </c>
      <c r="S681" t="inlineStr">
        <is>
          <t>대상아님</t>
        </is>
      </c>
      <c r="T681" t="inlineStr">
        <is>
          <t>일반법인</t>
        </is>
      </c>
      <c r="U681" t="inlineStr">
        <is>
          <t>중소기업</t>
        </is>
      </c>
      <c r="V681" t="inlineStr">
        <is>
          <t>외부감사대상</t>
        </is>
      </c>
      <c r="W681" s="6" t="inlineStr">
        <is>
          <t>1993-04-27</t>
        </is>
      </c>
      <c r="X681" t="inlineStr">
        <is>
          <t>KRI:10M7212900</t>
        </is>
      </c>
      <c r="Y681" t="inlineStr">
        <is>
          <t>기타 엔지니어링 서비스업</t>
        </is>
      </c>
      <c r="Z681" t="inlineStr">
        <is>
          <t>산업 시스템,토목,기계전기 엔지니어링/무역</t>
        </is>
      </c>
      <c r="AA681" t="inlineStr">
        <is>
          <t>경기 성남시 분당구 수내동 6-5번지 분당예미지빌딩 2층</t>
        </is>
      </c>
      <c r="AB681" t="inlineStr">
        <is>
          <t>경기 성남시 분당구 황새울로258번길 31, 2층 (수내동,분당예미지빌딩)</t>
        </is>
      </c>
    </row>
    <row r="682" s="1">
      <c r="A682" t="inlineStr">
        <is>
          <t>NICE:256927</t>
        </is>
      </c>
      <c r="B682" t="inlineStr">
        <is>
          <t>에버런스코리아</t>
        </is>
      </c>
      <c r="C682" s="5" t="n">
        <v>96237028000</v>
      </c>
      <c r="D682" s="5" t="n">
        <v>13908269000</v>
      </c>
      <c r="E682" s="5" t="n">
        <v>82328758000</v>
      </c>
      <c r="F682" s="5" t="n">
        <v>85300240000</v>
      </c>
      <c r="G682" s="5" t="n">
        <v>12369023000</v>
      </c>
      <c r="H682" s="5" t="n">
        <v>91455057000</v>
      </c>
      <c r="I682" s="5" t="n">
        <v>14231521000</v>
      </c>
      <c r="J682" s="4" t="n">
        <v>6.603799819946289</v>
      </c>
      <c r="K682" s="4" t="n">
        <v>0.1688999831676483</v>
      </c>
      <c r="L682" s="4" t="n">
        <v>0.1449999958276749</v>
      </c>
      <c r="M682" t="inlineStr">
        <is>
          <t>토미라스무센</t>
        </is>
      </c>
      <c r="N682" t="inlineStr">
        <is>
          <t>051-635-6644</t>
        </is>
      </c>
      <c r="O682" t="inlineStr">
        <is>
          <t>051-635-4004</t>
        </is>
      </c>
      <c r="P682">
        <f>HYPERLINK("http://www.man-es.com", "http://www.man-es.com")</f>
        <v/>
      </c>
      <c r="Q682" t="inlineStr">
        <is>
          <t>2038151539</t>
        </is>
      </c>
      <c r="R682" t="inlineStr">
        <is>
          <t>1101110881626</t>
        </is>
      </c>
      <c r="S682" t="inlineStr">
        <is>
          <t>대상아님</t>
        </is>
      </c>
      <c r="T682" t="inlineStr">
        <is>
          <t>일반법인</t>
        </is>
      </c>
      <c r="U682" t="inlineStr">
        <is>
          <t>중소기업</t>
        </is>
      </c>
      <c r="V682" t="inlineStr">
        <is>
          <t>외부감사대상</t>
        </is>
      </c>
      <c r="W682" s="6" t="inlineStr">
        <is>
          <t>1992-07-04</t>
        </is>
      </c>
      <c r="X682" t="inlineStr">
        <is>
          <t>KRI:10M7212900</t>
        </is>
      </c>
      <c r="Y682" t="inlineStr">
        <is>
          <t>기타 엔지니어링 서비스업</t>
        </is>
      </c>
      <c r="Z682" t="inlineStr">
        <is>
          <t>기계엔지니어링/산업용 디젤엔진,터빈,엔진부품,전자제어설비 제조,수리</t>
        </is>
      </c>
      <c r="AA682" t="inlineStr">
        <is>
          <t>부산 강서구 범방동 1911-13번지</t>
        </is>
      </c>
      <c r="AB682" t="inlineStr">
        <is>
          <t>부산 강서구 범방2로 51</t>
        </is>
      </c>
    </row>
    <row r="683" ht="19.2" customHeight="1" s="1">
      <c r="A683" t="inlineStr">
        <is>
          <t>NICE:490595</t>
        </is>
      </c>
      <c r="B683" t="inlineStr">
        <is>
          <t>효성에프엠에스</t>
        </is>
      </c>
      <c r="C683" s="5" t="n">
        <v>53753181000</v>
      </c>
      <c r="D683" s="5" t="n">
        <v>42033425000</v>
      </c>
      <c r="E683" s="5" t="n">
        <v>11719756000</v>
      </c>
      <c r="F683" s="5" t="n">
        <v>51391514000</v>
      </c>
      <c r="G683" s="5" t="n">
        <v>6628106000</v>
      </c>
      <c r="H683" s="5" t="n">
        <v>49278339000</v>
      </c>
      <c r="I683" s="5" t="n">
        <v>6234055000</v>
      </c>
      <c r="J683" s="4" t="n">
        <v>1.075399994850159</v>
      </c>
      <c r="K683" s="4" t="n">
        <v>3.586499929428101</v>
      </c>
      <c r="L683" s="4" t="n">
        <v>0.1289999932050705</v>
      </c>
      <c r="M683" t="inlineStr">
        <is>
          <t>강인식</t>
        </is>
      </c>
      <c r="N683" t="inlineStr">
        <is>
          <t>02-6181-2042</t>
        </is>
      </c>
      <c r="O683" t="inlineStr">
        <is>
          <t>02-6181-2999</t>
        </is>
      </c>
      <c r="P683" s="3">
        <f>HYPERLINK("http://www.hyosungfms.co.kr", "http://www.hyosungfms.co.kr")</f>
        <v/>
      </c>
      <c r="Q683" t="inlineStr">
        <is>
          <t>2118798181</t>
        </is>
      </c>
      <c r="R683" t="inlineStr">
        <is>
          <t>1101113694349</t>
        </is>
      </c>
      <c r="S683" t="inlineStr">
        <is>
          <t>대상아님</t>
        </is>
      </c>
      <c r="T683" t="inlineStr">
        <is>
          <t>일반법인</t>
        </is>
      </c>
      <c r="U683" t="inlineStr">
        <is>
          <t>대기업</t>
        </is>
      </c>
      <c r="V683" t="inlineStr">
        <is>
          <t>외부감사대상</t>
        </is>
      </c>
      <c r="W683" s="6" t="inlineStr">
        <is>
          <t>2007-06-11</t>
        </is>
      </c>
      <c r="X683" t="inlineStr">
        <is>
          <t>KRI:10J5822100</t>
        </is>
      </c>
      <c r="Y683" t="inlineStr">
        <is>
          <t>시스템 소프트웨어 개발 및 공급업</t>
        </is>
      </c>
      <c r="Z683" t="inlineStr">
        <is>
          <t>소프트웨어(CMS,휴대폰결제,가상계좌중계) 개발,공급</t>
        </is>
      </c>
      <c r="AA683" t="inlineStr">
        <is>
          <t>서울 강남구 수서동 715번지 수서빌딩 5층</t>
        </is>
      </c>
      <c r="AB683" t="inlineStr">
        <is>
          <t>서울 강남구 광평로 281, 5층 (수서동,수서빌딩)</t>
        </is>
      </c>
    </row>
    <row r="684" ht="19.2" customHeight="1" s="1">
      <c r="A684" t="inlineStr">
        <is>
          <t>NICE:LC7985</t>
        </is>
      </c>
      <c r="B684" t="inlineStr">
        <is>
          <t>센트로음성</t>
        </is>
      </c>
      <c r="C684" s="5" t="n">
        <v>45891107000</v>
      </c>
      <c r="D684" s="5" t="n">
        <v>23868609000</v>
      </c>
      <c r="E684" s="5" t="n">
        <v>22022498000</v>
      </c>
      <c r="F684" s="5" t="n">
        <v>24843451000</v>
      </c>
      <c r="G684" s="5" t="n">
        <v>13427021000</v>
      </c>
      <c r="H684" s="5" t="n">
        <v>13559528000</v>
      </c>
      <c r="I684" s="5" t="n">
        <v>7097195000</v>
      </c>
      <c r="J684" s="4" t="n">
        <v>0.8698000311851501</v>
      </c>
      <c r="K684" s="4" t="n">
        <v>1.083799958229065</v>
      </c>
      <c r="L684" s="4" t="n">
        <v>0.5404999852180481</v>
      </c>
      <c r="M684" t="inlineStr">
        <is>
          <t>김강우</t>
        </is>
      </c>
      <c r="N684" t="inlineStr">
        <is>
          <t>043-878-1070</t>
        </is>
      </c>
      <c r="O684" t="inlineStr">
        <is>
          <t>043-881-1237</t>
        </is>
      </c>
      <c r="P684" s="3" t="n"/>
      <c r="Q684" t="inlineStr">
        <is>
          <t>6668601759</t>
        </is>
      </c>
      <c r="R684" t="inlineStr">
        <is>
          <t>1545110088727</t>
        </is>
      </c>
      <c r="S684" t="inlineStr">
        <is>
          <t>대상아님</t>
        </is>
      </c>
      <c r="T684" t="inlineStr">
        <is>
          <t>일반법인</t>
        </is>
      </c>
      <c r="U684" t="inlineStr">
        <is>
          <t>중소기업</t>
        </is>
      </c>
      <c r="V684" t="inlineStr">
        <is>
          <t>외부감사대상</t>
        </is>
      </c>
      <c r="W684" s="6" t="inlineStr">
        <is>
          <t>2020-03-17</t>
        </is>
      </c>
      <c r="X684" t="inlineStr">
        <is>
          <t>KRI:10E3821000</t>
        </is>
      </c>
      <c r="Y684" t="inlineStr">
        <is>
          <t>지정 외 폐기물 처리업</t>
        </is>
      </c>
      <c r="Z684" t="inlineStr">
        <is>
          <t>폐기물 처리,재생,하수처리</t>
        </is>
      </c>
      <c r="AA684" t="inlineStr">
        <is>
          <t>충북 음성군 금왕읍 유포리 733번지</t>
        </is>
      </c>
      <c r="AB684" t="inlineStr">
        <is>
          <t>충북 음성군 금왕읍 성본산단6로 18</t>
        </is>
      </c>
    </row>
    <row r="685" ht="19.2" customHeight="1" s="1">
      <c r="A685" t="inlineStr">
        <is>
          <t>NICE:F23795</t>
        </is>
      </c>
      <c r="B685" t="inlineStr">
        <is>
          <t>워피온</t>
        </is>
      </c>
      <c r="C685" s="5" t="n">
        <v>37771772000</v>
      </c>
      <c r="D685" s="5" t="n">
        <v>23036913000</v>
      </c>
      <c r="E685" s="5" t="n">
        <v>14734859000</v>
      </c>
      <c r="F685" s="5" t="n">
        <v>38404976000</v>
      </c>
      <c r="G685" s="5" t="n">
        <v>3924868000</v>
      </c>
      <c r="H685" s="5" t="n">
        <v>34738452000</v>
      </c>
      <c r="I685" s="5" t="n">
        <v>2691016000</v>
      </c>
      <c r="J685" s="4" t="n">
        <v>1.083599925041199</v>
      </c>
      <c r="K685" s="4" t="n">
        <v>1.563399910926819</v>
      </c>
      <c r="L685" s="4" t="n">
        <v>0.1022000014781952</v>
      </c>
      <c r="M685" t="inlineStr">
        <is>
          <t>노응석</t>
        </is>
      </c>
      <c r="N685" t="inlineStr">
        <is>
          <t>031-976-4563</t>
        </is>
      </c>
      <c r="O685" t="inlineStr">
        <is>
          <t>032-811-4564</t>
        </is>
      </c>
      <c r="P685" s="3">
        <f>HYPERLINK("http://www.wapion.kr", "http://www.wapion.kr")</f>
        <v/>
      </c>
      <c r="Q685" t="inlineStr">
        <is>
          <t>1288638884</t>
        </is>
      </c>
      <c r="R685" t="inlineStr">
        <is>
          <t>2850110158390</t>
        </is>
      </c>
      <c r="S685" t="inlineStr">
        <is>
          <t>대상아님</t>
        </is>
      </c>
      <c r="T685" t="inlineStr">
        <is>
          <t>일반법인</t>
        </is>
      </c>
      <c r="U685" t="inlineStr">
        <is>
          <t>중소기업</t>
        </is>
      </c>
      <c r="V685" t="inlineStr">
        <is>
          <t>외부감사대상</t>
        </is>
      </c>
      <c r="W685" s="6" t="inlineStr">
        <is>
          <t>2009-04-23</t>
        </is>
      </c>
      <c r="X685" t="inlineStr">
        <is>
          <t>KRI:10C2917500</t>
        </is>
      </c>
      <c r="Y685" t="inlineStr">
        <is>
          <t>액체 여과기 제조업</t>
        </is>
      </c>
      <c r="Z685" t="inlineStr">
        <is>
          <t>정수기,정수기부품,밸브 제조/전자상거래</t>
        </is>
      </c>
      <c r="AA685" t="inlineStr">
        <is>
          <t>인천 남동구 고잔동 665-14번지</t>
        </is>
      </c>
      <c r="AB685" t="inlineStr">
        <is>
          <t>인천 남동구 남동동로124번길 53</t>
        </is>
      </c>
    </row>
    <row r="686" ht="19.2" customHeight="1" s="1">
      <c r="A686" t="inlineStr">
        <is>
          <t>NICE:F17679</t>
        </is>
      </c>
      <c r="B686" t="inlineStr">
        <is>
          <t>드림아스콘</t>
        </is>
      </c>
      <c r="C686" s="5" t="n">
        <v>40709542000</v>
      </c>
      <c r="D686" s="5" t="n">
        <v>19032972000</v>
      </c>
      <c r="E686" s="5" t="n">
        <v>21676570000</v>
      </c>
      <c r="F686" s="5" t="n">
        <v>33997709000</v>
      </c>
      <c r="G686" s="5" t="n">
        <v>5042123000</v>
      </c>
      <c r="H686" s="5" t="n">
        <v>38899378000</v>
      </c>
      <c r="I686" s="5" t="n">
        <v>5273349000</v>
      </c>
      <c r="J686" s="4" t="n">
        <v>1.68939995765686</v>
      </c>
      <c r="K686" s="4" t="n">
        <v>0.878000020980835</v>
      </c>
      <c r="L686" s="4" t="n">
        <v>0.1482999920845032</v>
      </c>
      <c r="M686" t="inlineStr">
        <is>
          <t>박혜연/서정윤</t>
        </is>
      </c>
      <c r="N686" t="inlineStr">
        <is>
          <t>032-678-0081</t>
        </is>
      </c>
      <c r="O686" t="inlineStr">
        <is>
          <t>032-672-5072</t>
        </is>
      </c>
      <c r="P686" s="3">
        <f>HYPERLINK("http://www.hi-dreams.com/", "http://www.hi-dreams.com/")</f>
        <v/>
      </c>
      <c r="Q686" t="inlineStr">
        <is>
          <t>1308640248</t>
        </is>
      </c>
      <c r="R686" t="inlineStr">
        <is>
          <t>1511110032337</t>
        </is>
      </c>
      <c r="S686" t="inlineStr">
        <is>
          <t>대상아님</t>
        </is>
      </c>
      <c r="T686" t="inlineStr">
        <is>
          <t>일반법인</t>
        </is>
      </c>
      <c r="U686" t="inlineStr">
        <is>
          <t>중소기업</t>
        </is>
      </c>
      <c r="V686" t="inlineStr">
        <is>
          <t>외부감사대상</t>
        </is>
      </c>
      <c r="W686" s="6" t="inlineStr">
        <is>
          <t>2008-04-07</t>
        </is>
      </c>
      <c r="X686" t="inlineStr">
        <is>
          <t>KRI:10C2399100</t>
        </is>
      </c>
      <c r="Y686" t="inlineStr">
        <is>
          <t>아스팔트 콘크리트 및 혼합제품 제조업</t>
        </is>
      </c>
      <c r="Z686" t="inlineStr">
        <is>
          <t>아스콘 제조</t>
        </is>
      </c>
      <c r="AA686" t="inlineStr">
        <is>
          <t>경기 부천시 오정구 삼정동 34-8번지</t>
        </is>
      </c>
      <c r="AB686" t="inlineStr">
        <is>
          <t>경기 부천시 오정구 오정로 12</t>
        </is>
      </c>
    </row>
    <row r="687" ht="19.2" customHeight="1" s="1">
      <c r="A687" t="inlineStr">
        <is>
          <t>NICE:JL4607</t>
        </is>
      </c>
      <c r="B687" t="inlineStr">
        <is>
          <t>아이스푸드앤바인</t>
        </is>
      </c>
      <c r="C687" s="5" t="n">
        <v>95816875000</v>
      </c>
      <c r="D687" s="5" t="n">
        <v>57797714000</v>
      </c>
      <c r="E687" s="5" t="n">
        <v>38019162000</v>
      </c>
      <c r="F687" s="5" t="n">
        <v>44289090000</v>
      </c>
      <c r="G687" s="5" t="n">
        <v>6828189000</v>
      </c>
      <c r="H687" s="5" t="n">
        <v>34176037000</v>
      </c>
      <c r="I687" s="5" t="n">
        <v>4856066000</v>
      </c>
      <c r="J687" s="4" t="n">
        <v>0.6211000084877014</v>
      </c>
      <c r="K687" s="4" t="n">
        <v>1.52020001411438</v>
      </c>
      <c r="L687" s="4" t="n">
        <v>0.1542000025510788</v>
      </c>
      <c r="M687" t="inlineStr">
        <is>
          <t>손병철/손봉민/손봉설</t>
        </is>
      </c>
      <c r="N687" t="inlineStr">
        <is>
          <t>055-356-5517</t>
        </is>
      </c>
      <c r="O687" t="inlineStr">
        <is>
          <t>055-356-5512</t>
        </is>
      </c>
      <c r="P687" s="3">
        <f>HYPERLINK("http://icefood.kr", "http://icefood.kr")</f>
        <v/>
      </c>
      <c r="Q687" t="inlineStr">
        <is>
          <t>4538701126</t>
        </is>
      </c>
      <c r="R687" t="inlineStr">
        <is>
          <t>1801111199503</t>
        </is>
      </c>
      <c r="S687" t="inlineStr">
        <is>
          <t>대상아님</t>
        </is>
      </c>
      <c r="T687" t="inlineStr">
        <is>
          <t>일반법인</t>
        </is>
      </c>
      <c r="U687" t="inlineStr">
        <is>
          <t>중소기업</t>
        </is>
      </c>
      <c r="V687" t="inlineStr">
        <is>
          <t>외부감사대상</t>
        </is>
      </c>
      <c r="W687" s="6" t="inlineStr">
        <is>
          <t>2019-02-01</t>
        </is>
      </c>
      <c r="X687" t="inlineStr">
        <is>
          <t>KRI:10C1120100</t>
        </is>
      </c>
      <c r="Y687" t="inlineStr">
        <is>
          <t>얼음 제조업</t>
        </is>
      </c>
      <c r="Z687" t="inlineStr">
        <is>
          <t>얼음,아이스팩 제조,도소매/창고 보관</t>
        </is>
      </c>
      <c r="AA687" t="inlineStr">
        <is>
          <t>경남 밀양시 삼랑진읍 미전리 1083번지</t>
        </is>
      </c>
      <c r="AB687" t="inlineStr">
        <is>
          <t>경남 밀양시 삼랑진읍 미율로 143-31</t>
        </is>
      </c>
    </row>
    <row r="688" ht="19.2" customHeight="1" s="1">
      <c r="A688" t="inlineStr">
        <is>
          <t>NICE:F21131</t>
        </is>
      </c>
      <c r="B688" t="inlineStr">
        <is>
          <t>다마스버터플라이코리아</t>
        </is>
      </c>
      <c r="C688" s="5" t="n">
        <v>13588944000</v>
      </c>
      <c r="D688" s="5" t="n">
        <v>1795066000</v>
      </c>
      <c r="E688" s="5" t="n">
        <v>11793878000</v>
      </c>
      <c r="F688" s="5" t="n">
        <v>22095376000</v>
      </c>
      <c r="G688" s="5" t="n">
        <v>5202696000</v>
      </c>
      <c r="H688" s="5" t="n">
        <v>22772010000</v>
      </c>
      <c r="I688" s="5" t="n">
        <v>6477071000</v>
      </c>
      <c r="J688" s="4" t="n">
        <v>5.541800022125244</v>
      </c>
      <c r="K688" s="4" t="n">
        <v>0.152199998497963</v>
      </c>
      <c r="L688" s="4" t="n">
        <v>0.2354999929666519</v>
      </c>
      <c r="M688" t="inlineStr">
        <is>
          <t>오사와타카코</t>
        </is>
      </c>
      <c r="N688" t="inlineStr">
        <is>
          <t>02-1644-5030</t>
        </is>
      </c>
      <c r="O688" t="inlineStr">
        <is>
          <t>031-776-2205</t>
        </is>
      </c>
      <c r="P688" s="3">
        <f>HYPERLINK("http://www.butterfly-korea.co.kr", "http://www.butterfly-korea.co.kr")</f>
        <v/>
      </c>
      <c r="Q688" t="inlineStr">
        <is>
          <t>2158722780</t>
        </is>
      </c>
      <c r="R688" t="inlineStr">
        <is>
          <t>1101114039213</t>
        </is>
      </c>
      <c r="S688" t="inlineStr">
        <is>
          <t>대상아님</t>
        </is>
      </c>
      <c r="T688" t="inlineStr">
        <is>
          <t>일반법인</t>
        </is>
      </c>
      <c r="U688" t="inlineStr">
        <is>
          <t>중소기업</t>
        </is>
      </c>
      <c r="V688" t="inlineStr">
        <is>
          <t>외부감사대상</t>
        </is>
      </c>
      <c r="W688" s="6" t="inlineStr">
        <is>
          <t>2009-02-06</t>
        </is>
      </c>
      <c r="X688" t="inlineStr">
        <is>
          <t>KRI:10G4646400</t>
        </is>
      </c>
      <c r="Y688" t="inlineStr">
        <is>
          <t>운동 및 경기용품 도매업</t>
        </is>
      </c>
      <c r="Z688" t="inlineStr">
        <is>
          <t>탁구용품 도소매,무역,제조</t>
        </is>
      </c>
      <c r="AA688" t="inlineStr">
        <is>
          <t>경기 성남시 중원구 상대원동 190-1번지 테크센터동 1101호</t>
        </is>
      </c>
      <c r="AB688" t="inlineStr">
        <is>
          <t>경기 성남시 중원구 사기막골로 124, 테크센터동 1101호</t>
        </is>
      </c>
    </row>
    <row r="689" ht="19.2" customHeight="1" s="1">
      <c r="A689" t="inlineStr">
        <is>
          <t>NICE:245937</t>
        </is>
      </c>
      <c r="B689" t="inlineStr">
        <is>
          <t>전오</t>
        </is>
      </c>
      <c r="C689" s="5" t="n">
        <v>38065438000</v>
      </c>
      <c r="D689" s="5" t="n">
        <v>5079445000</v>
      </c>
      <c r="E689" s="5" t="n">
        <v>32985993000</v>
      </c>
      <c r="F689" s="5" t="n">
        <v>64771875000</v>
      </c>
      <c r="G689" s="5" t="n">
        <v>12223093000</v>
      </c>
      <c r="H689" s="5" t="n">
        <v>69319592000</v>
      </c>
      <c r="I689" s="5" t="n">
        <v>13417684000</v>
      </c>
      <c r="J689" s="4" t="n">
        <v>6.084000110626221</v>
      </c>
      <c r="K689" s="4" t="n">
        <v>0.153999999165535</v>
      </c>
      <c r="L689" s="4" t="n">
        <v>0.1887000054121017</v>
      </c>
      <c r="M689" t="inlineStr">
        <is>
          <t>오석춘</t>
        </is>
      </c>
      <c r="N689" t="inlineStr">
        <is>
          <t>031-998-8523</t>
        </is>
      </c>
      <c r="O689" t="inlineStr">
        <is>
          <t>031-998-8524</t>
        </is>
      </c>
      <c r="P689" s="3">
        <f>HYPERLINK("http://www.jeono.com", "http://www.jeono.com")</f>
        <v/>
      </c>
      <c r="Q689" t="inlineStr">
        <is>
          <t>1308162489</t>
        </is>
      </c>
      <c r="R689" t="inlineStr">
        <is>
          <t>1211110070052</t>
        </is>
      </c>
      <c r="S689" t="inlineStr">
        <is>
          <t>대상아님</t>
        </is>
      </c>
      <c r="T689" t="inlineStr">
        <is>
          <t>일반법인</t>
        </is>
      </c>
      <c r="U689" t="inlineStr">
        <is>
          <t>중소기업</t>
        </is>
      </c>
      <c r="V689" t="inlineStr">
        <is>
          <t>외부감사대상</t>
        </is>
      </c>
      <c r="W689" s="6" t="inlineStr">
        <is>
          <t>1999-10-01</t>
        </is>
      </c>
      <c r="X689" t="inlineStr">
        <is>
          <t>KRI:10C2629900</t>
        </is>
      </c>
      <c r="Y689" t="inlineStr">
        <is>
          <t>그 외 기타 전자부품 제조업</t>
        </is>
      </c>
      <c r="Z689" t="inlineStr">
        <is>
          <t>압착단자,커넥터,전기부품 제조,도매</t>
        </is>
      </c>
      <c r="AA689" t="inlineStr">
        <is>
          <t>경기 김포시 통진읍 귀전리 36번지</t>
        </is>
      </c>
      <c r="AB689" t="inlineStr">
        <is>
          <t>경기 김포시 통진읍 애기봉로 641</t>
        </is>
      </c>
    </row>
    <row r="690" ht="19.2" customHeight="1" s="1">
      <c r="A690" t="inlineStr">
        <is>
          <t>NICE:627224</t>
        </is>
      </c>
      <c r="B690" t="inlineStr">
        <is>
          <t>도날슨코리아</t>
        </is>
      </c>
      <c r="C690" s="5" t="n">
        <v>26900875000</v>
      </c>
      <c r="D690" s="5" t="n">
        <v>10395095000</v>
      </c>
      <c r="E690" s="5" t="n">
        <v>16505780000</v>
      </c>
      <c r="F690" s="5" t="n">
        <v>47341956000</v>
      </c>
      <c r="G690" s="5" t="n">
        <v>8872973000</v>
      </c>
      <c r="H690" s="5" t="n">
        <v>46818750000</v>
      </c>
      <c r="I690" s="5" t="n">
        <v>8547055000</v>
      </c>
      <c r="J690" s="4" t="n">
        <v>2.457099914550781</v>
      </c>
      <c r="K690" s="4" t="n">
        <v>0.6297999620437622</v>
      </c>
      <c r="L690" s="4" t="n">
        <v>0.1873999983072281</v>
      </c>
      <c r="M690" t="inlineStr">
        <is>
          <t>이환</t>
        </is>
      </c>
      <c r="N690" t="inlineStr">
        <is>
          <t>02-519-7512</t>
        </is>
      </c>
      <c r="O690" t="inlineStr">
        <is>
          <t>02-517-8444</t>
        </is>
      </c>
      <c r="P690" s="3">
        <f>HYPERLINK("http://www.donaldson.co.kr", "http://www.donaldson.co.kr")</f>
        <v/>
      </c>
      <c r="Q690" t="inlineStr">
        <is>
          <t>1208175236</t>
        </is>
      </c>
      <c r="R690" t="inlineStr">
        <is>
          <t>1101111445801</t>
        </is>
      </c>
      <c r="S690" t="inlineStr">
        <is>
          <t>대상아님</t>
        </is>
      </c>
      <c r="T690" t="inlineStr">
        <is>
          <t>일반법인</t>
        </is>
      </c>
      <c r="U690" t="inlineStr">
        <is>
          <t>중소기업</t>
        </is>
      </c>
      <c r="V690" t="inlineStr">
        <is>
          <t>외부감사대상</t>
        </is>
      </c>
      <c r="W690" s="6" t="inlineStr">
        <is>
          <t>1997-07-29</t>
        </is>
      </c>
      <c r="X690" t="inlineStr">
        <is>
          <t>KRI:10G4659900</t>
        </is>
      </c>
      <c r="Y690" t="inlineStr">
        <is>
          <t>그 외 기타 기계 및 장비 도매업</t>
        </is>
      </c>
      <c r="Z690" t="inlineStr">
        <is>
          <t>산업용필터 도소매,제조</t>
        </is>
      </c>
      <c r="AA690" t="inlineStr">
        <is>
          <t>경기 성남시 분당구 백현동 541번지 현대백화점 11층 오피스동</t>
        </is>
      </c>
      <c r="AB690" t="inlineStr">
        <is>
          <t>경기 성남시 분당구 판교역로146번길 20, 11층 오피스동 (백현동,현대백화점)</t>
        </is>
      </c>
    </row>
    <row r="691" ht="19.2" customHeight="1" s="1">
      <c r="A691" t="inlineStr">
        <is>
          <t>NICE:032169</t>
        </is>
      </c>
      <c r="B691" t="inlineStr">
        <is>
          <t>참테크놀로지</t>
        </is>
      </c>
      <c r="C691" s="5" t="n">
        <v>72555591000</v>
      </c>
      <c r="D691" s="5" t="n">
        <v>44811994000</v>
      </c>
      <c r="E691" s="5" t="n">
        <v>27743597000</v>
      </c>
      <c r="F691" s="5" t="n">
        <v>27256744000</v>
      </c>
      <c r="G691" s="5" t="n">
        <v>9241616000</v>
      </c>
      <c r="H691" s="5" t="n">
        <v>33579925000</v>
      </c>
      <c r="I691" s="5" t="n">
        <v>13033086000</v>
      </c>
      <c r="J691" s="4" t="n">
        <v>0.4904999732971191</v>
      </c>
      <c r="K691" s="4" t="n">
        <v>1.615200042724609</v>
      </c>
      <c r="L691" s="4" t="n">
        <v>0.3391000032424927</v>
      </c>
      <c r="M691" t="inlineStr">
        <is>
          <t>문석민</t>
        </is>
      </c>
      <c r="N691" t="inlineStr">
        <is>
          <t>02-711-0694</t>
        </is>
      </c>
      <c r="O691" t="inlineStr">
        <is>
          <t>02-711-0706</t>
        </is>
      </c>
      <c r="P691" s="3">
        <f>HYPERLINK("http://www.charmtechnology.co.kr", "http://www.charmtechnology.co.kr")</f>
        <v/>
      </c>
      <c r="Q691" t="inlineStr">
        <is>
          <t>2208119908</t>
        </is>
      </c>
      <c r="R691" t="inlineStr">
        <is>
          <t>1101111039159</t>
        </is>
      </c>
      <c r="S691" t="inlineStr">
        <is>
          <t>대상아님</t>
        </is>
      </c>
      <c r="T691" t="inlineStr">
        <is>
          <t>일반법인</t>
        </is>
      </c>
      <c r="U691" t="inlineStr">
        <is>
          <t>중소기업</t>
        </is>
      </c>
      <c r="V691" t="inlineStr">
        <is>
          <t>외부감사대상</t>
        </is>
      </c>
      <c r="W691" s="6" t="inlineStr">
        <is>
          <t>1994-05-23</t>
        </is>
      </c>
      <c r="X691" t="inlineStr">
        <is>
          <t>KRI:10C2721200</t>
        </is>
      </c>
      <c r="Y691" t="inlineStr">
        <is>
          <t>전자기 측정, 시험 및 분석기구 제조업</t>
        </is>
      </c>
      <c r="Z691" t="inlineStr">
        <is>
          <t>미립자계측기,전자부품,건축자재,통신장비 제조,도소매,무역</t>
        </is>
      </c>
      <c r="AA691" t="inlineStr">
        <is>
          <t>경기 광명시 일직동 514번지 지아이디씨 씨동 902호,903호,904호</t>
        </is>
      </c>
      <c r="AB691" t="inlineStr">
        <is>
          <t>경기 광명시 일직로 43, 씨동 902호,903호,904호 (일직동,지아이디씨)</t>
        </is>
      </c>
    </row>
    <row r="692" ht="19.2" customHeight="1" s="1">
      <c r="A692" t="inlineStr">
        <is>
          <t>NICE:I81026</t>
        </is>
      </c>
      <c r="B692" t="inlineStr">
        <is>
          <t>화성광주고속도로</t>
        </is>
      </c>
      <c r="C692" s="5" t="n">
        <v>671102436000</v>
      </c>
      <c r="D692" s="5" t="n">
        <v>639509707000</v>
      </c>
      <c r="E692" s="5" t="n">
        <v>31592729000</v>
      </c>
      <c r="F692" s="5" t="n">
        <v>67400629000</v>
      </c>
      <c r="G692" s="5" t="n">
        <v>29879688000</v>
      </c>
      <c r="H692" s="5" t="n">
        <v>59788640000</v>
      </c>
      <c r="I692" s="5" t="n">
        <v>24106187000</v>
      </c>
      <c r="J692" s="4" t="n">
        <v>0.5198000073432922</v>
      </c>
      <c r="K692" s="4" t="n">
        <v>20.24230003356934</v>
      </c>
      <c r="L692" s="4" t="n">
        <v>0.4433000087738037</v>
      </c>
      <c r="M692" t="inlineStr">
        <is>
          <t>안창우</t>
        </is>
      </c>
      <c r="N692" t="inlineStr">
        <is>
          <t>031-281-1913</t>
        </is>
      </c>
      <c r="O692" t="inlineStr">
        <is>
          <t>031-281-1917</t>
        </is>
      </c>
      <c r="P692" s="3" t="n"/>
      <c r="Q692" t="inlineStr">
        <is>
          <t>1018678028</t>
        </is>
      </c>
      <c r="R692" t="inlineStr">
        <is>
          <t>1101115030004</t>
        </is>
      </c>
      <c r="S692" t="inlineStr">
        <is>
          <t>대상아님</t>
        </is>
      </c>
      <c r="T692" t="inlineStr">
        <is>
          <t>일반법인</t>
        </is>
      </c>
      <c r="U692" t="inlineStr">
        <is>
          <t>중소기업</t>
        </is>
      </c>
      <c r="V692" t="inlineStr">
        <is>
          <t>외부감사대상</t>
        </is>
      </c>
      <c r="W692" s="6" t="inlineStr">
        <is>
          <t>2012-12-26</t>
        </is>
      </c>
      <c r="X692" t="inlineStr">
        <is>
          <t>KRI:10H5291400</t>
        </is>
      </c>
      <c r="Y692" t="inlineStr">
        <is>
          <t>도로 및 관련시설 운영업</t>
        </is>
      </c>
      <c r="Z692" t="inlineStr">
        <is>
          <t>도로,관련시설 운영</t>
        </is>
      </c>
      <c r="AA692" t="inlineStr">
        <is>
          <t>경기 용인시 처인구 포곡읍 영문리 5-26번지</t>
        </is>
      </c>
      <c r="AB692" t="inlineStr">
        <is>
          <t>경기 용인시 처인구 포곡읍 석성로 1127-33</t>
        </is>
      </c>
    </row>
    <row r="693" ht="19.2" customHeight="1" s="1">
      <c r="A693" t="inlineStr">
        <is>
          <t>NICE:189933</t>
        </is>
      </c>
      <c r="B693" t="inlineStr">
        <is>
          <t>썬시멘트</t>
        </is>
      </c>
      <c r="C693" s="5" t="n">
        <v>96900275000</v>
      </c>
      <c r="D693" s="5" t="n">
        <v>63169783000</v>
      </c>
      <c r="E693" s="5" t="n">
        <v>33730492000</v>
      </c>
      <c r="F693" s="5" t="n">
        <v>66896257000</v>
      </c>
      <c r="G693" s="5" t="n">
        <v>12546038000</v>
      </c>
      <c r="H693" s="5" t="n">
        <v>65051323000</v>
      </c>
      <c r="I693" s="5" t="n">
        <v>9201183000</v>
      </c>
      <c r="J693" s="4" t="n">
        <v>0.6476999521255493</v>
      </c>
      <c r="K693" s="4" t="n">
        <v>1.87279999256134</v>
      </c>
      <c r="L693" s="4" t="n">
        <v>0.1875</v>
      </c>
      <c r="M693" t="inlineStr">
        <is>
          <t>이민호</t>
        </is>
      </c>
      <c r="N693" t="inlineStr">
        <is>
          <t>061-461-1267</t>
        </is>
      </c>
      <c r="O693" t="inlineStr">
        <is>
          <t>061-461-1270</t>
        </is>
      </c>
      <c r="P693" s="3" t="n"/>
      <c r="Q693" t="inlineStr">
        <is>
          <t>4168134515</t>
        </is>
      </c>
      <c r="R693" t="inlineStr">
        <is>
          <t>2013110020478</t>
        </is>
      </c>
      <c r="S693" t="inlineStr">
        <is>
          <t>대상아님</t>
        </is>
      </c>
      <c r="T693" t="inlineStr">
        <is>
          <t>일반법인</t>
        </is>
      </c>
      <c r="U693" t="inlineStr">
        <is>
          <t>중소기업</t>
        </is>
      </c>
      <c r="V693" t="inlineStr">
        <is>
          <t>외부감사대상</t>
        </is>
      </c>
      <c r="W693" s="6" t="inlineStr">
        <is>
          <t>2001-11-08</t>
        </is>
      </c>
      <c r="X693" t="inlineStr">
        <is>
          <t>KRI:10C2331100</t>
        </is>
      </c>
      <c r="Y693" t="inlineStr">
        <is>
          <t>시멘트 제조업</t>
        </is>
      </c>
      <c r="Z693" t="inlineStr">
        <is>
          <t>시멘트,스라그파우더 제조,도소매/금,은,고령토,납석,조광권/규산질비료,금,은,정광 제조/무역(광업기기판매,수출입)</t>
        </is>
      </c>
      <c r="AA693" t="inlineStr">
        <is>
          <t>전남 영암군 삼호읍 난전리 1707-9번지</t>
        </is>
      </c>
      <c r="AB693" t="inlineStr">
        <is>
          <t>전남 영암군 삼호읍 용앙로 438</t>
        </is>
      </c>
    </row>
    <row r="694" ht="19.2" customHeight="1" s="1">
      <c r="A694" t="inlineStr">
        <is>
          <t>NICE:700720</t>
        </is>
      </c>
      <c r="B694" t="inlineStr">
        <is>
          <t>아마다웰드테크코리아</t>
        </is>
      </c>
      <c r="C694" s="5" t="n">
        <v>41040066000</v>
      </c>
      <c r="D694" s="5" t="n">
        <v>10501104000</v>
      </c>
      <c r="E694" s="5" t="n">
        <v>30538962000</v>
      </c>
      <c r="F694" s="5" t="n">
        <v>51160608000</v>
      </c>
      <c r="G694" s="5" t="n">
        <v>6214984000</v>
      </c>
      <c r="H694" s="5" t="n">
        <v>54477330000</v>
      </c>
      <c r="I694" s="5" t="n">
        <v>5377895000</v>
      </c>
      <c r="J694" s="4" t="n">
        <v>2.918499946594238</v>
      </c>
      <c r="K694" s="4" t="n">
        <v>0.3438999950885773</v>
      </c>
      <c r="L694" s="4" t="n">
        <v>0.1214999929070473</v>
      </c>
      <c r="M694" t="inlineStr">
        <is>
          <t>오자와하루타카</t>
        </is>
      </c>
      <c r="N694" t="inlineStr">
        <is>
          <t>031-8015-6810</t>
        </is>
      </c>
      <c r="O694" t="inlineStr">
        <is>
          <t>031-8003-5995</t>
        </is>
      </c>
      <c r="P694" s="3">
        <f>HYPERLINK("http://www.amadaweldtech.co.kr", "http://www.amadaweldtech.co.kr")</f>
        <v/>
      </c>
      <c r="Q694" t="inlineStr">
        <is>
          <t>2298105487</t>
        </is>
      </c>
      <c r="R694" t="inlineStr">
        <is>
          <t>1101110767347</t>
        </is>
      </c>
      <c r="S694" t="inlineStr">
        <is>
          <t>대상아님</t>
        </is>
      </c>
      <c r="T694" t="inlineStr">
        <is>
          <t>일반법인</t>
        </is>
      </c>
      <c r="U694" t="inlineStr">
        <is>
          <t>중견기업</t>
        </is>
      </c>
      <c r="V694" t="inlineStr">
        <is>
          <t>외부감사대상</t>
        </is>
      </c>
      <c r="W694" s="6" t="inlineStr">
        <is>
          <t>1991-04-02</t>
        </is>
      </c>
      <c r="X694" t="inlineStr">
        <is>
          <t>KRI:10G4653900</t>
        </is>
      </c>
      <c r="Y694" t="inlineStr">
        <is>
          <t>기타 산업용 기계 및 장비 도매업</t>
        </is>
      </c>
      <c r="Z694" t="inlineStr">
        <is>
          <t>레이저용접기기,레이저마킹기계,전기용접기 도매,무역,오파,제조</t>
        </is>
      </c>
      <c r="AA694" t="inlineStr">
        <is>
          <t>경기 화성시 동탄구 능동 1060번지</t>
        </is>
      </c>
      <c r="AB694" t="inlineStr">
        <is>
          <t>경기 화성시 동탄구 동탄하나1길 28</t>
        </is>
      </c>
    </row>
    <row r="695" ht="19.2" customHeight="1" s="1">
      <c r="A695" t="inlineStr">
        <is>
          <t>NICE:CB9762</t>
        </is>
      </c>
      <c r="B695" t="inlineStr">
        <is>
          <t>메이블</t>
        </is>
      </c>
      <c r="C695" s="5" t="n">
        <v>37375962000</v>
      </c>
      <c r="D695" s="5" t="n">
        <v>16156456000</v>
      </c>
      <c r="E695" s="5" t="n">
        <v>21219506000</v>
      </c>
      <c r="F695" s="5" t="n">
        <v>38807837000</v>
      </c>
      <c r="G695" s="5" t="n">
        <v>6006598000</v>
      </c>
      <c r="H695" s="5" t="n">
        <v>31445604000</v>
      </c>
      <c r="I695" s="5" t="n">
        <v>4464606000</v>
      </c>
      <c r="J695" s="4" t="n">
        <v>1.402999997138977</v>
      </c>
      <c r="K695" s="4" t="n">
        <v>0.7613999843597412</v>
      </c>
      <c r="L695" s="4" t="n">
        <v>0.1547999978065491</v>
      </c>
      <c r="M695" t="inlineStr">
        <is>
          <t>박세권</t>
        </is>
      </c>
      <c r="N695" t="inlineStr">
        <is>
          <t>02-2210-7706</t>
        </is>
      </c>
      <c r="O695" t="inlineStr">
        <is>
          <t>02-2210-7777</t>
        </is>
      </c>
      <c r="P695" s="3">
        <f>HYPERLINK("http://www.mable-company.com", "http://www.mable-company.com")</f>
        <v/>
      </c>
      <c r="Q695" t="inlineStr">
        <is>
          <t>1298691922</t>
        </is>
      </c>
      <c r="R695" t="inlineStr">
        <is>
          <t>1311110395557</t>
        </is>
      </c>
      <c r="S695" t="inlineStr">
        <is>
          <t>대상아님</t>
        </is>
      </c>
      <c r="T695" t="inlineStr">
        <is>
          <t>일반법인</t>
        </is>
      </c>
      <c r="U695" t="inlineStr">
        <is>
          <t>중소기업</t>
        </is>
      </c>
      <c r="V695" t="inlineStr">
        <is>
          <t>외부감사대상</t>
        </is>
      </c>
      <c r="W695" s="6" t="inlineStr">
        <is>
          <t>2014-12-23</t>
        </is>
      </c>
      <c r="X695" t="inlineStr">
        <is>
          <t>KRI:10C1419400</t>
        </is>
      </c>
      <c r="Y695" t="inlineStr">
        <is>
          <t>유아용 의복 제조업</t>
        </is>
      </c>
      <c r="Z695" t="inlineStr">
        <is>
          <t>아동복 제조/전자상거래/디자인컨설팅</t>
        </is>
      </c>
      <c r="AA695" t="inlineStr">
        <is>
          <t>서울 성동구 성수동2가 280-6번지 생각공장데시앙플렉스 1807호</t>
        </is>
      </c>
      <c r="AB695" t="inlineStr">
        <is>
          <t>서울 성동구 아차산로17길 49, 1807호 (성수동2가,생각공장데시앙플렉스)</t>
        </is>
      </c>
    </row>
    <row r="696" ht="19.2" customHeight="1" s="1">
      <c r="A696" t="inlineStr">
        <is>
          <t>NICE:J28231</t>
        </is>
      </c>
      <c r="B696" t="inlineStr">
        <is>
          <t>시마즈한국진공기기</t>
        </is>
      </c>
      <c r="C696" s="5" t="n">
        <v>32564526000</v>
      </c>
      <c r="D696" s="5" t="n">
        <v>8153105000</v>
      </c>
      <c r="E696" s="5" t="n">
        <v>24411420000</v>
      </c>
      <c r="F696" s="5" t="n">
        <v>32320830000</v>
      </c>
      <c r="G696" s="5" t="n">
        <v>5082167000</v>
      </c>
      <c r="H696" s="5" t="n">
        <v>28307314000</v>
      </c>
      <c r="I696" s="5" t="n">
        <v>3486833000</v>
      </c>
      <c r="J696" s="4" t="n">
        <v>2.933099985122681</v>
      </c>
      <c r="K696" s="4" t="n">
        <v>0.3340000212192535</v>
      </c>
      <c r="L696" s="4" t="n">
        <v>0.1571999937295914</v>
      </c>
      <c r="M696" t="inlineStr">
        <is>
          <t>쓰나미마사카즈</t>
        </is>
      </c>
      <c r="N696" t="inlineStr">
        <is>
          <t>031-283-0242</t>
        </is>
      </c>
      <c r="O696" t="inlineStr">
        <is>
          <t>031-333-8857</t>
        </is>
      </c>
      <c r="P696" s="3">
        <f>HYPERLINK("http://www.shimadzu.kr", "http://www.shimadzu.kr")</f>
        <v/>
      </c>
      <c r="Q696" t="inlineStr">
        <is>
          <t>1428139360</t>
        </is>
      </c>
      <c r="R696" t="inlineStr">
        <is>
          <t>1345110175742</t>
        </is>
      </c>
      <c r="S696" t="inlineStr">
        <is>
          <t>대상아님</t>
        </is>
      </c>
      <c r="T696" t="inlineStr">
        <is>
          <t>일반법인</t>
        </is>
      </c>
      <c r="U696" t="inlineStr">
        <is>
          <t>중견기업</t>
        </is>
      </c>
      <c r="V696" t="inlineStr">
        <is>
          <t>외부감사대상</t>
        </is>
      </c>
      <c r="W696" s="6" t="inlineStr">
        <is>
          <t>2011-08-11</t>
        </is>
      </c>
      <c r="X696" t="inlineStr">
        <is>
          <t>KRI:10C2913200</t>
        </is>
      </c>
      <c r="Y696" t="inlineStr">
        <is>
          <t>기체 펌프 및 압축기 제조업</t>
        </is>
      </c>
      <c r="Z696" t="inlineStr">
        <is>
          <t>터보분자펌프,진공기기,유압기기 제조,도소매</t>
        </is>
      </c>
      <c r="AA696" t="inlineStr">
        <is>
          <t>경기 용인시 처인구 이동읍 덕성리 1277번지</t>
        </is>
      </c>
      <c r="AB696" t="inlineStr">
        <is>
          <t>경기 용인시 처인구 이동읍 덕성산단1로 9</t>
        </is>
      </c>
    </row>
    <row r="697" ht="19.2" customHeight="1" s="1">
      <c r="A697" t="inlineStr">
        <is>
          <t>NICE:953351</t>
        </is>
      </c>
      <c r="B697" t="inlineStr">
        <is>
          <t>성담</t>
        </is>
      </c>
      <c r="C697" s="5" t="n">
        <v>573039393000</v>
      </c>
      <c r="D697" s="5" t="n">
        <v>127840083000</v>
      </c>
      <c r="E697" s="5" t="n">
        <v>445199310000</v>
      </c>
      <c r="F697" s="5" t="n">
        <v>29944242000</v>
      </c>
      <c r="G697" s="5" t="n">
        <v>7472950000</v>
      </c>
      <c r="H697" s="5" t="n">
        <v>59059503000</v>
      </c>
      <c r="I697" s="5" t="n">
        <v>26411705000</v>
      </c>
      <c r="J697" s="4" t="n">
        <v>0.4090000092983246</v>
      </c>
      <c r="K697" s="4" t="n">
        <v>0.2871999740600586</v>
      </c>
      <c r="L697" s="4" t="n">
        <v>0.2495999783277512</v>
      </c>
      <c r="M697" t="inlineStr">
        <is>
          <t>최정식</t>
        </is>
      </c>
      <c r="N697" t="inlineStr">
        <is>
          <t>02-560-8142-3</t>
        </is>
      </c>
      <c r="O697" t="inlineStr">
        <is>
          <t>02-3288-1101</t>
        </is>
      </c>
      <c r="P697" s="3">
        <f>HYPERLINK("http://www.sungdam.co.kr", "http://www.sungdam.co.kr")</f>
        <v/>
      </c>
      <c r="Q697" t="inlineStr">
        <is>
          <t>1208130660</t>
        </is>
      </c>
      <c r="R697" t="inlineStr">
        <is>
          <t>1101110028054</t>
        </is>
      </c>
      <c r="S697" t="inlineStr">
        <is>
          <t>대상아님</t>
        </is>
      </c>
      <c r="T697" t="inlineStr">
        <is>
          <t>일반법인</t>
        </is>
      </c>
      <c r="U697" t="inlineStr">
        <is>
          <t>중견기업</t>
        </is>
      </c>
      <c r="V697" t="inlineStr">
        <is>
          <t>외부감사대상</t>
        </is>
      </c>
      <c r="W697" s="6" t="inlineStr">
        <is>
          <t>1953-12-30</t>
        </is>
      </c>
      <c r="X697" t="inlineStr">
        <is>
          <t>KRI:10L6811200</t>
        </is>
      </c>
      <c r="Y697" t="inlineStr">
        <is>
          <t>비주거용 건물 임대업</t>
        </is>
      </c>
      <c r="Z697" t="inlineStr">
        <is>
          <t>부동산(사무실) 임대/골프장 운영</t>
        </is>
      </c>
      <c r="AA697" t="inlineStr">
        <is>
          <t>서울 강남구 삼성동 142-35번지</t>
        </is>
      </c>
      <c r="AB697" t="inlineStr">
        <is>
          <t>서울 강남구 테헤란로 411</t>
        </is>
      </c>
    </row>
    <row r="698" s="1">
      <c r="A698" t="inlineStr">
        <is>
          <t>NICE:244465</t>
        </is>
      </c>
      <c r="B698" t="inlineStr">
        <is>
          <t>한국지역난방기술</t>
        </is>
      </c>
      <c r="C698" s="5" t="n">
        <v>47849751000</v>
      </c>
      <c r="D698" s="5" t="n">
        <v>14845080000</v>
      </c>
      <c r="E698" s="5" t="n">
        <v>33004671000</v>
      </c>
      <c r="F698" s="5" t="n">
        <v>50551088000</v>
      </c>
      <c r="G698" s="5" t="n">
        <v>7004351000</v>
      </c>
      <c r="H698" s="5" t="n">
        <v>43694110000</v>
      </c>
      <c r="I698" s="5" t="n">
        <v>1178471000</v>
      </c>
      <c r="J698" s="4" t="n">
        <v>2.853299856185913</v>
      </c>
      <c r="K698" s="4" t="n">
        <v>0.4497999846935272</v>
      </c>
      <c r="L698" s="4" t="n">
        <v>0.1385999917984009</v>
      </c>
      <c r="M698" t="inlineStr">
        <is>
          <t>신훈식</t>
        </is>
      </c>
      <c r="N698" t="inlineStr">
        <is>
          <t>02-3399-6201</t>
        </is>
      </c>
      <c r="O698" t="inlineStr">
        <is>
          <t>02-3399-6462</t>
        </is>
      </c>
      <c r="P698">
        <f>HYPERLINK("http://www.kdhec.com", "http://www.kdhec.com")</f>
        <v/>
      </c>
      <c r="Q698" t="inlineStr">
        <is>
          <t>1298111485</t>
        </is>
      </c>
      <c r="R698" t="inlineStr">
        <is>
          <t>1101110813942</t>
        </is>
      </c>
      <c r="S698" t="inlineStr">
        <is>
          <t>대상아님</t>
        </is>
      </c>
      <c r="T698" t="inlineStr">
        <is>
          <t>일반법인</t>
        </is>
      </c>
      <c r="U698" t="inlineStr">
        <is>
          <t>중견기업</t>
        </is>
      </c>
      <c r="V698" t="inlineStr">
        <is>
          <t>외부감사대상</t>
        </is>
      </c>
      <c r="W698" s="6" t="inlineStr">
        <is>
          <t>1991-11-01</t>
        </is>
      </c>
      <c r="X698" t="inlineStr">
        <is>
          <t>KRI:10M7212900</t>
        </is>
      </c>
      <c r="Y698" t="inlineStr">
        <is>
          <t>기타 엔지니어링 서비스업</t>
        </is>
      </c>
      <c r="Z698" t="inlineStr">
        <is>
          <t>엔지니어링</t>
        </is>
      </c>
      <c r="AA698" t="inlineStr">
        <is>
          <t>서울 송파구 문정동 641-3번지 소노타워 10층,11층</t>
        </is>
      </c>
      <c r="AB698" t="inlineStr">
        <is>
          <t>서울 송파구 법원로 135, 10층,11층 (문정동,소노타워)</t>
        </is>
      </c>
    </row>
    <row r="699" ht="19.2" customHeight="1" s="1">
      <c r="A699" t="inlineStr">
        <is>
          <t>NICE:595888</t>
        </is>
      </c>
      <c r="B699" t="inlineStr">
        <is>
          <t>금비전자</t>
        </is>
      </c>
      <c r="C699" s="5" t="n">
        <v>27962545000</v>
      </c>
      <c r="D699" s="5" t="n">
        <v>4003964000</v>
      </c>
      <c r="E699" s="5" t="n">
        <v>23958581000</v>
      </c>
      <c r="F699" s="5" t="n">
        <v>32730650000</v>
      </c>
      <c r="G699" s="5" t="n">
        <v>4870167000</v>
      </c>
      <c r="H699" s="5" t="n">
        <v>34313460000</v>
      </c>
      <c r="I699" s="5" t="n">
        <v>7446791000</v>
      </c>
      <c r="J699" s="4" t="n">
        <v>13.38650035858154</v>
      </c>
      <c r="K699" s="4" t="n">
        <v>0.1670999825000763</v>
      </c>
      <c r="L699" s="4" t="n">
        <v>0.1488000005483627</v>
      </c>
      <c r="M699" t="inlineStr">
        <is>
          <t>이영권</t>
        </is>
      </c>
      <c r="N699" t="inlineStr">
        <is>
          <t>031-405-4530</t>
        </is>
      </c>
      <c r="O699" t="inlineStr">
        <is>
          <t>031-405-4570</t>
        </is>
      </c>
      <c r="P699" s="3">
        <f>HYPERLINK("http://www.keumbee.co.kr", "http://www.keumbee.co.kr")</f>
        <v/>
      </c>
      <c r="Q699" t="inlineStr">
        <is>
          <t>1188116194</t>
        </is>
      </c>
      <c r="R699" t="inlineStr">
        <is>
          <t>1101111365695</t>
        </is>
      </c>
      <c r="S699" t="inlineStr">
        <is>
          <t>대상아님</t>
        </is>
      </c>
      <c r="T699" t="inlineStr">
        <is>
          <t>일반법인</t>
        </is>
      </c>
      <c r="U699" t="inlineStr">
        <is>
          <t>중소기업</t>
        </is>
      </c>
      <c r="V699" t="inlineStr">
        <is>
          <t>외부감사대상</t>
        </is>
      </c>
      <c r="W699" s="6" t="inlineStr">
        <is>
          <t>1997-01-16</t>
        </is>
      </c>
      <c r="X699" t="inlineStr">
        <is>
          <t>KRI:10C2811900</t>
        </is>
      </c>
      <c r="Y699" t="inlineStr">
        <is>
          <t>기타 전기 변환장치 제조업</t>
        </is>
      </c>
      <c r="Z699" t="inlineStr">
        <is>
          <t>태양광인버터,전자부품,전자기기,통신기기 제조/이동통신기기 위탁판매,무역,통신 판매/기술 용역,자문/소프트웨어 개발,판매/컴퓨터관련전자제품 조립</t>
        </is>
      </c>
      <c r="AA699" t="inlineStr">
        <is>
          <t>경기 안산시 상록구 장상동 544-4번지</t>
        </is>
      </c>
      <c r="AB699" t="inlineStr">
        <is>
          <t>경기 안산시 상록구 장상길 17-1</t>
        </is>
      </c>
    </row>
    <row r="700" ht="19.2" customHeight="1" s="1">
      <c r="A700" t="inlineStr">
        <is>
          <t>NICE:H67566</t>
        </is>
      </c>
      <c r="B700" t="inlineStr">
        <is>
          <t>스카이비</t>
        </is>
      </c>
      <c r="C700" s="5" t="n">
        <v>14296564000</v>
      </c>
      <c r="D700" s="5" t="n">
        <v>2086192000</v>
      </c>
      <c r="E700" s="5" t="n">
        <v>12210372000</v>
      </c>
      <c r="F700" s="5" t="n">
        <v>21658264000</v>
      </c>
      <c r="G700" s="5" t="n">
        <v>2459350000</v>
      </c>
      <c r="H700" s="5" t="n">
        <v>22105754000</v>
      </c>
      <c r="I700" s="5" t="n">
        <v>1839556000</v>
      </c>
      <c r="J700" s="4" t="n">
        <v>1.958299994468689</v>
      </c>
      <c r="K700" s="4" t="n">
        <v>0.1709000021219254</v>
      </c>
      <c r="L700" s="4" t="n">
        <v>0.113599993288517</v>
      </c>
      <c r="M700" t="inlineStr">
        <is>
          <t>이순옥</t>
        </is>
      </c>
      <c r="N700" t="inlineStr">
        <is>
          <t>031-508-0071</t>
        </is>
      </c>
      <c r="P700" s="3" t="n"/>
      <c r="Q700" t="inlineStr">
        <is>
          <t>1408154292</t>
        </is>
      </c>
      <c r="R700" t="inlineStr">
        <is>
          <t>1355110225968</t>
        </is>
      </c>
      <c r="S700" t="inlineStr">
        <is>
          <t>대상아님</t>
        </is>
      </c>
      <c r="T700" t="inlineStr">
        <is>
          <t>일반법인</t>
        </is>
      </c>
      <c r="U700" t="inlineStr">
        <is>
          <t>중소기업</t>
        </is>
      </c>
      <c r="V700" t="inlineStr">
        <is>
          <t>외부감사대상</t>
        </is>
      </c>
      <c r="W700" s="6" t="inlineStr">
        <is>
          <t>2011-06-27</t>
        </is>
      </c>
      <c r="X700" t="inlineStr">
        <is>
          <t>KRI:10G4771200</t>
        </is>
      </c>
      <c r="Y700" t="inlineStr">
        <is>
          <t>운송장비용 가스 충전업</t>
        </is>
      </c>
      <c r="Z700" t="inlineStr">
        <is>
          <t>차량용 가스충전업,수소충전업</t>
        </is>
      </c>
      <c r="AA700" t="inlineStr">
        <is>
          <t>경기 시흥시 정왕동 2211-1번지</t>
        </is>
      </c>
      <c r="AB700" t="inlineStr">
        <is>
          <t>경기 시흥시 서해안로 81-30</t>
        </is>
      </c>
    </row>
    <row r="701" ht="19.2" customHeight="1" s="1">
      <c r="A701" t="inlineStr">
        <is>
          <t>NICE:045512</t>
        </is>
      </c>
      <c r="B701" t="inlineStr">
        <is>
          <t>서원레저</t>
        </is>
      </c>
      <c r="C701" s="5" t="n">
        <v>319222762000</v>
      </c>
      <c r="D701" s="5" t="n">
        <v>215383444000</v>
      </c>
      <c r="E701" s="5" t="n">
        <v>103839318000</v>
      </c>
      <c r="F701" s="5" t="n">
        <v>52405376000</v>
      </c>
      <c r="G701" s="5" t="n">
        <v>12039770000</v>
      </c>
      <c r="H701" s="5" t="n">
        <v>56057731000</v>
      </c>
      <c r="I701" s="5" t="n">
        <v>12768240000</v>
      </c>
      <c r="J701" s="4" t="n">
        <v>0.05869999900460243</v>
      </c>
      <c r="K701" s="4" t="n">
        <v>2.074199914932251</v>
      </c>
      <c r="L701" s="4" t="n">
        <v>0.2296999841928482</v>
      </c>
      <c r="M701" t="inlineStr">
        <is>
          <t>정석천</t>
        </is>
      </c>
      <c r="N701" t="inlineStr">
        <is>
          <t>031-940-9400</t>
        </is>
      </c>
      <c r="O701" t="inlineStr">
        <is>
          <t>031-940-9594</t>
        </is>
      </c>
      <c r="P701" s="3">
        <f>HYPERLINK("http://www.seowongolf.co.kr", "http://www.seowongolf.co.kr")</f>
        <v/>
      </c>
      <c r="Q701" t="inlineStr">
        <is>
          <t>1108134204</t>
        </is>
      </c>
      <c r="R701" t="inlineStr">
        <is>
          <t>1101110705032</t>
        </is>
      </c>
      <c r="S701" t="inlineStr">
        <is>
          <t>대상아님</t>
        </is>
      </c>
      <c r="T701" t="inlineStr">
        <is>
          <t>일반법인</t>
        </is>
      </c>
      <c r="U701" t="inlineStr">
        <is>
          <t>중소기업</t>
        </is>
      </c>
      <c r="V701" t="inlineStr">
        <is>
          <t>외부감사대상</t>
        </is>
      </c>
      <c r="W701" s="6" t="inlineStr">
        <is>
          <t>1990-06-16</t>
        </is>
      </c>
      <c r="X701" t="inlineStr">
        <is>
          <t>KRI:10R9112100</t>
        </is>
      </c>
      <c r="Y701" t="inlineStr">
        <is>
          <t>골프장 운영업</t>
        </is>
      </c>
      <c r="Z701" t="inlineStr">
        <is>
          <t>골프장 운영,컨설팅</t>
        </is>
      </c>
      <c r="AA701" t="inlineStr">
        <is>
          <t>경기 파주시 광탄면 발랑리 123-1번지</t>
        </is>
      </c>
      <c r="AB701" t="inlineStr">
        <is>
          <t>경기 파주시 광탄면 서원길 333</t>
        </is>
      </c>
    </row>
    <row r="702" ht="19.2" customHeight="1" s="1">
      <c r="A702" t="inlineStr">
        <is>
          <t>NICE:C83231</t>
        </is>
      </c>
      <c r="B702" t="inlineStr">
        <is>
          <t>씨앤오건설</t>
        </is>
      </c>
      <c r="C702" s="5" t="n">
        <v>26273226000</v>
      </c>
      <c r="D702" s="5" t="n">
        <v>5652109000</v>
      </c>
      <c r="E702" s="5" t="n">
        <v>20621117000</v>
      </c>
      <c r="F702" s="5" t="n">
        <v>44670227000</v>
      </c>
      <c r="G702" s="5" t="n">
        <v>6624801000</v>
      </c>
      <c r="H702" s="5" t="n">
        <v>31007440000</v>
      </c>
      <c r="I702" s="5" t="n">
        <v>3300012000</v>
      </c>
      <c r="J702" s="4" t="n">
        <v>1.816100001335144</v>
      </c>
      <c r="K702" s="4" t="n">
        <v>0.2741000056266785</v>
      </c>
      <c r="L702" s="4" t="n">
        <v>0.1482999920845032</v>
      </c>
      <c r="M702" t="inlineStr">
        <is>
          <t>조용준</t>
        </is>
      </c>
      <c r="N702" t="inlineStr">
        <is>
          <t>02-742-8261</t>
        </is>
      </c>
      <c r="O702" t="inlineStr">
        <is>
          <t>02-742-8260</t>
        </is>
      </c>
      <c r="P702" s="3">
        <f>HYPERLINK("http://www.cnoenc.com", "http://www.cnoenc.com")</f>
        <v/>
      </c>
      <c r="Q702" t="inlineStr">
        <is>
          <t>1018639312</t>
        </is>
      </c>
      <c r="R702" t="inlineStr">
        <is>
          <t>1101113884346</t>
        </is>
      </c>
      <c r="S702" t="inlineStr">
        <is>
          <t>대상아님</t>
        </is>
      </c>
      <c r="T702" t="inlineStr">
        <is>
          <t>일반법인</t>
        </is>
      </c>
      <c r="U702" t="inlineStr">
        <is>
          <t>중소기업</t>
        </is>
      </c>
      <c r="V702" t="inlineStr">
        <is>
          <t>외부감사대상</t>
        </is>
      </c>
      <c r="W702" s="6" t="inlineStr">
        <is>
          <t>2008-04-22</t>
        </is>
      </c>
      <c r="X702" t="inlineStr">
        <is>
          <t>KRI:10F4110000</t>
        </is>
      </c>
      <c r="Y702" t="inlineStr">
        <is>
          <t>건물 건설업</t>
        </is>
      </c>
      <c r="Z702" t="inlineStr">
        <is>
          <t>건축공사,토목공사,주택공사/건축자재 도소매/시공자문</t>
        </is>
      </c>
      <c r="AA702" t="inlineStr">
        <is>
          <t>서울 종로구 명륜1가 33-30번지 3층 306호</t>
        </is>
      </c>
      <c r="AB702" t="inlineStr">
        <is>
          <t>서울 종로구 혜화로 35, 3층 306호</t>
        </is>
      </c>
    </row>
    <row r="703" ht="19.2" customHeight="1" s="1">
      <c r="A703" t="inlineStr">
        <is>
          <t>NICE:380225</t>
        </is>
      </c>
      <c r="B703" t="inlineStr">
        <is>
          <t>지피씨</t>
        </is>
      </c>
      <c r="C703" s="5" t="n">
        <v>27262239000</v>
      </c>
      <c r="D703" s="5" t="n">
        <v>10063435000</v>
      </c>
      <c r="E703" s="5" t="n">
        <v>17198804000</v>
      </c>
      <c r="F703" s="5" t="n">
        <v>36679216000</v>
      </c>
      <c r="G703" s="5" t="n">
        <v>5772675000</v>
      </c>
      <c r="H703" s="5" t="n">
        <v>29040317000</v>
      </c>
      <c r="I703" s="5" t="n">
        <v>3169172000</v>
      </c>
      <c r="J703" s="4" t="n">
        <v>2.746099710464478</v>
      </c>
      <c r="K703" s="4" t="n">
        <v>0.585099995136261</v>
      </c>
      <c r="L703" s="4" t="n">
        <v>0.1573999971151352</v>
      </c>
      <c r="M703" t="inlineStr">
        <is>
          <t>우석근</t>
        </is>
      </c>
      <c r="N703" t="inlineStr">
        <is>
          <t>055-343-9870</t>
        </is>
      </c>
      <c r="O703" t="inlineStr">
        <is>
          <t>055-343-9875</t>
        </is>
      </c>
      <c r="P703" s="3">
        <f>HYPERLINK("http://www.gpckorea.com", "http://www.gpckorea.com")</f>
        <v/>
      </c>
      <c r="Q703" t="inlineStr">
        <is>
          <t>6098155029</t>
        </is>
      </c>
      <c r="R703" t="inlineStr">
        <is>
          <t>1942110056764</t>
        </is>
      </c>
      <c r="S703" t="inlineStr">
        <is>
          <t>대상아님</t>
        </is>
      </c>
      <c r="T703" t="inlineStr">
        <is>
          <t>일반법인</t>
        </is>
      </c>
      <c r="U703" t="inlineStr">
        <is>
          <t>중소기업</t>
        </is>
      </c>
      <c r="V703" t="inlineStr">
        <is>
          <t>외부감사대상</t>
        </is>
      </c>
      <c r="W703" s="6" t="inlineStr">
        <is>
          <t>2002-08-13</t>
        </is>
      </c>
      <c r="X703" t="inlineStr">
        <is>
          <t>KRI:10C3111400</t>
        </is>
      </c>
      <c r="Y703" t="inlineStr">
        <is>
          <t>선박 구성 부분품 제조업</t>
        </is>
      </c>
      <c r="Z703" t="inlineStr">
        <is>
          <t>조선기자재 제조,무역</t>
        </is>
      </c>
      <c r="AA703" t="inlineStr">
        <is>
          <t>경남 김해시 진례면 고모리 1568-8번지</t>
        </is>
      </c>
      <c r="AB703" t="inlineStr">
        <is>
          <t>경남 김해시 진례면 테크노밸리1로 164</t>
        </is>
      </c>
    </row>
    <row r="704" s="1">
      <c r="A704" t="inlineStr">
        <is>
          <t>NICE:H41737</t>
        </is>
      </c>
      <c r="B704" t="inlineStr">
        <is>
          <t>네이처이앤티경주</t>
        </is>
      </c>
      <c r="C704" s="5" t="n">
        <v>36238365000</v>
      </c>
      <c r="D704" s="5" t="n">
        <v>11958182000</v>
      </c>
      <c r="E704" s="5" t="n">
        <v>24280182000</v>
      </c>
      <c r="F704" s="5" t="n">
        <v>29033764000</v>
      </c>
      <c r="G704" s="5" t="n">
        <v>13107044000</v>
      </c>
      <c r="H704" s="5" t="n">
        <v>12733782000</v>
      </c>
      <c r="I704" s="5" t="n">
        <v>5534499000</v>
      </c>
      <c r="J704" s="4" t="n">
        <v>0.5991999506950378</v>
      </c>
      <c r="K704" s="4" t="n">
        <v>0.492499977350235</v>
      </c>
      <c r="L704" s="4" t="n">
        <v>0.4513999819755554</v>
      </c>
      <c r="M704" t="inlineStr">
        <is>
          <t>배민수</t>
        </is>
      </c>
      <c r="N704" t="inlineStr">
        <is>
          <t>054-745-0400</t>
        </is>
      </c>
      <c r="O704" t="inlineStr">
        <is>
          <t>054-746-6336</t>
        </is>
      </c>
      <c r="Q704" t="inlineStr">
        <is>
          <t>5058165282</t>
        </is>
      </c>
      <c r="R704" t="inlineStr">
        <is>
          <t>1701110422634</t>
        </is>
      </c>
      <c r="S704" t="inlineStr">
        <is>
          <t>대상아님</t>
        </is>
      </c>
      <c r="T704" t="inlineStr">
        <is>
          <t>일반법인</t>
        </is>
      </c>
      <c r="U704" t="inlineStr">
        <is>
          <t>중소기업</t>
        </is>
      </c>
      <c r="V704" t="inlineStr">
        <is>
          <t>외부감사대상</t>
        </is>
      </c>
      <c r="W704" s="6" t="inlineStr">
        <is>
          <t>2011-02-16</t>
        </is>
      </c>
      <c r="X704" t="inlineStr">
        <is>
          <t>KRI:10E3821000</t>
        </is>
      </c>
      <c r="Y704" t="inlineStr">
        <is>
          <t>지정 외 폐기물 처리업</t>
        </is>
      </c>
      <c r="Z704" t="inlineStr">
        <is>
          <t>산업폐기물 최종처리(매립)</t>
        </is>
      </c>
      <c r="AA704" t="inlineStr">
        <is>
          <t>경북 경주시 외동읍 구어리 1405번지</t>
        </is>
      </c>
      <c r="AB704" t="inlineStr">
        <is>
          <t>경북 경주시 외동읍 구어2산단로1길 62</t>
        </is>
      </c>
    </row>
    <row r="705" ht="19.2" customHeight="1" s="1">
      <c r="A705" t="inlineStr">
        <is>
          <t>NICE:F48036</t>
        </is>
      </c>
      <c r="B705" t="inlineStr">
        <is>
          <t>영신피앤엘</t>
        </is>
      </c>
      <c r="C705" s="5" t="n">
        <v>34206394000</v>
      </c>
      <c r="D705" s="5" t="n">
        <v>20987473000</v>
      </c>
      <c r="E705" s="5" t="n">
        <v>13218921000</v>
      </c>
      <c r="F705" s="5" t="n">
        <v>22386154000</v>
      </c>
      <c r="G705" s="5" t="n">
        <v>3284714000</v>
      </c>
      <c r="H705" s="5" t="n">
        <v>20909910000</v>
      </c>
      <c r="I705" s="5" t="n">
        <v>2657474000</v>
      </c>
      <c r="J705" s="4" t="n">
        <v>0.7537999749183655</v>
      </c>
      <c r="K705" s="4" t="n">
        <v>1.587700009346008</v>
      </c>
      <c r="L705" s="4" t="n">
        <v>0.146699994802475</v>
      </c>
      <c r="M705" t="inlineStr">
        <is>
          <t>이승현/이기국</t>
        </is>
      </c>
      <c r="N705" t="inlineStr">
        <is>
          <t>02-465-8008</t>
        </is>
      </c>
      <c r="O705" t="inlineStr">
        <is>
          <t>02-465-3267</t>
        </is>
      </c>
      <c r="P705" s="3">
        <f>HYPERLINK("http://www.yspnl.co.kr", "http://www.yspnl.co.kr")</f>
        <v/>
      </c>
      <c r="Q705" t="inlineStr">
        <is>
          <t>2068601668</t>
        </is>
      </c>
      <c r="R705" t="inlineStr">
        <is>
          <t>1101113292028</t>
        </is>
      </c>
      <c r="S705" t="inlineStr">
        <is>
          <t>대상아님</t>
        </is>
      </c>
      <c r="T705" t="inlineStr">
        <is>
          <t>일반법인</t>
        </is>
      </c>
      <c r="U705" t="inlineStr">
        <is>
          <t>중소기업</t>
        </is>
      </c>
      <c r="V705" t="inlineStr">
        <is>
          <t>외부감사대상</t>
        </is>
      </c>
      <c r="W705" s="6" t="inlineStr">
        <is>
          <t>2005-08-22</t>
        </is>
      </c>
      <c r="X705" t="inlineStr">
        <is>
          <t>KRI:10C1811900</t>
        </is>
      </c>
      <c r="Y705" t="inlineStr">
        <is>
          <t>기타 인쇄업</t>
        </is>
      </c>
      <c r="Z705" t="inlineStr">
        <is>
          <t>인쇄 제조</t>
        </is>
      </c>
      <c r="AA705" t="inlineStr">
        <is>
          <t>경기 하남시 광암동 399-2번지</t>
        </is>
      </c>
      <c r="AB705" t="inlineStr">
        <is>
          <t>경기 하남시 초광산단로 73</t>
        </is>
      </c>
    </row>
    <row r="706" ht="19.2" customHeight="1" s="1">
      <c r="A706" t="inlineStr">
        <is>
          <t>NICE:017706</t>
        </is>
      </c>
      <c r="B706" t="inlineStr">
        <is>
          <t>부일금고</t>
        </is>
      </c>
      <c r="C706" s="5" t="n">
        <v>26408227000</v>
      </c>
      <c r="D706" s="5" t="n">
        <v>2376876000</v>
      </c>
      <c r="E706" s="5" t="n">
        <v>24031350000</v>
      </c>
      <c r="F706" s="5" t="n">
        <v>20663995000</v>
      </c>
      <c r="G706" s="5" t="n">
        <v>2458760000</v>
      </c>
      <c r="H706" s="5" t="n">
        <v>18950340000</v>
      </c>
      <c r="I706" s="5" t="n">
        <v>1674177000</v>
      </c>
      <c r="J706" s="4" t="n">
        <v>5.431699752807617</v>
      </c>
      <c r="K706" s="4" t="n">
        <v>0.09889999777078629</v>
      </c>
      <c r="L706" s="4" t="n">
        <v>0.1189999952912331</v>
      </c>
      <c r="M706" t="inlineStr">
        <is>
          <t>박재환</t>
        </is>
      </c>
      <c r="N706" t="inlineStr">
        <is>
          <t>055-325-2300</t>
        </is>
      </c>
      <c r="O706" t="inlineStr">
        <is>
          <t>055-325-2334</t>
        </is>
      </c>
      <c r="P706" s="3">
        <f>HYPERLINK("http://www.booilsafes.com", "http://www.booilsafes.com")</f>
        <v/>
      </c>
      <c r="Q706" t="inlineStr">
        <is>
          <t>6158115890</t>
        </is>
      </c>
      <c r="R706" t="inlineStr">
        <is>
          <t>1846110044094</t>
        </is>
      </c>
      <c r="S706" t="inlineStr">
        <is>
          <t>대상아님</t>
        </is>
      </c>
      <c r="T706" t="inlineStr">
        <is>
          <t>일반법인</t>
        </is>
      </c>
      <c r="U706" t="inlineStr">
        <is>
          <t>중소기업</t>
        </is>
      </c>
      <c r="V706" t="inlineStr">
        <is>
          <t>외부감사대상</t>
        </is>
      </c>
      <c r="W706" s="6" t="inlineStr">
        <is>
          <t>1971-01-01</t>
        </is>
      </c>
      <c r="X706" t="inlineStr">
        <is>
          <t>KRI:10C2599900</t>
        </is>
      </c>
      <c r="Y706" t="inlineStr">
        <is>
          <t>그 외 기타 분류 안된 금속 가공 제품 제조업</t>
        </is>
      </c>
      <c r="Z706" t="inlineStr">
        <is>
          <t>금고,철재사무가구 제조</t>
        </is>
      </c>
      <c r="AA706" t="inlineStr">
        <is>
          <t>경남 김해시 주촌면 농소리 625-5번지</t>
        </is>
      </c>
      <c r="AB706" t="inlineStr">
        <is>
          <t>경남 김해시 주촌면 골든루트로 103-20</t>
        </is>
      </c>
    </row>
    <row r="707" ht="19.2" customHeight="1" s="1">
      <c r="A707" t="inlineStr">
        <is>
          <t>NICE:364521</t>
        </is>
      </c>
      <c r="B707" t="inlineStr">
        <is>
          <t>인터켐코리아</t>
        </is>
      </c>
      <c r="C707" s="5" t="n">
        <v>51025072000</v>
      </c>
      <c r="D707" s="5" t="n">
        <v>18017206000</v>
      </c>
      <c r="E707" s="5" t="n">
        <v>33007866000</v>
      </c>
      <c r="F707" s="5" t="n">
        <v>46364054000</v>
      </c>
      <c r="G707" s="5" t="n">
        <v>7724042000</v>
      </c>
      <c r="H707" s="5" t="n">
        <v>40796969000</v>
      </c>
      <c r="I707" s="5" t="n">
        <v>5818745000</v>
      </c>
      <c r="J707" s="4" t="n">
        <v>1.315599918365479</v>
      </c>
      <c r="K707" s="4" t="n">
        <v>0.5458000302314758</v>
      </c>
      <c r="L707" s="4" t="n">
        <v>0.1665999889373779</v>
      </c>
      <c r="M707" t="inlineStr">
        <is>
          <t>이주천</t>
        </is>
      </c>
      <c r="N707" t="inlineStr">
        <is>
          <t>031-458-1300</t>
        </is>
      </c>
      <c r="O707" t="inlineStr">
        <is>
          <t>031-458-5322</t>
        </is>
      </c>
      <c r="P707" s="3">
        <f>HYPERLINK("http://www.intercem.co.kr", "http://www.intercem.co.kr")</f>
        <v/>
      </c>
      <c r="Q707" t="inlineStr">
        <is>
          <t>1238198733</t>
        </is>
      </c>
      <c r="R707" t="inlineStr">
        <is>
          <t>1341110119631</t>
        </is>
      </c>
      <c r="S707" t="inlineStr">
        <is>
          <t>대상아님</t>
        </is>
      </c>
      <c r="T707" t="inlineStr">
        <is>
          <t>일반법인</t>
        </is>
      </c>
      <c r="U707" t="inlineStr">
        <is>
          <t>중소기업</t>
        </is>
      </c>
      <c r="V707" t="inlineStr">
        <is>
          <t>외부감사대상</t>
        </is>
      </c>
      <c r="W707" s="6" t="inlineStr">
        <is>
          <t>2004-07-01</t>
        </is>
      </c>
      <c r="X707" t="inlineStr">
        <is>
          <t>KRI:10C2812100</t>
        </is>
      </c>
      <c r="Y707" t="inlineStr">
        <is>
          <t>전기회로 개폐, 보호장치 제조업</t>
        </is>
      </c>
      <c r="Z707" t="inlineStr">
        <is>
          <t>전기,전자,정밀기계부품,반도체장비 제조,도소매/오퍼</t>
        </is>
      </c>
      <c r="AA707" t="inlineStr">
        <is>
          <t>경기 군포시 당정동 352-5번지 501호</t>
        </is>
      </c>
      <c r="AB707" t="inlineStr">
        <is>
          <t>경기 군포시 산본로 95, 501호</t>
        </is>
      </c>
    </row>
    <row r="708" ht="19.2" customHeight="1" s="1">
      <c r="A708" t="inlineStr">
        <is>
          <t>NICE:HS2065</t>
        </is>
      </c>
      <c r="B708" t="inlineStr">
        <is>
          <t>앱솔브랩</t>
        </is>
      </c>
      <c r="C708" s="5" t="n">
        <v>80555867000</v>
      </c>
      <c r="D708" s="5" t="n">
        <v>39466102000</v>
      </c>
      <c r="E708" s="5" t="n">
        <v>41089765000</v>
      </c>
      <c r="F708" s="5" t="n">
        <v>174239227000</v>
      </c>
      <c r="G708" s="5" t="n">
        <v>44292004000</v>
      </c>
      <c r="H708" s="5" t="n">
        <v>46242145000</v>
      </c>
      <c r="I708" s="5" t="n">
        <v>5086290000</v>
      </c>
      <c r="J708" s="4" t="n">
        <v>2.049700021743774</v>
      </c>
      <c r="K708" s="4" t="n">
        <v>0.9605000019073486</v>
      </c>
      <c r="L708" s="4" t="n">
        <v>0.2541999816894531</v>
      </c>
      <c r="M708" t="inlineStr">
        <is>
          <t>김민석</t>
        </is>
      </c>
      <c r="P708" s="3" t="n"/>
      <c r="Q708" t="inlineStr">
        <is>
          <t>7118700381</t>
        </is>
      </c>
      <c r="R708" t="inlineStr">
        <is>
          <t>1101116122363</t>
        </is>
      </c>
      <c r="S708" t="inlineStr">
        <is>
          <t>대상아님</t>
        </is>
      </c>
      <c r="T708" t="inlineStr">
        <is>
          <t>일반법인</t>
        </is>
      </c>
      <c r="U708" t="inlineStr">
        <is>
          <t>중소기업</t>
        </is>
      </c>
      <c r="V708" t="inlineStr">
        <is>
          <t>외부감사대상</t>
        </is>
      </c>
      <c r="W708" s="6" t="inlineStr">
        <is>
          <t>2016-07-15</t>
        </is>
      </c>
      <c r="X708" t="inlineStr">
        <is>
          <t>KRI:10G4644300</t>
        </is>
      </c>
      <c r="Y708" t="inlineStr">
        <is>
          <t>화장품 및 화장용품 도매업</t>
        </is>
      </c>
      <c r="Z708" t="inlineStr">
        <is>
          <t>화장품 도소매,제조/잡화 도소매,상품종합도매/전자상거래/치약,비누,세제,표면광택제,실내가향제 제조</t>
        </is>
      </c>
      <c r="AA708" t="inlineStr">
        <is>
          <t>서울 강남구 대치동 891-46번지 브이앤에스타워 11층</t>
        </is>
      </c>
      <c r="AB708" t="inlineStr">
        <is>
          <t>서울 강남구 삼성로85길 26, 11층 (대치동,브이앤에스타워)</t>
        </is>
      </c>
    </row>
    <row r="709" s="1">
      <c r="A709" t="inlineStr">
        <is>
          <t>NICE:040163</t>
        </is>
      </c>
      <c r="B709" t="inlineStr">
        <is>
          <t>노루오토코팅</t>
        </is>
      </c>
      <c r="C709" s="5" t="n">
        <v>248958519000</v>
      </c>
      <c r="D709" s="5" t="n">
        <v>66761578000</v>
      </c>
      <c r="E709" s="5" t="n">
        <v>182196941000</v>
      </c>
      <c r="F709" s="5" t="n">
        <v>322906512000</v>
      </c>
      <c r="G709" s="5" t="n">
        <v>38727299000</v>
      </c>
      <c r="H709" s="5" t="n">
        <v>391684170000</v>
      </c>
      <c r="I709" s="5" t="n">
        <v>35087638000</v>
      </c>
      <c r="J709" s="4" t="n">
        <v>2.319900035858154</v>
      </c>
      <c r="K709" s="4" t="n">
        <v>0.3663999736309052</v>
      </c>
      <c r="L709" s="4" t="n">
        <v>0.1198999956250191</v>
      </c>
      <c r="M709" t="inlineStr">
        <is>
          <t>김종우</t>
        </is>
      </c>
      <c r="N709" t="inlineStr">
        <is>
          <t>031-8059-9500</t>
        </is>
      </c>
      <c r="O709" t="inlineStr">
        <is>
          <t>031-8059-9540</t>
        </is>
      </c>
      <c r="P709">
        <f>HYPERLINK("http://www.norooautocoat.com", "http://www.norooautocoat.com")</f>
        <v/>
      </c>
      <c r="Q709" t="inlineStr">
        <is>
          <t>1238139506</t>
        </is>
      </c>
      <c r="R709" t="inlineStr">
        <is>
          <t>1341110048492</t>
        </is>
      </c>
      <c r="S709" t="inlineStr">
        <is>
          <t>대상아님</t>
        </is>
      </c>
      <c r="T709" t="inlineStr">
        <is>
          <t>일반법인</t>
        </is>
      </c>
      <c r="U709" t="inlineStr">
        <is>
          <t>중견기업</t>
        </is>
      </c>
      <c r="V709" t="inlineStr">
        <is>
          <t>외부감사대상</t>
        </is>
      </c>
      <c r="W709" s="6" t="inlineStr">
        <is>
          <t>1995-12-14</t>
        </is>
      </c>
      <c r="X709" t="inlineStr">
        <is>
          <t>KRI:10C2041100</t>
        </is>
      </c>
      <c r="Y709" t="inlineStr">
        <is>
          <t>일반용 도료 및 관련제품 제조업</t>
        </is>
      </c>
      <c r="Z709" t="inlineStr">
        <is>
          <t>도료,도장,화공약품 제조/무역/창고 운수/경영,기술 자문</t>
        </is>
      </c>
      <c r="AA709" t="inlineStr">
        <is>
          <t>경기 화성시 만세구 장안면 금의리 760-1번지</t>
        </is>
      </c>
      <c r="AB709" t="inlineStr">
        <is>
          <t>경기 화성시 만세구 장안면 장안공단7길 28</t>
        </is>
      </c>
    </row>
    <row r="710" s="1">
      <c r="A710" t="inlineStr">
        <is>
          <t>NICE:020882</t>
        </is>
      </c>
      <c r="B710" t="inlineStr">
        <is>
          <t>지씨코리아</t>
        </is>
      </c>
      <c r="C710" s="5" t="n">
        <v>48535424000</v>
      </c>
      <c r="D710" s="5" t="n">
        <v>2973167000</v>
      </c>
      <c r="E710" s="5" t="n">
        <v>45562256000</v>
      </c>
      <c r="F710" s="5" t="n">
        <v>21513113000</v>
      </c>
      <c r="G710" s="5" t="n">
        <v>3578164000</v>
      </c>
      <c r="H710" s="5" t="n">
        <v>20608218000</v>
      </c>
      <c r="I710" s="5" t="n">
        <v>3252024000</v>
      </c>
      <c r="J710" s="4" t="n">
        <v>14.11390018463135</v>
      </c>
      <c r="K710" s="4" t="n">
        <v>0.06530000269412994</v>
      </c>
      <c r="L710" s="4" t="n">
        <v>0.1662999838590622</v>
      </c>
      <c r="M710" t="inlineStr">
        <is>
          <t>민성욱</t>
        </is>
      </c>
      <c r="N710" t="inlineStr">
        <is>
          <t>02-313-2272</t>
        </is>
      </c>
      <c r="O710" t="inlineStr">
        <is>
          <t>02-313-2272</t>
        </is>
      </c>
      <c r="P710">
        <f>HYPERLINK("http://www.gckorea.co.kr", "http://www.gckorea.co.kr")</f>
        <v/>
      </c>
      <c r="Q710" t="inlineStr">
        <is>
          <t>1108129341</t>
        </is>
      </c>
      <c r="R710" t="inlineStr">
        <is>
          <t>1101110990592</t>
        </is>
      </c>
      <c r="S710" t="inlineStr">
        <is>
          <t>대상아님</t>
        </is>
      </c>
      <c r="T710" t="inlineStr">
        <is>
          <t>일반법인</t>
        </is>
      </c>
      <c r="U710" t="inlineStr">
        <is>
          <t>중소기업</t>
        </is>
      </c>
      <c r="V710" t="inlineStr">
        <is>
          <t>외부감사대상</t>
        </is>
      </c>
      <c r="W710" s="6" t="inlineStr">
        <is>
          <t>1993-12-03</t>
        </is>
      </c>
      <c r="X710" t="inlineStr">
        <is>
          <t>KRI:10G4644200</t>
        </is>
      </c>
      <c r="Y710" t="inlineStr">
        <is>
          <t>의료용품 도매업</t>
        </is>
      </c>
      <c r="Z710" t="inlineStr">
        <is>
          <t>치과용재료(레진,임시가착재,충전재,라이닝재,접착재,가시광선중합기,디스포서블시린지,석고,릴라인재,매몰재,왁스,합착재) 도매</t>
        </is>
      </c>
      <c r="AA710" t="inlineStr">
        <is>
          <t>서울 마포구 신수동 99-1번지</t>
        </is>
      </c>
      <c r="AB710" t="inlineStr">
        <is>
          <t>서울 마포구 창전로 90</t>
        </is>
      </c>
    </row>
    <row r="711" ht="19.2" customHeight="1" s="1">
      <c r="A711" t="inlineStr">
        <is>
          <t>NICE:G34321</t>
        </is>
      </c>
      <c r="B711" t="inlineStr">
        <is>
          <t>씨엠에이글로벌</t>
        </is>
      </c>
      <c r="C711" s="5" t="n">
        <v>37403533000</v>
      </c>
      <c r="D711" s="5" t="n">
        <v>7908087000</v>
      </c>
      <c r="E711" s="5" t="n">
        <v>29495446000</v>
      </c>
      <c r="F711" s="5" t="n">
        <v>25926549000</v>
      </c>
      <c r="G711" s="5" t="n">
        <v>3264741000</v>
      </c>
      <c r="H711" s="5" t="n">
        <v>24735308000</v>
      </c>
      <c r="I711" s="5" t="n">
        <v>2702620000</v>
      </c>
      <c r="J711" s="4" t="n">
        <v>2.783499956130981</v>
      </c>
      <c r="K711" s="4" t="n">
        <v>0.2680999934673309</v>
      </c>
      <c r="L711" s="4" t="n">
        <v>0.125900000333786</v>
      </c>
      <c r="M711" t="inlineStr">
        <is>
          <t>김영선</t>
        </is>
      </c>
      <c r="N711" t="inlineStr">
        <is>
          <t>053-588-6070</t>
        </is>
      </c>
      <c r="O711" t="inlineStr">
        <is>
          <t>053-588-6076</t>
        </is>
      </c>
      <c r="P711" s="3">
        <f>HYPERLINK("http://www.cmaglobal.net", "http://www.cmaglobal.net")</f>
        <v/>
      </c>
      <c r="Q711" t="inlineStr">
        <is>
          <t>5048186979</t>
        </is>
      </c>
      <c r="R711" t="inlineStr">
        <is>
          <t>1701110403379</t>
        </is>
      </c>
      <c r="S711" t="inlineStr">
        <is>
          <t>대상아님</t>
        </is>
      </c>
      <c r="T711" t="inlineStr">
        <is>
          <t>일반법인</t>
        </is>
      </c>
      <c r="U711" t="inlineStr">
        <is>
          <t>중소기업</t>
        </is>
      </c>
      <c r="V711" t="inlineStr">
        <is>
          <t>외부감사대상</t>
        </is>
      </c>
      <c r="W711" s="6" t="inlineStr">
        <is>
          <t>2010-05-07</t>
        </is>
      </c>
      <c r="X711" t="inlineStr">
        <is>
          <t>KRI:10C1330000</t>
        </is>
      </c>
      <c r="Y711" t="inlineStr">
        <is>
          <t>편조원단 제조업</t>
        </is>
      </c>
      <c r="Z711" t="inlineStr">
        <is>
          <t>편조원단,섬유,안경테 제조/섬유,안경관련용품 제조,도소매</t>
        </is>
      </c>
      <c r="AA711" t="inlineStr">
        <is>
          <t>대구 동구 봉무동 1561번지</t>
        </is>
      </c>
      <c r="AB711" t="inlineStr">
        <is>
          <t>대구 동구 팔공로47길 29</t>
        </is>
      </c>
    </row>
    <row r="712" ht="19.2" customHeight="1" s="1">
      <c r="A712" t="inlineStr">
        <is>
          <t>NICE:G69116</t>
        </is>
      </c>
      <c r="B712" t="inlineStr">
        <is>
          <t>한국우에무라</t>
        </is>
      </c>
      <c r="C712" s="5" t="n">
        <v>47558325000</v>
      </c>
      <c r="D712" s="5" t="n">
        <v>6771869000</v>
      </c>
      <c r="E712" s="5" t="n">
        <v>40786456000</v>
      </c>
      <c r="F712" s="5" t="n">
        <v>53749819000</v>
      </c>
      <c r="G712" s="5" t="n">
        <v>11091935000</v>
      </c>
      <c r="H712" s="5" t="n">
        <v>49850654000</v>
      </c>
      <c r="I712" s="5" t="n">
        <v>11238276000</v>
      </c>
      <c r="J712" s="4" t="n">
        <v>5.094399929046631</v>
      </c>
      <c r="K712" s="4" t="n">
        <v>0.1659999936819077</v>
      </c>
      <c r="L712" s="4" t="n">
        <v>0.206399992108345</v>
      </c>
      <c r="M712" t="inlineStr">
        <is>
          <t>우에무라히로야</t>
        </is>
      </c>
      <c r="N712" t="inlineStr">
        <is>
          <t>031-8047-4800</t>
        </is>
      </c>
      <c r="O712" t="inlineStr">
        <is>
          <t>031-8047-4899</t>
        </is>
      </c>
      <c r="P712" s="3">
        <f>HYPERLINK("http://www.uyemura.co.kr", "http://www.uyemura.co.kr")</f>
        <v/>
      </c>
      <c r="Q712" t="inlineStr">
        <is>
          <t>1388161091</t>
        </is>
      </c>
      <c r="R712" t="inlineStr">
        <is>
          <t>1341110192942</t>
        </is>
      </c>
      <c r="S712" t="inlineStr">
        <is>
          <t>대상아님</t>
        </is>
      </c>
      <c r="T712" t="inlineStr">
        <is>
          <t>일반법인</t>
        </is>
      </c>
      <c r="U712" t="inlineStr">
        <is>
          <t>중견기업</t>
        </is>
      </c>
      <c r="V712" t="inlineStr">
        <is>
          <t>외부감사대상</t>
        </is>
      </c>
      <c r="W712" s="6" t="inlineStr">
        <is>
          <t>2010-07-01</t>
        </is>
      </c>
      <c r="X712" t="inlineStr">
        <is>
          <t>KRI:10C2049900</t>
        </is>
      </c>
      <c r="Y712" t="inlineStr">
        <is>
          <t>그 외 기타 분류 안된 화학제품 제조업</t>
        </is>
      </c>
      <c r="Z712" t="inlineStr">
        <is>
          <t>PCB표면처리약품,동도금약품,연마제,비철금속전반,합성수지제품,도금용 자재,설비기계 제조/무역</t>
        </is>
      </c>
      <c r="AA712" t="inlineStr">
        <is>
          <t>경기 화성시 만세구 장안면 금의리 761-6번지</t>
        </is>
      </c>
      <c r="AB712" t="inlineStr">
        <is>
          <t>경기 화성시 만세구 장안면 장안공단6길 46</t>
        </is>
      </c>
    </row>
    <row r="713" ht="19.2" customHeight="1" s="1">
      <c r="A713" t="inlineStr">
        <is>
          <t>NICE:HO0209</t>
        </is>
      </c>
      <c r="B713" t="inlineStr">
        <is>
          <t>정코스</t>
        </is>
      </c>
      <c r="C713" s="5" t="n">
        <v>42517351000</v>
      </c>
      <c r="D713" s="5" t="n">
        <v>9849263000</v>
      </c>
      <c r="E713" s="5" t="n">
        <v>32668088000</v>
      </c>
      <c r="F713" s="5" t="n">
        <v>36083194000</v>
      </c>
      <c r="G713" s="5" t="n">
        <v>5855570000</v>
      </c>
      <c r="H713" s="5" t="n">
        <v>28331681000</v>
      </c>
      <c r="I713" s="5" t="n">
        <v>4955034000</v>
      </c>
      <c r="J713" s="4" t="n">
        <v>2.697999715805054</v>
      </c>
      <c r="K713" s="4" t="n">
        <v>0.301499992609024</v>
      </c>
      <c r="L713" s="4" t="n">
        <v>0.1622999906539917</v>
      </c>
      <c r="M713" t="inlineStr">
        <is>
          <t>정관영</t>
        </is>
      </c>
      <c r="N713" t="inlineStr">
        <is>
          <t>043-238-9176</t>
        </is>
      </c>
      <c r="O713" t="inlineStr">
        <is>
          <t>043-238-9177</t>
        </is>
      </c>
      <c r="P713" s="3">
        <f>HYPERLINK("http://www.jungcos.co.kr", "http://www.jungcos.co.kr")</f>
        <v/>
      </c>
      <c r="Q713" t="inlineStr">
        <is>
          <t>6258100278</t>
        </is>
      </c>
      <c r="R713" t="inlineStr">
        <is>
          <t>1615110194476</t>
        </is>
      </c>
      <c r="S713" t="inlineStr">
        <is>
          <t>대상아님</t>
        </is>
      </c>
      <c r="T713" t="inlineStr">
        <is>
          <t>일반법인</t>
        </is>
      </c>
      <c r="U713" t="inlineStr">
        <is>
          <t>중소기업</t>
        </is>
      </c>
      <c r="V713" t="inlineStr">
        <is>
          <t>외부감사대상</t>
        </is>
      </c>
      <c r="W713" s="6" t="inlineStr">
        <is>
          <t>2016-03-08</t>
        </is>
      </c>
      <c r="X713" t="inlineStr">
        <is>
          <t>KRI:10C2042300</t>
        </is>
      </c>
      <c r="Y713" t="inlineStr">
        <is>
          <t>화장품 제조업</t>
        </is>
      </c>
      <c r="Z713" t="inlineStr">
        <is>
          <t>화장품 제조,도소매,연구개발</t>
        </is>
      </c>
      <c r="AA713" t="inlineStr">
        <is>
          <t>충북 청주시 흥덕구 오송읍 정중리 786번지</t>
        </is>
      </c>
      <c r="AB713" t="inlineStr">
        <is>
          <t>충북 청주시 흥덕구 오송읍 오송생명14로 118</t>
        </is>
      </c>
    </row>
    <row r="714" ht="19.2" customHeight="1" s="1">
      <c r="A714" t="inlineStr">
        <is>
          <t>NICE:E57576</t>
        </is>
      </c>
      <c r="B714" t="inlineStr">
        <is>
          <t>디엠티</t>
        </is>
      </c>
      <c r="C714" s="5" t="n">
        <v>147827284000</v>
      </c>
      <c r="D714" s="5" t="n">
        <v>13712070000</v>
      </c>
      <c r="E714" s="5" t="n">
        <v>134115214000</v>
      </c>
      <c r="F714" s="5" t="n">
        <v>96026047000</v>
      </c>
      <c r="G714" s="5" t="n">
        <v>30522897000</v>
      </c>
      <c r="H714" s="5" t="n">
        <v>85181643000</v>
      </c>
      <c r="I714" s="5" t="n">
        <v>25565779000</v>
      </c>
      <c r="J714" s="4" t="n">
        <v>9.200499534606934</v>
      </c>
      <c r="K714" s="4" t="n">
        <v>0.1022000014781952</v>
      </c>
      <c r="L714" s="4" t="n">
        <v>0.3179000020027161</v>
      </c>
      <c r="M714" t="inlineStr">
        <is>
          <t>양화준</t>
        </is>
      </c>
      <c r="N714" t="inlineStr">
        <is>
          <t>041-532-1480</t>
        </is>
      </c>
      <c r="O714" t="inlineStr">
        <is>
          <t>041-533-1443</t>
        </is>
      </c>
      <c r="P714" s="3">
        <f>HYPERLINK("http://www.dmtcorp.co.kr/", "http://www.dmtcorp.co.kr/")</f>
        <v/>
      </c>
      <c r="Q714" t="inlineStr">
        <is>
          <t>3128632544</t>
        </is>
      </c>
      <c r="R714" t="inlineStr">
        <is>
          <t>1648110062484</t>
        </is>
      </c>
      <c r="S714" t="inlineStr">
        <is>
          <t>대상아님</t>
        </is>
      </c>
      <c r="T714" t="inlineStr">
        <is>
          <t>일반법인</t>
        </is>
      </c>
      <c r="U714" t="inlineStr">
        <is>
          <t>중소기업</t>
        </is>
      </c>
      <c r="V714" t="inlineStr">
        <is>
          <t>외부감사대상</t>
        </is>
      </c>
      <c r="W714" s="6" t="inlineStr">
        <is>
          <t>2010-02-22</t>
        </is>
      </c>
      <c r="X714" t="inlineStr">
        <is>
          <t>KRI:10C2592200</t>
        </is>
      </c>
      <c r="Y714" t="inlineStr">
        <is>
          <t>도금업</t>
        </is>
      </c>
      <c r="Z714" t="inlineStr">
        <is>
          <t>자동차부품,산업부품 도금,표면처리,열처리</t>
        </is>
      </c>
      <c r="AA714" t="inlineStr">
        <is>
          <t>충남 아산시 인주면 걸매리 1032번지</t>
        </is>
      </c>
      <c r="AB714" t="inlineStr">
        <is>
          <t>충남 아산시 인주면 인주산단로 123-59</t>
        </is>
      </c>
    </row>
    <row r="715" ht="19.2" customHeight="1" s="1">
      <c r="A715" t="inlineStr">
        <is>
          <t>NICE:235540</t>
        </is>
      </c>
      <c r="B715" t="inlineStr">
        <is>
          <t>성일하이메탈</t>
        </is>
      </c>
      <c r="C715" s="5" t="n">
        <v>102728843000</v>
      </c>
      <c r="D715" s="5" t="n">
        <v>58744264000</v>
      </c>
      <c r="E715" s="5" t="n">
        <v>43984579000</v>
      </c>
      <c r="F715" s="5" t="n">
        <v>288011282000</v>
      </c>
      <c r="G715" s="5" t="n">
        <v>37625207000</v>
      </c>
      <c r="H715" s="5" t="n">
        <v>255242259000</v>
      </c>
      <c r="I715" s="5" t="n">
        <v>6309578000</v>
      </c>
      <c r="J715" s="4" t="n">
        <v>1.323699951171875</v>
      </c>
      <c r="K715" s="4" t="n">
        <v>1.335599899291992</v>
      </c>
      <c r="L715" s="4" t="n">
        <v>0.1306000053882599</v>
      </c>
      <c r="M715" t="inlineStr">
        <is>
          <t>이기웅/홍승표</t>
        </is>
      </c>
      <c r="N715" t="inlineStr">
        <is>
          <t>063-462-0162</t>
        </is>
      </c>
      <c r="O715" t="inlineStr">
        <is>
          <t>063-466-9203</t>
        </is>
      </c>
      <c r="P715" s="3">
        <f>HYPERLINK("http://www.sungeel.com", "http://www.sungeel.com")</f>
        <v/>
      </c>
      <c r="Q715" t="inlineStr">
        <is>
          <t>1378127479</t>
        </is>
      </c>
      <c r="R715" t="inlineStr">
        <is>
          <t>1201110214718</t>
        </is>
      </c>
      <c r="S715" t="inlineStr">
        <is>
          <t>대상아님</t>
        </is>
      </c>
      <c r="T715" t="inlineStr">
        <is>
          <t>일반법인</t>
        </is>
      </c>
      <c r="U715" t="inlineStr">
        <is>
          <t>중견기업</t>
        </is>
      </c>
      <c r="V715" t="inlineStr">
        <is>
          <t>외부감사대상</t>
        </is>
      </c>
      <c r="W715" s="6" t="inlineStr">
        <is>
          <t>2000-02-21</t>
        </is>
      </c>
      <c r="X715" t="inlineStr">
        <is>
          <t>KRI:10E3831200</t>
        </is>
      </c>
      <c r="Y715" t="inlineStr">
        <is>
          <t>금속류 원료 재생업</t>
        </is>
      </c>
      <c r="Z715" t="inlineStr">
        <is>
          <t>비철금속제련(폐기물재활용)</t>
        </is>
      </c>
      <c r="AA715" t="inlineStr">
        <is>
          <t>전북 군산시 비응도동 30-2번지</t>
        </is>
      </c>
      <c r="AB715" t="inlineStr">
        <is>
          <t>전북 군산시 군산산단로 143-15</t>
        </is>
      </c>
    </row>
    <row r="716" ht="19.2" customHeight="1" s="1">
      <c r="A716" t="inlineStr">
        <is>
          <t>NICE:999907</t>
        </is>
      </c>
      <c r="B716" t="inlineStr">
        <is>
          <t>지에프테크</t>
        </is>
      </c>
      <c r="C716" s="5" t="n">
        <v>16036346000</v>
      </c>
      <c r="D716" s="5" t="n">
        <v>7603591000</v>
      </c>
      <c r="E716" s="5" t="n">
        <v>8432755000</v>
      </c>
      <c r="F716" s="5" t="n">
        <v>22997576000</v>
      </c>
      <c r="G716" s="5" t="n">
        <v>2820958000</v>
      </c>
      <c r="H716" s="5" t="n">
        <v>23934922000</v>
      </c>
      <c r="I716" s="5" t="n">
        <v>2130351000</v>
      </c>
      <c r="J716" s="4" t="n">
        <v>1.653099894523621</v>
      </c>
      <c r="K716" s="4" t="n">
        <v>0.901699960231781</v>
      </c>
      <c r="L716" s="4" t="n">
        <v>0.122699998319149</v>
      </c>
      <c r="M716" t="inlineStr">
        <is>
          <t>김호경</t>
        </is>
      </c>
      <c r="N716" t="inlineStr">
        <is>
          <t>031-943-2889</t>
        </is>
      </c>
      <c r="P716" s="3" t="n"/>
      <c r="Q716" t="inlineStr">
        <is>
          <t>1288189831</t>
        </is>
      </c>
      <c r="R716" t="inlineStr">
        <is>
          <t>1116110073610</t>
        </is>
      </c>
      <c r="S716" t="inlineStr">
        <is>
          <t>대상아님</t>
        </is>
      </c>
      <c r="T716" t="inlineStr">
        <is>
          <t>일반법인</t>
        </is>
      </c>
      <c r="U716" t="inlineStr">
        <is>
          <t>중소기업</t>
        </is>
      </c>
      <c r="V716" t="inlineStr">
        <is>
          <t>외부감사대상</t>
        </is>
      </c>
      <c r="W716" s="6" t="inlineStr">
        <is>
          <t>2003-12-31</t>
        </is>
      </c>
      <c r="X716" t="inlineStr">
        <is>
          <t>KRI:10C2223200</t>
        </is>
      </c>
      <c r="Y716" t="inlineStr">
        <is>
          <t>포장용 플라스틱 성형용기 제조업</t>
        </is>
      </c>
      <c r="Z716" t="inlineStr">
        <is>
          <t>화장품용기,플라스틱제품 제조,도소매</t>
        </is>
      </c>
      <c r="AA716" t="inlineStr">
        <is>
          <t>경기 파주시 오도동 114-25번지</t>
        </is>
      </c>
      <c r="AB716" t="inlineStr">
        <is>
          <t>경기 파주시 오도로 27</t>
        </is>
      </c>
    </row>
    <row r="717" s="1">
      <c r="A717" t="inlineStr">
        <is>
          <t>NICE:305049</t>
        </is>
      </c>
      <c r="B717" t="inlineStr">
        <is>
          <t>에스비테크</t>
        </is>
      </c>
      <c r="C717" s="5" t="n">
        <v>292869789000</v>
      </c>
      <c r="D717" s="5" t="n">
        <v>45564354000</v>
      </c>
      <c r="E717" s="5" t="n">
        <v>247305435000</v>
      </c>
      <c r="F717" s="5" t="n">
        <v>208769811000</v>
      </c>
      <c r="G717" s="5" t="n">
        <v>38784926000</v>
      </c>
      <c r="H717" s="5" t="n">
        <v>236356846000</v>
      </c>
      <c r="I717" s="5" t="n">
        <v>39971877000</v>
      </c>
      <c r="J717" s="4" t="n">
        <v>4.8125</v>
      </c>
      <c r="K717" s="4" t="n">
        <v>0.1842000037431717</v>
      </c>
      <c r="L717" s="4" t="n">
        <v>0.1858000010251999</v>
      </c>
      <c r="M717" t="inlineStr">
        <is>
          <t>김재영/최승수</t>
        </is>
      </c>
      <c r="N717" t="inlineStr">
        <is>
          <t>043-871-9000</t>
        </is>
      </c>
      <c r="O717" t="inlineStr">
        <is>
          <t>0303-0203-2034</t>
        </is>
      </c>
      <c r="P717">
        <f>HYPERLINK("http://www.sb-tech.co.kr", "http://www.sb-tech.co.kr")</f>
        <v/>
      </c>
      <c r="Q717" t="inlineStr">
        <is>
          <t>3038105811</t>
        </is>
      </c>
      <c r="R717" t="inlineStr">
        <is>
          <t>1545110002214</t>
        </is>
      </c>
      <c r="S717" t="inlineStr">
        <is>
          <t>대상아님</t>
        </is>
      </c>
      <c r="T717" t="inlineStr">
        <is>
          <t>일반법인</t>
        </is>
      </c>
      <c r="U717" t="inlineStr">
        <is>
          <t>중견기업</t>
        </is>
      </c>
      <c r="V717" t="inlineStr">
        <is>
          <t>외부감사대상</t>
        </is>
      </c>
      <c r="W717" s="6" t="inlineStr">
        <is>
          <t>1990-11-02</t>
        </is>
      </c>
      <c r="X717" t="inlineStr">
        <is>
          <t>KRI:10F4249200</t>
        </is>
      </c>
      <c r="Y717" t="inlineStr">
        <is>
          <t>건물용 금속공작물 설치 공사업</t>
        </is>
      </c>
      <c r="Z717" t="inlineStr">
        <is>
          <t>강구조물공사,설비공사,기계설비공사/반도체 생산시설 설계제작/부동산 임대</t>
        </is>
      </c>
      <c r="AA717" t="inlineStr">
        <is>
          <t>충북 음성군 금왕읍 사창리 226-16번지</t>
        </is>
      </c>
      <c r="AB717" t="inlineStr">
        <is>
          <t>충북 음성군 금왕읍 금일로 638</t>
        </is>
      </c>
    </row>
    <row r="718" ht="19.2" customHeight="1" s="1">
      <c r="A718" t="inlineStr">
        <is>
          <t>NICE:005871</t>
        </is>
      </c>
      <c r="B718" t="inlineStr">
        <is>
          <t>이노테크</t>
        </is>
      </c>
      <c r="C718" s="5" t="n">
        <v>29574436000</v>
      </c>
      <c r="D718" s="5" t="n">
        <v>7886306000</v>
      </c>
      <c r="E718" s="5" t="n">
        <v>21688129000</v>
      </c>
      <c r="F718" s="5" t="n">
        <v>20883149000</v>
      </c>
      <c r="G718" s="5" t="n">
        <v>2975705000</v>
      </c>
      <c r="H718" s="5" t="n">
        <v>12744164000</v>
      </c>
      <c r="I718" s="5" t="n">
        <v>1066730000</v>
      </c>
      <c r="J718" s="4" t="n">
        <v>3.542999744415283</v>
      </c>
      <c r="K718" s="4" t="n">
        <v>0.3635999858379364</v>
      </c>
      <c r="L718" s="4" t="n">
        <v>0.1424999982118607</v>
      </c>
      <c r="M718" t="inlineStr">
        <is>
          <t>이금현/이희방</t>
        </is>
      </c>
      <c r="N718" t="inlineStr">
        <is>
          <t>053-581-0177</t>
        </is>
      </c>
      <c r="O718" t="inlineStr">
        <is>
          <t>053-584-0442</t>
        </is>
      </c>
      <c r="P718" s="3">
        <f>HYPERLINK("http://www.innotech07.com", "http://www.innotech07.com")</f>
        <v/>
      </c>
      <c r="Q718" t="inlineStr">
        <is>
          <t>5148120203</t>
        </is>
      </c>
      <c r="R718" t="inlineStr">
        <is>
          <t>1701110035669</t>
        </is>
      </c>
      <c r="S718" t="inlineStr">
        <is>
          <t>대상아님</t>
        </is>
      </c>
      <c r="T718" t="inlineStr">
        <is>
          <t>일반법인</t>
        </is>
      </c>
      <c r="U718" t="inlineStr">
        <is>
          <t>중소기업</t>
        </is>
      </c>
      <c r="V718" t="inlineStr">
        <is>
          <t>외부감사대상</t>
        </is>
      </c>
      <c r="W718" s="6" t="inlineStr">
        <is>
          <t>1988-09-22</t>
        </is>
      </c>
      <c r="X718" t="inlineStr">
        <is>
          <t>KRI:10C3031000</t>
        </is>
      </c>
      <c r="Y718" t="inlineStr">
        <is>
          <t>자동차 엔진용 신품 부품 제조업</t>
        </is>
      </c>
      <c r="Z718" t="inlineStr">
        <is>
          <t>자동차부품 제조/수출/부동산 임대</t>
        </is>
      </c>
      <c r="AA718" t="inlineStr">
        <is>
          <t>대구 달서구 월암동 925-10번지</t>
        </is>
      </c>
      <c r="AB718" t="inlineStr">
        <is>
          <t>대구 달서구 성서동로 43</t>
        </is>
      </c>
    </row>
    <row r="719" ht="19.2" customHeight="1" s="1">
      <c r="A719" t="inlineStr">
        <is>
          <t>NICE:239664</t>
        </is>
      </c>
      <c r="B719" t="inlineStr">
        <is>
          <t>엔씨엠</t>
        </is>
      </c>
      <c r="C719" s="5" t="n">
        <v>30892883000</v>
      </c>
      <c r="D719" s="5" t="n">
        <v>5993401000</v>
      </c>
      <c r="E719" s="5" t="n">
        <v>24899482000</v>
      </c>
      <c r="F719" s="5" t="n">
        <v>39961824000</v>
      </c>
      <c r="G719" s="5" t="n">
        <v>5459687000</v>
      </c>
      <c r="H719" s="5" t="n">
        <v>39617060000</v>
      </c>
      <c r="I719" s="5" t="n">
        <v>6505383000</v>
      </c>
      <c r="J719" s="4" t="n">
        <v>4.557799816131592</v>
      </c>
      <c r="K719" s="4" t="n">
        <v>0.2406999915838242</v>
      </c>
      <c r="L719" s="4" t="n">
        <v>0.1366000026464462</v>
      </c>
      <c r="M719" t="inlineStr">
        <is>
          <t>김형중</t>
        </is>
      </c>
      <c r="N719" t="inlineStr">
        <is>
          <t>031-419-4070</t>
        </is>
      </c>
      <c r="O719" t="inlineStr">
        <is>
          <t>031-419-4072</t>
        </is>
      </c>
      <c r="P719" s="3">
        <f>HYPERLINK("http://ncmpro.co.kr", "http://ncmpro.co.kr")</f>
        <v/>
      </c>
      <c r="Q719" t="inlineStr">
        <is>
          <t>1238183394</t>
        </is>
      </c>
      <c r="R719" t="inlineStr">
        <is>
          <t>1341110101456</t>
        </is>
      </c>
      <c r="S719" t="inlineStr">
        <is>
          <t>대상아님</t>
        </is>
      </c>
      <c r="T719" t="inlineStr">
        <is>
          <t>일반법인</t>
        </is>
      </c>
      <c r="U719" t="inlineStr">
        <is>
          <t>중소기업</t>
        </is>
      </c>
      <c r="V719" t="inlineStr">
        <is>
          <t>외부감사대상</t>
        </is>
      </c>
      <c r="W719" s="6" t="inlineStr">
        <is>
          <t>2002-09-03</t>
        </is>
      </c>
      <c r="X719" t="inlineStr">
        <is>
          <t>KRI:10C2851900</t>
        </is>
      </c>
      <c r="Y719" t="inlineStr">
        <is>
          <t>기타 가정용 전기기기 제조업</t>
        </is>
      </c>
      <c r="Z719" t="inlineStr">
        <is>
          <t>가정용전기기기 제조</t>
        </is>
      </c>
      <c r="AA719" t="inlineStr">
        <is>
          <t>경기 안산시 상록구 사사동 119-86번지</t>
        </is>
      </c>
      <c r="AB719" t="inlineStr">
        <is>
          <t>경기 안산시 상록구 안산테콤1길 9</t>
        </is>
      </c>
    </row>
    <row r="720" ht="19.2" customHeight="1" s="1">
      <c r="A720" t="inlineStr">
        <is>
          <t>NICE:354880</t>
        </is>
      </c>
      <c r="B720" t="inlineStr">
        <is>
          <t>니프코코리아</t>
        </is>
      </c>
      <c r="C720" s="5" t="n">
        <v>702073373000</v>
      </c>
      <c r="D720" s="5" t="n">
        <v>69604016000</v>
      </c>
      <c r="E720" s="5" t="n">
        <v>632469357000</v>
      </c>
      <c r="F720" s="5" t="n">
        <v>520681585000</v>
      </c>
      <c r="G720" s="5" t="n">
        <v>57573920000</v>
      </c>
      <c r="H720" s="5" t="n">
        <v>896900917000</v>
      </c>
      <c r="I720" s="5" t="n">
        <v>126575121000</v>
      </c>
      <c r="J720" s="4" t="n">
        <v>3.960599899291992</v>
      </c>
      <c r="K720" s="4" t="n">
        <v>0.1101000010967255</v>
      </c>
      <c r="L720" s="4" t="n">
        <v>0.1106000021100044</v>
      </c>
      <c r="M720" t="inlineStr">
        <is>
          <t>사공한</t>
        </is>
      </c>
      <c r="N720" t="inlineStr">
        <is>
          <t>041-640-0100</t>
        </is>
      </c>
      <c r="O720" t="inlineStr">
        <is>
          <t>041-640-0198-9</t>
        </is>
      </c>
      <c r="P720" s="3">
        <f>HYPERLINK("http://www.nifco.co.kr", "http://www.nifco.co.kr")</f>
        <v/>
      </c>
      <c r="Q720" t="inlineStr">
        <is>
          <t>2118144306</t>
        </is>
      </c>
      <c r="R720" t="inlineStr">
        <is>
          <t>1753110001322</t>
        </is>
      </c>
      <c r="S720" t="inlineStr">
        <is>
          <t>대상아님</t>
        </is>
      </c>
      <c r="T720" t="inlineStr">
        <is>
          <t>일반법인</t>
        </is>
      </c>
      <c r="U720" t="inlineStr">
        <is>
          <t>중견기업</t>
        </is>
      </c>
      <c r="V720" t="inlineStr">
        <is>
          <t>외부감사대상</t>
        </is>
      </c>
      <c r="W720" s="6" t="inlineStr">
        <is>
          <t>1985-01-31</t>
        </is>
      </c>
      <c r="X720" t="inlineStr">
        <is>
          <t>KRI:10C2224100</t>
        </is>
      </c>
      <c r="Y720" t="inlineStr">
        <is>
          <t>운송장비 조립용 플라스틱제품 제조업</t>
        </is>
      </c>
      <c r="Z720" t="inlineStr">
        <is>
          <t>엔지니어링프라스틱제품 제조/건설,토목공사용 기계장비 임대/소프트웨어제작,공급,유지보수</t>
        </is>
      </c>
      <c r="AA720" t="inlineStr">
        <is>
          <t>충남 아산시 둔포면 석곡리 1508번지</t>
        </is>
      </c>
      <c r="AB720" t="inlineStr">
        <is>
          <t>충남 아산시 둔포면 아산밸리남로 146</t>
        </is>
      </c>
    </row>
    <row r="721" s="1">
      <c r="A721" t="inlineStr">
        <is>
          <t>NICE:098659</t>
        </is>
      </c>
      <c r="B721" t="inlineStr">
        <is>
          <t>한국대일본인쇄</t>
        </is>
      </c>
      <c r="C721" s="5" t="n">
        <v>76931440000</v>
      </c>
      <c r="D721" s="5" t="n">
        <v>29029712000</v>
      </c>
      <c r="E721" s="5" t="n">
        <v>47901728000</v>
      </c>
      <c r="F721" s="5" t="n">
        <v>22224910000</v>
      </c>
      <c r="G721" s="5" t="n">
        <v>12826556000</v>
      </c>
      <c r="H721" s="5" t="n">
        <v>19207469000</v>
      </c>
      <c r="I721" s="5" t="n">
        <v>10193748000</v>
      </c>
      <c r="J721" s="4" t="n">
        <v>2.614500045776367</v>
      </c>
      <c r="K721" s="4" t="n">
        <v>0.6059999465942383</v>
      </c>
      <c r="L721" s="4" t="n">
        <v>0.5770999789237976</v>
      </c>
      <c r="M721" t="inlineStr">
        <is>
          <t>스가누마코지</t>
        </is>
      </c>
      <c r="N721" t="inlineStr">
        <is>
          <t>02-565-2867</t>
        </is>
      </c>
      <c r="O721" t="inlineStr">
        <is>
          <t>02-565-1593</t>
        </is>
      </c>
      <c r="P721">
        <f>HYPERLINK("http://www.dnp.co.jp", "http://www.dnp.co.jp")</f>
        <v/>
      </c>
      <c r="Q721" t="inlineStr">
        <is>
          <t>1208614933</t>
        </is>
      </c>
      <c r="R721" t="inlineStr">
        <is>
          <t>1101112124438</t>
        </is>
      </c>
      <c r="S721" t="inlineStr">
        <is>
          <t>대상아님</t>
        </is>
      </c>
      <c r="T721" t="inlineStr">
        <is>
          <t>일반법인</t>
        </is>
      </c>
      <c r="U721" t="inlineStr">
        <is>
          <t>중소기업</t>
        </is>
      </c>
      <c r="V721" t="inlineStr">
        <is>
          <t>외부감사대상</t>
        </is>
      </c>
      <c r="W721" s="6" t="inlineStr">
        <is>
          <t>2000-12-07</t>
        </is>
      </c>
      <c r="X721" t="inlineStr">
        <is>
          <t>KRI:10G4659500</t>
        </is>
      </c>
      <c r="Y721" t="inlineStr">
        <is>
          <t>전기용 기계ㆍ장비 및 관련 기자재 도매업</t>
        </is>
      </c>
      <c r="Z721" t="inlineStr">
        <is>
          <t>반도체전자부품(디스플레이용) 도매,무역</t>
        </is>
      </c>
      <c r="AA721" t="inlineStr">
        <is>
          <t>서울 강남구 삼성동 159-1번지</t>
        </is>
      </c>
      <c r="AB721" t="inlineStr">
        <is>
          <t>서울 강남구 영동대로 511</t>
        </is>
      </c>
    </row>
    <row r="722" ht="19.2" customHeight="1" s="1">
      <c r="A722" t="inlineStr">
        <is>
          <t>NICE:046930</t>
        </is>
      </c>
      <c r="B722" t="inlineStr">
        <is>
          <t>태일송풍기</t>
        </is>
      </c>
      <c r="C722" s="5" t="n">
        <v>34777503000</v>
      </c>
      <c r="D722" s="5" t="n">
        <v>11660059000</v>
      </c>
      <c r="E722" s="5" t="n">
        <v>23117444000</v>
      </c>
      <c r="F722" s="5" t="n">
        <v>45301578000</v>
      </c>
      <c r="G722" s="5" t="n">
        <v>5030535000</v>
      </c>
      <c r="H722" s="5" t="n">
        <v>40748248000</v>
      </c>
      <c r="I722" s="5" t="n">
        <v>3338180000</v>
      </c>
      <c r="J722" s="4" t="n">
        <v>1.907699942588806</v>
      </c>
      <c r="K722" s="4" t="n">
        <v>0.5043999552726746</v>
      </c>
      <c r="L722" s="4" t="n">
        <v>0.1110000014305115</v>
      </c>
      <c r="M722" t="inlineStr">
        <is>
          <t>정명철</t>
        </is>
      </c>
      <c r="N722" t="inlineStr">
        <is>
          <t>055-521-7300</t>
        </is>
      </c>
      <c r="O722" t="inlineStr">
        <is>
          <t>055-521-6977</t>
        </is>
      </c>
      <c r="P722" s="3">
        <f>HYPERLINK("http://www.tlbmfg.co.kr", "http://www.tlbmfg.co.kr")</f>
        <v/>
      </c>
      <c r="Q722" t="inlineStr">
        <is>
          <t>1348106927</t>
        </is>
      </c>
      <c r="R722" t="inlineStr">
        <is>
          <t>1301110026492</t>
        </is>
      </c>
      <c r="S722" t="inlineStr">
        <is>
          <t>대상아님</t>
        </is>
      </c>
      <c r="T722" t="inlineStr">
        <is>
          <t>일반법인</t>
        </is>
      </c>
      <c r="U722" t="inlineStr">
        <is>
          <t>중견기업</t>
        </is>
      </c>
      <c r="V722" t="inlineStr">
        <is>
          <t>외부감사대상</t>
        </is>
      </c>
      <c r="W722" s="6" t="inlineStr">
        <is>
          <t>1976-06-01</t>
        </is>
      </c>
      <c r="X722" t="inlineStr">
        <is>
          <t>KRI:10C2917300</t>
        </is>
      </c>
      <c r="Y722" t="inlineStr">
        <is>
          <t>산업용 송풍기 및 배기장치 제조업</t>
        </is>
      </c>
      <c r="Z722" t="inlineStr">
        <is>
          <t>송풍기 제조/부동산 임대</t>
        </is>
      </c>
      <c r="AA722" t="inlineStr">
        <is>
          <t>경남 창녕군 도천면 송진리 868번지</t>
        </is>
      </c>
      <c r="AB722" t="inlineStr">
        <is>
          <t>경남 창녕군 도천면 적말길 50</t>
        </is>
      </c>
    </row>
    <row r="723" ht="19.2" customHeight="1" s="1">
      <c r="A723" t="inlineStr">
        <is>
          <t>NICE:280226</t>
        </is>
      </c>
      <c r="B723" t="inlineStr">
        <is>
          <t>대현엔지니어링</t>
        </is>
      </c>
      <c r="C723" s="5" t="n">
        <v>80744253000</v>
      </c>
      <c r="D723" s="5" t="n">
        <v>35808464000</v>
      </c>
      <c r="E723" s="5" t="n">
        <v>44935789000</v>
      </c>
      <c r="F723" s="5" t="n">
        <v>105304720000</v>
      </c>
      <c r="G723" s="5" t="n">
        <v>13027999000</v>
      </c>
      <c r="H723" s="5" t="n">
        <v>83858953000</v>
      </c>
      <c r="I723" s="5" t="n">
        <v>10183516000</v>
      </c>
      <c r="J723" s="4" t="n">
        <v>1.498200058937073</v>
      </c>
      <c r="K723" s="4" t="n">
        <v>0.7969000339508057</v>
      </c>
      <c r="L723" s="4" t="n">
        <v>0.1236999928951263</v>
      </c>
      <c r="M723" t="inlineStr">
        <is>
          <t>김건남/김구열</t>
        </is>
      </c>
      <c r="N723" t="inlineStr">
        <is>
          <t>02-6369-1546</t>
        </is>
      </c>
      <c r="O723" t="inlineStr">
        <is>
          <t>02-6369-1544</t>
        </is>
      </c>
      <c r="P723" s="3">
        <f>HYPERLINK("http://www.daehyeon.co.kr", "http://www.daehyeon.co.kr")</f>
        <v/>
      </c>
      <c r="Q723" t="inlineStr">
        <is>
          <t>3028106461</t>
        </is>
      </c>
      <c r="R723" t="inlineStr">
        <is>
          <t>1541110001397</t>
        </is>
      </c>
      <c r="S723" t="inlineStr">
        <is>
          <t>대상아님</t>
        </is>
      </c>
      <c r="T723" t="inlineStr">
        <is>
          <t>일반법인</t>
        </is>
      </c>
      <c r="U723" t="inlineStr">
        <is>
          <t>중소기업</t>
        </is>
      </c>
      <c r="V723" t="inlineStr">
        <is>
          <t>외부감사대상</t>
        </is>
      </c>
      <c r="W723" s="6" t="inlineStr">
        <is>
          <t>1996-09-14</t>
        </is>
      </c>
      <c r="X723" t="inlineStr">
        <is>
          <t>KRI:10F4249200</t>
        </is>
      </c>
      <c r="Y723" t="inlineStr">
        <is>
          <t>건물용 금속공작물 설치 공사업</t>
        </is>
      </c>
      <c r="Z723" t="inlineStr">
        <is>
          <t>금속공작물설치공사,강구조물설치공사,유리공사,창호공사,기계설비공사,시설물유지관리공사/철구조물 제조/기계장비 임대</t>
        </is>
      </c>
      <c r="AA723" t="inlineStr">
        <is>
          <t>서울 송파구 문정동 642번지 송파테라타워2 제비동 제15층 제비-1522호, 1523호, 1524호</t>
        </is>
      </c>
      <c r="AB723" t="inlineStr">
        <is>
          <t>서울 송파구 송파대로 201, 제비동 제15층 제비-1522호, 1523호, 1524호 (문정동,송파테라타워2)</t>
        </is>
      </c>
    </row>
    <row r="724" s="1">
      <c r="A724" t="inlineStr">
        <is>
          <t>NICE:801589</t>
        </is>
      </c>
      <c r="B724" t="inlineStr">
        <is>
          <t>원건설산업</t>
        </is>
      </c>
      <c r="C724" s="5" t="n">
        <v>260032124000</v>
      </c>
      <c r="D724" s="5" t="n">
        <v>215107949000</v>
      </c>
      <c r="E724" s="5" t="n">
        <v>44924175000</v>
      </c>
      <c r="F724" s="5" t="n">
        <v>230822331000</v>
      </c>
      <c r="G724" s="5" t="n">
        <v>28518736000</v>
      </c>
      <c r="H724" s="5" t="n">
        <v>107281469000</v>
      </c>
      <c r="I724" s="5" t="n">
        <v>18187706000</v>
      </c>
      <c r="J724" s="4" t="n">
        <v>3.709399938583374</v>
      </c>
      <c r="K724" s="4" t="n">
        <v>4.788199901580811</v>
      </c>
      <c r="L724" s="4" t="n">
        <v>0.1235999912023544</v>
      </c>
      <c r="M724" t="inlineStr">
        <is>
          <t>김규원</t>
        </is>
      </c>
      <c r="N724" t="inlineStr">
        <is>
          <t>043-224-3100</t>
        </is>
      </c>
      <c r="O724" t="inlineStr">
        <is>
          <t>043-259-4434</t>
        </is>
      </c>
      <c r="Q724" t="inlineStr">
        <is>
          <t>3018185653</t>
        </is>
      </c>
      <c r="R724" t="inlineStr">
        <is>
          <t>1501110091235</t>
        </is>
      </c>
      <c r="S724" t="inlineStr">
        <is>
          <t>대상아님</t>
        </is>
      </c>
      <c r="T724" t="inlineStr">
        <is>
          <t>일반법인</t>
        </is>
      </c>
      <c r="U724" t="inlineStr">
        <is>
          <t>중소기업</t>
        </is>
      </c>
      <c r="V724" t="inlineStr">
        <is>
          <t>외부감사대상</t>
        </is>
      </c>
      <c r="W724" s="6" t="inlineStr">
        <is>
          <t>2005-09-22</t>
        </is>
      </c>
      <c r="X724" t="inlineStr">
        <is>
          <t>KRI:10F4111000</t>
        </is>
      </c>
      <c r="Y724" t="inlineStr">
        <is>
          <t>주거용 건물 건설업</t>
        </is>
      </c>
      <c r="Z724" t="inlineStr">
        <is>
          <t>주택공사,토목건축공사,대지조성공사</t>
        </is>
      </c>
      <c r="AA724" t="inlineStr">
        <is>
          <t>세종 장군면 평기리 10번지</t>
        </is>
      </c>
      <c r="AB724" t="inlineStr">
        <is>
          <t>세종 장군면 평기산양길 29-4</t>
        </is>
      </c>
    </row>
    <row r="725" s="1">
      <c r="A725" t="inlineStr">
        <is>
          <t>NICE:H31401</t>
        </is>
      </c>
      <c r="B725" t="inlineStr">
        <is>
          <t>케이이티솔루션</t>
        </is>
      </c>
      <c r="C725" s="5" t="n">
        <v>163238244000</v>
      </c>
      <c r="D725" s="5" t="n">
        <v>17050823000</v>
      </c>
      <c r="E725" s="5" t="n">
        <v>146187422000</v>
      </c>
      <c r="F725" s="5" t="n">
        <v>125836532000</v>
      </c>
      <c r="G725" s="5" t="n">
        <v>17140614000</v>
      </c>
      <c r="H725" s="5" t="n">
        <v>121969203000</v>
      </c>
      <c r="I725" s="5" t="n">
        <v>20901170000</v>
      </c>
      <c r="J725" s="4" t="n">
        <v>8.200699806213379</v>
      </c>
      <c r="K725" s="4" t="n">
        <v>0.1165999993681908</v>
      </c>
      <c r="L725" s="4" t="n">
        <v>0.1361999958753586</v>
      </c>
      <c r="M725" t="inlineStr">
        <is>
          <t>이원준</t>
        </is>
      </c>
      <c r="N725" t="inlineStr">
        <is>
          <t>031-937-2000</t>
        </is>
      </c>
      <c r="O725" t="inlineStr">
        <is>
          <t>031-937-2100</t>
        </is>
      </c>
      <c r="Q725" t="inlineStr">
        <is>
          <t>1418120607</t>
        </is>
      </c>
      <c r="R725" t="inlineStr">
        <is>
          <t>2849110088615</t>
        </is>
      </c>
      <c r="S725" t="inlineStr">
        <is>
          <t>대상아님</t>
        </is>
      </c>
      <c r="T725" t="inlineStr">
        <is>
          <t>일반법인</t>
        </is>
      </c>
      <c r="U725" t="inlineStr">
        <is>
          <t>중견기업</t>
        </is>
      </c>
      <c r="V725" t="inlineStr">
        <is>
          <t>외부감사대상</t>
        </is>
      </c>
      <c r="W725" s="6" t="inlineStr">
        <is>
          <t>2010-07-26</t>
        </is>
      </c>
      <c r="X725" t="inlineStr">
        <is>
          <t>KRI:10C2622400</t>
        </is>
      </c>
      <c r="Y725" t="inlineStr">
        <is>
          <t>전자부품 실장기판 제조업</t>
        </is>
      </c>
      <c r="Z725" t="inlineStr">
        <is>
          <t>전자부품실장기판,리드프레임제조,도금/전기전자부품 도소매</t>
        </is>
      </c>
      <c r="AA725" t="inlineStr">
        <is>
          <t>경기 파주시 파주읍 향양리 701-2번지</t>
        </is>
      </c>
      <c r="AB725" t="inlineStr">
        <is>
          <t>경기 파주시 파주읍 돈유1로 22</t>
        </is>
      </c>
    </row>
    <row r="726" s="1">
      <c r="A726" t="inlineStr">
        <is>
          <t>NICE:002208</t>
        </is>
      </c>
      <c r="B726" t="inlineStr">
        <is>
          <t>태원식품산업</t>
        </is>
      </c>
      <c r="C726" s="5" t="n">
        <v>104647264000</v>
      </c>
      <c r="D726" s="5" t="n">
        <v>49276243000</v>
      </c>
      <c r="E726" s="5" t="n">
        <v>55371022000</v>
      </c>
      <c r="F726" s="5" t="n">
        <v>92176481000</v>
      </c>
      <c r="G726" s="5" t="n">
        <v>12416228000</v>
      </c>
      <c r="H726" s="5" t="n">
        <v>86478395000</v>
      </c>
      <c r="I726" s="5" t="n">
        <v>10018495000</v>
      </c>
      <c r="J726" s="4" t="n">
        <v>1.027500033378601</v>
      </c>
      <c r="K726" s="4" t="n">
        <v>0.8898999691009521</v>
      </c>
      <c r="L726" s="4" t="n">
        <v>0.1347000002861023</v>
      </c>
      <c r="M726" t="inlineStr">
        <is>
          <t>송규재</t>
        </is>
      </c>
      <c r="N726" t="inlineStr">
        <is>
          <t>031-491-7912</t>
        </is>
      </c>
      <c r="O726" t="inlineStr">
        <is>
          <t>031-491-7909</t>
        </is>
      </c>
      <c r="P726">
        <f>HYPERLINK("http://www.taewonfd.com", "http://www.taewonfd.com")</f>
        <v/>
      </c>
      <c r="Q726" t="inlineStr">
        <is>
          <t>1348105044</t>
        </is>
      </c>
      <c r="R726" t="inlineStr">
        <is>
          <t>1301110009977</t>
        </is>
      </c>
      <c r="S726" t="inlineStr">
        <is>
          <t>대상아님</t>
        </is>
      </c>
      <c r="T726" t="inlineStr">
        <is>
          <t>일반법인</t>
        </is>
      </c>
      <c r="U726" t="inlineStr">
        <is>
          <t>중소기업</t>
        </is>
      </c>
      <c r="V726" t="inlineStr">
        <is>
          <t>외부감사대상</t>
        </is>
      </c>
      <c r="W726" s="6" t="inlineStr">
        <is>
          <t>1984-12-13</t>
        </is>
      </c>
      <c r="X726" t="inlineStr">
        <is>
          <t>KRI:10C1074200</t>
        </is>
      </c>
      <c r="Y726" t="inlineStr">
        <is>
          <t>천연 및 혼합조제 조미료 제조업</t>
        </is>
      </c>
      <c r="Z726" t="inlineStr">
        <is>
          <t>조미료,식품첨가물,화공약품,식료품가공기계 제조,도매,수출입/포장재료 도매/부동산 임대/오파</t>
        </is>
      </c>
      <c r="AA726" t="inlineStr">
        <is>
          <t>경기 안산시 단원구 신길동 1125-2번지</t>
        </is>
      </c>
      <c r="AB726" t="inlineStr">
        <is>
          <t>경기 안산시 단원구 능안로 78</t>
        </is>
      </c>
    </row>
    <row r="727" ht="19.2" customHeight="1" s="1">
      <c r="A727" t="inlineStr">
        <is>
          <t>NICE:388114</t>
        </is>
      </c>
      <c r="B727" t="inlineStr">
        <is>
          <t>신신기계</t>
        </is>
      </c>
      <c r="C727" s="5" t="n">
        <v>100375676000</v>
      </c>
      <c r="D727" s="5" t="n">
        <v>18664533000</v>
      </c>
      <c r="E727" s="5" t="n">
        <v>81711143000</v>
      </c>
      <c r="F727" s="5" t="n">
        <v>69755253000</v>
      </c>
      <c r="G727" s="5" t="n">
        <v>9058873000</v>
      </c>
      <c r="H727" s="5" t="n">
        <v>62524071000</v>
      </c>
      <c r="I727" s="5" t="n">
        <v>8830180000</v>
      </c>
      <c r="J727" s="4" t="n">
        <v>3.394500017166138</v>
      </c>
      <c r="K727" s="4" t="n">
        <v>0.2283999919891357</v>
      </c>
      <c r="L727" s="4" t="n">
        <v>0.1298999935388565</v>
      </c>
      <c r="M727" t="inlineStr">
        <is>
          <t>김종혁/박병욱</t>
        </is>
      </c>
      <c r="N727" t="inlineStr">
        <is>
          <t>051-713-0000</t>
        </is>
      </c>
      <c r="O727" t="inlineStr">
        <is>
          <t>051-727-5306</t>
        </is>
      </c>
      <c r="P727" s="3">
        <f>HYPERLINK("http://www.sspump.com", "http://www.sspump.com")</f>
        <v/>
      </c>
      <c r="Q727" t="inlineStr">
        <is>
          <t>6218114256</t>
        </is>
      </c>
      <c r="R727" t="inlineStr">
        <is>
          <t>1801110028331</t>
        </is>
      </c>
      <c r="S727" t="inlineStr">
        <is>
          <t>대상아님</t>
        </is>
      </c>
      <c r="T727" t="inlineStr">
        <is>
          <t>일반법인</t>
        </is>
      </c>
      <c r="U727" t="inlineStr">
        <is>
          <t>중소기업</t>
        </is>
      </c>
      <c r="V727" t="inlineStr">
        <is>
          <t>외부감사대상</t>
        </is>
      </c>
      <c r="W727" s="6" t="inlineStr">
        <is>
          <t>1969-12-01</t>
        </is>
      </c>
      <c r="X727" t="inlineStr">
        <is>
          <t>KRI:10C2913100</t>
        </is>
      </c>
      <c r="Y727" t="inlineStr">
        <is>
          <t>액체 펌프 제조업</t>
        </is>
      </c>
      <c r="Z727" t="inlineStr">
        <is>
          <t>산업용펌프,수중펌프,밸브류,제진기,기중기 제조/건물용기계장비 설치공사,상하수도설비,시설물유지공사</t>
        </is>
      </c>
      <c r="AA727" t="inlineStr">
        <is>
          <t>부산 기장군 정관읍 예림리 940-13번지</t>
        </is>
      </c>
      <c r="AB727" t="inlineStr">
        <is>
          <t>부산 기장군 정관읍 농공길 85</t>
        </is>
      </c>
    </row>
    <row r="728" s="1">
      <c r="A728" t="inlineStr">
        <is>
          <t>NICE:C86709</t>
        </is>
      </c>
      <c r="B728" t="inlineStr">
        <is>
          <t>성신씨엠</t>
        </is>
      </c>
      <c r="C728" s="5" t="n">
        <v>75475271000</v>
      </c>
      <c r="D728" s="5" t="n">
        <v>28395712000</v>
      </c>
      <c r="E728" s="5" t="n">
        <v>47079559000</v>
      </c>
      <c r="F728" s="5" t="n">
        <v>71131048000</v>
      </c>
      <c r="G728" s="5" t="n">
        <v>8500932000</v>
      </c>
      <c r="H728" s="5" t="n">
        <v>62686832000</v>
      </c>
      <c r="I728" s="5" t="n">
        <v>8121122000</v>
      </c>
      <c r="J728" s="4" t="n">
        <v>0.8563999533653259</v>
      </c>
      <c r="K728" s="4" t="n">
        <v>0.6031000018119812</v>
      </c>
      <c r="L728" s="4" t="n">
        <v>0.119499996304512</v>
      </c>
      <c r="M728" t="inlineStr">
        <is>
          <t>민성환</t>
        </is>
      </c>
      <c r="N728" t="inlineStr">
        <is>
          <t>031-681-1373</t>
        </is>
      </c>
      <c r="O728" t="inlineStr">
        <is>
          <t>031-681-1378</t>
        </is>
      </c>
      <c r="P728">
        <f>HYPERLINK("http://sungshincm.co.kr/", "http://sungshincm.co.kr/")</f>
        <v/>
      </c>
      <c r="Q728" t="inlineStr">
        <is>
          <t>3118127117</t>
        </is>
      </c>
      <c r="R728" t="inlineStr">
        <is>
          <t>1650110022326</t>
        </is>
      </c>
      <c r="S728" t="inlineStr">
        <is>
          <t>대상아님</t>
        </is>
      </c>
      <c r="T728" t="inlineStr">
        <is>
          <t>일반법인</t>
        </is>
      </c>
      <c r="U728" t="inlineStr">
        <is>
          <t>중견기업</t>
        </is>
      </c>
      <c r="V728" t="inlineStr">
        <is>
          <t>외부감사대상</t>
        </is>
      </c>
      <c r="W728" s="6" t="inlineStr">
        <is>
          <t>2007-10-18</t>
        </is>
      </c>
      <c r="X728" t="inlineStr">
        <is>
          <t>KRI:10C2331100</t>
        </is>
      </c>
      <c r="Y728" t="inlineStr">
        <is>
          <t>시멘트 제조업</t>
        </is>
      </c>
      <c r="Z728" t="inlineStr">
        <is>
          <t>시멘트,슬래그미분말,레미콘 제조,수출입/건설장비 임대(건설)/건축자재 도소매/하역</t>
        </is>
      </c>
      <c r="AA728" t="inlineStr">
        <is>
          <t>충남 당진시 신평면 매산리 976-15번지</t>
        </is>
      </c>
      <c r="AB728" t="inlineStr">
        <is>
          <t>충남 당진시 신평면 당진항만로 65</t>
        </is>
      </c>
    </row>
    <row r="729" ht="19.2" customHeight="1" s="1">
      <c r="A729" t="inlineStr">
        <is>
          <t>NICE:MB2084</t>
        </is>
      </c>
      <c r="B729" t="inlineStr">
        <is>
          <t>화코스텍인터내셔널</t>
        </is>
      </c>
      <c r="C729" s="5" t="n">
        <v>55113200000</v>
      </c>
      <c r="D729" s="5" t="n">
        <v>43635093000</v>
      </c>
      <c r="E729" s="5" t="n">
        <v>11478107000</v>
      </c>
      <c r="F729" s="5" t="n">
        <v>23266391000</v>
      </c>
      <c r="G729" s="5" t="n">
        <v>5391672000</v>
      </c>
      <c r="H729" s="5" t="n">
        <v>22050619000</v>
      </c>
      <c r="I729" s="5" t="n">
        <v>4626738000</v>
      </c>
      <c r="J729" s="4" t="n">
        <v>1.595099925994873</v>
      </c>
      <c r="K729" s="4" t="n">
        <v>3.801599979400635</v>
      </c>
      <c r="L729" s="4" t="n">
        <v>0.2316999882459641</v>
      </c>
      <c r="M729" t="inlineStr">
        <is>
          <t>계세찬</t>
        </is>
      </c>
      <c r="N729" t="inlineStr">
        <is>
          <t>031-718-7226</t>
        </is>
      </c>
      <c r="O729" t="inlineStr">
        <is>
          <t>031-718-7223</t>
        </is>
      </c>
      <c r="P729" s="3" t="n"/>
      <c r="Q729" t="inlineStr">
        <is>
          <t>5798601848</t>
        </is>
      </c>
      <c r="R729" t="inlineStr">
        <is>
          <t>1311110616268</t>
        </is>
      </c>
      <c r="S729" t="inlineStr">
        <is>
          <t>대상아님</t>
        </is>
      </c>
      <c r="T729" t="inlineStr">
        <is>
          <t>일반법인</t>
        </is>
      </c>
      <c r="U729" t="inlineStr">
        <is>
          <t>중소기업</t>
        </is>
      </c>
      <c r="V729" t="inlineStr">
        <is>
          <t>외부감사대상</t>
        </is>
      </c>
      <c r="W729" s="6" t="inlineStr">
        <is>
          <t>2020-12-29</t>
        </is>
      </c>
      <c r="X729" t="inlineStr">
        <is>
          <t>KRI:10G4673900</t>
        </is>
      </c>
      <c r="Y729" t="inlineStr">
        <is>
          <t>기타 화학물질 및 화학제품 도매업</t>
        </is>
      </c>
      <c r="Z729" t="inlineStr">
        <is>
          <t>화장품원료 도소매,제조/무역,오퍼상/부동산 임대</t>
        </is>
      </c>
      <c r="AA729" t="inlineStr">
        <is>
          <t>경기 성남시 분당구 운중동 1017-2번지 이레빌딩 4층</t>
        </is>
      </c>
      <c r="AB729" t="inlineStr">
        <is>
          <t>경기 성남시 분당구 운중로 194, 4층 (운중동,이레빌딩)</t>
        </is>
      </c>
    </row>
    <row r="730" ht="19.2" customHeight="1" s="1">
      <c r="A730" t="inlineStr">
        <is>
          <t>NICE:113542</t>
        </is>
      </c>
      <c r="B730" t="inlineStr">
        <is>
          <t>케이엔케이</t>
        </is>
      </c>
      <c r="C730" s="5" t="n">
        <v>53446768000</v>
      </c>
      <c r="D730" s="5" t="n">
        <v>14290313000</v>
      </c>
      <c r="E730" s="5" t="n">
        <v>39156455000</v>
      </c>
      <c r="F730" s="5" t="n">
        <v>40822889000</v>
      </c>
      <c r="G730" s="5" t="n">
        <v>4505676000</v>
      </c>
      <c r="H730" s="5" t="n">
        <v>38698111000</v>
      </c>
      <c r="I730" s="5" t="n">
        <v>4548257000</v>
      </c>
      <c r="J730" s="4" t="n">
        <v>3.730199813842773</v>
      </c>
      <c r="K730" s="4" t="n">
        <v>0.3649999797344208</v>
      </c>
      <c r="L730" s="4" t="n">
        <v>0.1103999987244606</v>
      </c>
      <c r="M730" t="inlineStr">
        <is>
          <t>이동환</t>
        </is>
      </c>
      <c r="N730" t="inlineStr">
        <is>
          <t>051-253-4436</t>
        </is>
      </c>
      <c r="O730" t="inlineStr">
        <is>
          <t>051-253-4833</t>
        </is>
      </c>
      <c r="P730" s="3" t="n"/>
      <c r="Q730" t="inlineStr">
        <is>
          <t>6038138003</t>
        </is>
      </c>
      <c r="R730" t="inlineStr">
        <is>
          <t>1801110284347</t>
        </is>
      </c>
      <c r="S730" t="inlineStr">
        <is>
          <t>대상아님</t>
        </is>
      </c>
      <c r="T730" t="inlineStr">
        <is>
          <t>일반법인</t>
        </is>
      </c>
      <c r="U730" t="inlineStr">
        <is>
          <t>중소기업</t>
        </is>
      </c>
      <c r="V730" t="inlineStr">
        <is>
          <t>외부감사대상</t>
        </is>
      </c>
      <c r="W730" s="6" t="inlineStr">
        <is>
          <t>1999-04-16</t>
        </is>
      </c>
      <c r="X730" t="inlineStr">
        <is>
          <t>KRI:10G4632200</t>
        </is>
      </c>
      <c r="Y730" t="inlineStr">
        <is>
          <t>수산물 가공식품 도매업</t>
        </is>
      </c>
      <c r="Z730" t="inlineStr">
        <is>
          <t>수산물가공식품 도매</t>
        </is>
      </c>
      <c r="AA730" t="inlineStr">
        <is>
          <t>부산 서구 암남동 255-1번지 송도탑스빌 103호</t>
        </is>
      </c>
      <c r="AB730" t="inlineStr">
        <is>
          <t>부산 서구 충무대로 56, 103호 (암남동,송도탑스빌)</t>
        </is>
      </c>
    </row>
    <row r="731" ht="19.2" customHeight="1" s="1">
      <c r="A731" t="inlineStr">
        <is>
          <t>NICE:499437</t>
        </is>
      </c>
      <c r="B731" t="inlineStr">
        <is>
          <t>새한엘리베이터</t>
        </is>
      </c>
      <c r="C731" s="5" t="n">
        <v>37972694000</v>
      </c>
      <c r="D731" s="5" t="n">
        <v>17641677000</v>
      </c>
      <c r="E731" s="5" t="n">
        <v>20331017000</v>
      </c>
      <c r="F731" s="5" t="n">
        <v>31492771000</v>
      </c>
      <c r="G731" s="5" t="n">
        <v>4077150000</v>
      </c>
      <c r="H731" s="5" t="n">
        <v>20872894000</v>
      </c>
      <c r="I731" s="5" t="n">
        <v>1303468000</v>
      </c>
      <c r="J731" s="4" t="n">
        <v>0.4711999893188477</v>
      </c>
      <c r="K731" s="4" t="n">
        <v>0.867699921131134</v>
      </c>
      <c r="L731" s="4" t="n">
        <v>0.1295000016689301</v>
      </c>
      <c r="M731" t="inlineStr">
        <is>
          <t>손영선</t>
        </is>
      </c>
      <c r="N731" t="inlineStr">
        <is>
          <t>02-2104-0482</t>
        </is>
      </c>
      <c r="O731" t="inlineStr">
        <is>
          <t>02-2104-0488</t>
        </is>
      </c>
      <c r="P731" s="3">
        <f>HYPERLINK("http://www.saehanel.co.kr", "http://www.saehanel.co.kr")</f>
        <v/>
      </c>
      <c r="Q731" t="inlineStr">
        <is>
          <t>1138189256</t>
        </is>
      </c>
      <c r="R731" t="inlineStr">
        <is>
          <t>1101112943945</t>
        </is>
      </c>
      <c r="S731" t="inlineStr">
        <is>
          <t>대상아님</t>
        </is>
      </c>
      <c r="T731" t="inlineStr">
        <is>
          <t>일반법인</t>
        </is>
      </c>
      <c r="U731" t="inlineStr">
        <is>
          <t>중소기업</t>
        </is>
      </c>
      <c r="V731" t="inlineStr">
        <is>
          <t>외부감사대상</t>
        </is>
      </c>
      <c r="W731" s="6" t="inlineStr">
        <is>
          <t>2004-01-30</t>
        </is>
      </c>
      <c r="X731" t="inlineStr">
        <is>
          <t>KRI:10C2916200</t>
        </is>
      </c>
      <c r="Y731" t="inlineStr">
        <is>
          <t>승강기 제조업</t>
        </is>
      </c>
      <c r="Z731" t="inlineStr">
        <is>
          <t>엘리베이터,에스컬레이터 제조,개발,설계/승강기설치공사,전기공사/승강기 유지보수</t>
        </is>
      </c>
      <c r="AA731" t="inlineStr">
        <is>
          <t>서울 금천구 가산동 345-30번지 남성프라자 1110호</t>
        </is>
      </c>
      <c r="AB731" t="inlineStr">
        <is>
          <t>서울 금천구 디지털로 130, 1110호 (가산동,남성프라자)</t>
        </is>
      </c>
    </row>
    <row r="732" ht="19.2" customHeight="1" s="1">
      <c r="A732" t="inlineStr">
        <is>
          <t>NICE:171830</t>
        </is>
      </c>
      <c r="B732" t="inlineStr">
        <is>
          <t>모아종합건설</t>
        </is>
      </c>
      <c r="C732" s="5" t="n">
        <v>309481138000</v>
      </c>
      <c r="D732" s="5" t="n">
        <v>73154349000</v>
      </c>
      <c r="E732" s="5" t="n">
        <v>236326788000</v>
      </c>
      <c r="F732" s="5" t="n">
        <v>233458821000</v>
      </c>
      <c r="G732" s="5" t="n">
        <v>31295479000</v>
      </c>
      <c r="H732" s="5" t="n">
        <v>127656976000</v>
      </c>
      <c r="I732" s="5" t="n">
        <v>12734741000</v>
      </c>
      <c r="J732" s="4" t="n">
        <v>2.372499942779541</v>
      </c>
      <c r="K732" s="4" t="n">
        <v>0.3095000088214874</v>
      </c>
      <c r="L732" s="4" t="n">
        <v>0.1340999901294708</v>
      </c>
      <c r="M732" t="inlineStr">
        <is>
          <t>김헌수/박치영</t>
        </is>
      </c>
      <c r="N732" t="inlineStr">
        <is>
          <t>062-520-0125</t>
        </is>
      </c>
      <c r="O732" t="inlineStr">
        <is>
          <t>062-520-0119</t>
        </is>
      </c>
      <c r="P732" s="3">
        <f>HYPERLINK("http://www.miraedo.com", "http://www.miraedo.com")</f>
        <v/>
      </c>
      <c r="Q732" t="inlineStr">
        <is>
          <t>4098151156</t>
        </is>
      </c>
      <c r="R732" t="inlineStr">
        <is>
          <t>2059110005185</t>
        </is>
      </c>
      <c r="S732" t="inlineStr">
        <is>
          <t>대상아님</t>
        </is>
      </c>
      <c r="T732" t="inlineStr">
        <is>
          <t>일반법인</t>
        </is>
      </c>
      <c r="U732" t="inlineStr">
        <is>
          <t>중견기업</t>
        </is>
      </c>
      <c r="V732" t="inlineStr">
        <is>
          <t>외부감사대상</t>
        </is>
      </c>
      <c r="W732" s="6" t="inlineStr">
        <is>
          <t>1999-12-08</t>
        </is>
      </c>
      <c r="X732" t="inlineStr">
        <is>
          <t>KRI:10F4111000</t>
        </is>
      </c>
      <c r="Y732" t="inlineStr">
        <is>
          <t>주거용 건물 건설업</t>
        </is>
      </c>
      <c r="Z732" t="inlineStr">
        <is>
          <t>주택건설,분양공급공사,토목건축공사,조경공사,전문소방시설공사,정보통신공사,석공사,전기공사/부동산 매매,임대</t>
        </is>
      </c>
      <c r="AA732" t="inlineStr">
        <is>
          <t>광주 북구 운암동 1059-22번지 모아미래도빌딩 3층</t>
        </is>
      </c>
      <c r="AB732" t="inlineStr">
        <is>
          <t>광주 북구 북문대로 161, 3층 (운암동,모아미래도빌딩)</t>
        </is>
      </c>
    </row>
    <row r="733" ht="19.2" customHeight="1" s="1">
      <c r="A733" t="inlineStr">
        <is>
          <t>NICE:LS4544</t>
        </is>
      </c>
      <c r="B733" t="inlineStr">
        <is>
          <t>인플로우</t>
        </is>
      </c>
      <c r="C733" s="5" t="n">
        <v>20535389000</v>
      </c>
      <c r="D733" s="5" t="n">
        <v>12733588000</v>
      </c>
      <c r="E733" s="5" t="n">
        <v>7801802000</v>
      </c>
      <c r="F733" s="5" t="n">
        <v>30471654000</v>
      </c>
      <c r="G733" s="5" t="n">
        <v>3050804000</v>
      </c>
      <c r="H733" s="5" t="n">
        <v>25539058000</v>
      </c>
      <c r="I733" s="5" t="n">
        <v>3244700000</v>
      </c>
      <c r="J733" s="4" t="n">
        <v>1.825700044631958</v>
      </c>
      <c r="K733" s="4" t="n">
        <v>1.632099986076355</v>
      </c>
      <c r="L733" s="4" t="n">
        <v>0.100100003182888</v>
      </c>
      <c r="M733" t="inlineStr">
        <is>
          <t>오창균/정홍교</t>
        </is>
      </c>
      <c r="N733" t="inlineStr">
        <is>
          <t>1533-6636</t>
        </is>
      </c>
      <c r="O733" t="inlineStr">
        <is>
          <t>070-4015-0870</t>
        </is>
      </c>
      <c r="P733" s="3">
        <f>HYPERLINK("http://www.tayota.co.kr/", "http://www.tayota.co.kr/")</f>
        <v/>
      </c>
      <c r="Q733" t="inlineStr">
        <is>
          <t>2858701799</t>
        </is>
      </c>
      <c r="R733" t="inlineStr">
        <is>
          <t>1244110274118</t>
        </is>
      </c>
      <c r="S733" t="inlineStr">
        <is>
          <t>대상아님</t>
        </is>
      </c>
      <c r="T733" t="inlineStr">
        <is>
          <t>일반법인</t>
        </is>
      </c>
      <c r="U733" t="inlineStr">
        <is>
          <t>중소기업</t>
        </is>
      </c>
      <c r="V733" t="inlineStr">
        <is>
          <t>외부감사대상</t>
        </is>
      </c>
      <c r="W733" s="6" t="inlineStr">
        <is>
          <t>2020-08-13</t>
        </is>
      </c>
      <c r="X733" t="inlineStr">
        <is>
          <t>KRI:10N7619000</t>
        </is>
      </c>
      <c r="Y733" t="inlineStr">
        <is>
          <t>기타 운송장비 임대업</t>
        </is>
      </c>
      <c r="Z733" t="inlineStr">
        <is>
          <t>배달용오토바이 임대/응용소프트웨어 개발,공급/이륜차부품 도소매,전자상거래/비주거용건물 임대</t>
        </is>
      </c>
      <c r="AA733" t="inlineStr">
        <is>
          <t>경기 김포시 운양동 1307-3번지 골든타임 707호</t>
        </is>
      </c>
      <c r="AB733" t="inlineStr">
        <is>
          <t>경기 김포시 김포한강1로 250, 707호 (운양동,골든타임)</t>
        </is>
      </c>
    </row>
    <row r="734" ht="19.2" customHeight="1" s="1">
      <c r="A734" t="inlineStr">
        <is>
          <t>NICE:IX4456</t>
        </is>
      </c>
      <c r="B734" t="inlineStr">
        <is>
          <t>준성홀딩스</t>
        </is>
      </c>
      <c r="C734" s="5" t="n">
        <v>48122612000</v>
      </c>
      <c r="D734" s="5" t="n">
        <v>34897584000</v>
      </c>
      <c r="E734" s="5" t="n">
        <v>13225028000</v>
      </c>
      <c r="F734" s="5" t="n">
        <v>50090659000</v>
      </c>
      <c r="G734" s="5" t="n">
        <v>5567694000</v>
      </c>
      <c r="H734" s="5" t="n">
        <v>34038687000</v>
      </c>
      <c r="I734" s="5" t="n">
        <v>1880633000</v>
      </c>
      <c r="J734" s="4" t="n">
        <v>1.274499893188477</v>
      </c>
      <c r="K734" s="4" t="n">
        <v>2.638799905776978</v>
      </c>
      <c r="L734" s="4" t="n">
        <v>0.1111999973654747</v>
      </c>
      <c r="M734" t="inlineStr">
        <is>
          <t>박성식</t>
        </is>
      </c>
      <c r="N734" t="inlineStr">
        <is>
          <t>02-404-1915</t>
        </is>
      </c>
      <c r="O734" t="inlineStr">
        <is>
          <t>02-404-1915</t>
        </is>
      </c>
      <c r="P734" s="3">
        <f>HYPERLINK("https://jsyp.co.kr/", "https://jsyp.co.kr/")</f>
        <v/>
      </c>
      <c r="Q734" t="inlineStr">
        <is>
          <t>4758100969</t>
        </is>
      </c>
      <c r="R734" t="inlineStr">
        <is>
          <t>1342110197669</t>
        </is>
      </c>
      <c r="S734" t="inlineStr">
        <is>
          <t>대상아님</t>
        </is>
      </c>
      <c r="T734" t="inlineStr">
        <is>
          <t>일반법인</t>
        </is>
      </c>
      <c r="U734" t="inlineStr">
        <is>
          <t>중소기업</t>
        </is>
      </c>
      <c r="V734" t="inlineStr">
        <is>
          <t>외부감사대상</t>
        </is>
      </c>
      <c r="W734" s="6" t="inlineStr">
        <is>
          <t>2017-12-21</t>
        </is>
      </c>
      <c r="X734" t="inlineStr">
        <is>
          <t>KRI:10G4644100</t>
        </is>
      </c>
      <c r="Y734" t="inlineStr">
        <is>
          <t>의약품 도매업</t>
        </is>
      </c>
      <c r="Z734" t="inlineStr">
        <is>
          <t>의약품,화장품 도소매,상품 대리판매/소프트웨어 개발,학술,연구용역</t>
        </is>
      </c>
      <c r="AA734" t="inlineStr">
        <is>
          <t>서울 송파구 오금동 145-4번지</t>
        </is>
      </c>
      <c r="AB734" t="inlineStr">
        <is>
          <t>서울 송파구 문정로 233</t>
        </is>
      </c>
    </row>
    <row r="735" ht="19.2" customHeight="1" s="1">
      <c r="A735" t="inlineStr">
        <is>
          <t>NICE:C64277</t>
        </is>
      </c>
      <c r="B735" t="inlineStr">
        <is>
          <t>영민하이테크</t>
        </is>
      </c>
      <c r="C735" s="5" t="n">
        <v>61407354000</v>
      </c>
      <c r="D735" s="5" t="n">
        <v>24743915000</v>
      </c>
      <c r="E735" s="5" t="n">
        <v>36663439000</v>
      </c>
      <c r="F735" s="5" t="n">
        <v>64876683000</v>
      </c>
      <c r="G735" s="5" t="n">
        <v>9303714000</v>
      </c>
      <c r="H735" s="5" t="n">
        <v>53897958000</v>
      </c>
      <c r="I735" s="5" t="n">
        <v>4966138000</v>
      </c>
      <c r="J735" s="4" t="n">
        <v>1.244499921798706</v>
      </c>
      <c r="K735" s="4" t="n">
        <v>0.6748999357223511</v>
      </c>
      <c r="L735" s="4" t="n">
        <v>0.1433999985456467</v>
      </c>
      <c r="M735" t="inlineStr">
        <is>
          <t>노기영</t>
        </is>
      </c>
      <c r="N735" t="inlineStr">
        <is>
          <t>041-545-1794</t>
        </is>
      </c>
      <c r="O735" t="inlineStr">
        <is>
          <t>041-545-1562</t>
        </is>
      </c>
      <c r="P735" s="3">
        <f>HYPERLINK("http://www.ymht.co.kr", "http://www.ymht.co.kr")</f>
        <v/>
      </c>
      <c r="Q735" t="inlineStr">
        <is>
          <t>3128164357</t>
        </is>
      </c>
      <c r="R735" t="inlineStr">
        <is>
          <t>1648110027884</t>
        </is>
      </c>
      <c r="S735" t="inlineStr">
        <is>
          <t>대상아님</t>
        </is>
      </c>
      <c r="T735" t="inlineStr">
        <is>
          <t>일반법인</t>
        </is>
      </c>
      <c r="U735" t="inlineStr">
        <is>
          <t>중소기업</t>
        </is>
      </c>
      <c r="V735" t="inlineStr">
        <is>
          <t>외부감사대상</t>
        </is>
      </c>
      <c r="W735" s="6" t="inlineStr">
        <is>
          <t>2003-08-22</t>
        </is>
      </c>
      <c r="X735" t="inlineStr">
        <is>
          <t>KRI:10C3039900</t>
        </is>
      </c>
      <c r="Y735" t="inlineStr">
        <is>
          <t>그 외 자동차용 신품 부품 제조업</t>
        </is>
      </c>
      <c r="Z735" t="inlineStr">
        <is>
          <t>자동차부품,물류용기 제작/무역/비주거용건물 임대</t>
        </is>
      </c>
      <c r="AA735" t="inlineStr">
        <is>
          <t>충남 아산시 둔포면 관대리 127-1번지</t>
        </is>
      </c>
      <c r="AB735" t="inlineStr">
        <is>
          <t>충남 아산시 둔포면 관대길 84</t>
        </is>
      </c>
    </row>
    <row r="736" ht="19.2" customHeight="1" s="1">
      <c r="A736" t="inlineStr">
        <is>
          <t>NICE:E44883</t>
        </is>
      </c>
      <c r="B736" t="inlineStr">
        <is>
          <t>티젠</t>
        </is>
      </c>
      <c r="C736" s="5" t="n">
        <v>42772315000</v>
      </c>
      <c r="D736" s="5" t="n">
        <v>31081283000</v>
      </c>
      <c r="E736" s="5" t="n">
        <v>11691032000</v>
      </c>
      <c r="F736" s="5" t="n">
        <v>67434123000</v>
      </c>
      <c r="G736" s="5" t="n">
        <v>10868798000</v>
      </c>
      <c r="H736" s="5" t="n">
        <v>56663241000</v>
      </c>
      <c r="I736" s="5" t="n">
        <v>9221778000</v>
      </c>
      <c r="J736" s="4" t="n">
        <v>1.175400018692017</v>
      </c>
      <c r="K736" s="4" t="n">
        <v>2.658599853515625</v>
      </c>
      <c r="L736" s="4" t="n">
        <v>0.1612000018358231</v>
      </c>
      <c r="M736" t="inlineStr">
        <is>
          <t>김병희/신진주</t>
        </is>
      </c>
      <c r="N736" t="inlineStr">
        <is>
          <t>02-6246-8010</t>
        </is>
      </c>
      <c r="O736" t="inlineStr">
        <is>
          <t>02-6246-8020</t>
        </is>
      </c>
      <c r="P736" s="3">
        <f>HYPERLINK("http://www.teazen.co.kr", "http://www.teazen.co.kr")</f>
        <v/>
      </c>
      <c r="Q736" t="inlineStr">
        <is>
          <t>4158146492</t>
        </is>
      </c>
      <c r="R736" t="inlineStr">
        <is>
          <t>2014110012233</t>
        </is>
      </c>
      <c r="S736" t="inlineStr">
        <is>
          <t>대상아님</t>
        </is>
      </c>
      <c r="T736" t="inlineStr">
        <is>
          <t>일반법인</t>
        </is>
      </c>
      <c r="U736" t="inlineStr">
        <is>
          <t>중소기업</t>
        </is>
      </c>
      <c r="V736" t="inlineStr">
        <is>
          <t>외부감사대상</t>
        </is>
      </c>
      <c r="W736" s="6" t="inlineStr">
        <is>
          <t>2000-03-02</t>
        </is>
      </c>
      <c r="X736" t="inlineStr">
        <is>
          <t>KRI:10C1079200</t>
        </is>
      </c>
      <c r="Y736" t="inlineStr">
        <is>
          <t>차류 가공업</t>
        </is>
      </c>
      <c r="Z736" t="inlineStr">
        <is>
          <t>다류,(건강)기능성음료 제조,판매/식품 재배/화장품 도소매,무역,전자상거래</t>
        </is>
      </c>
      <c r="AA736" t="inlineStr">
        <is>
          <t>서울 용산구 동자동 56번지 트윈시티남산 5층</t>
        </is>
      </c>
      <c r="AB736" t="inlineStr">
        <is>
          <t>서울 용산구 한강대로 366, 5층 (동자동,트윈시티남산)</t>
        </is>
      </c>
    </row>
    <row r="737" ht="19.2" customHeight="1" s="1">
      <c r="A737" t="inlineStr">
        <is>
          <t>NICE:253898</t>
        </is>
      </c>
      <c r="B737" t="inlineStr">
        <is>
          <t>오토젠</t>
        </is>
      </c>
      <c r="C737" s="5" t="n">
        <v>112373861000</v>
      </c>
      <c r="D737" s="5" t="n">
        <v>19936969000</v>
      </c>
      <c r="E737" s="5" t="n">
        <v>92436892000</v>
      </c>
      <c r="F737" s="5" t="n">
        <v>40846982000</v>
      </c>
      <c r="G737" s="5" t="n">
        <v>11840763000</v>
      </c>
      <c r="H737" s="5" t="n">
        <v>83178441000</v>
      </c>
      <c r="I737" s="5" t="n">
        <v>10873334000</v>
      </c>
      <c r="J737" s="4" t="n">
        <v>2.896099805831909</v>
      </c>
      <c r="K737" s="4" t="n">
        <v>0.2156999856233597</v>
      </c>
      <c r="L737" s="4" t="n">
        <v>0.289900004863739</v>
      </c>
      <c r="M737" t="inlineStr">
        <is>
          <t>이연배/조홍신</t>
        </is>
      </c>
      <c r="N737" t="inlineStr">
        <is>
          <t>031-496-7500</t>
        </is>
      </c>
      <c r="O737" t="inlineStr">
        <is>
          <t>031-498-7626</t>
        </is>
      </c>
      <c r="P737" s="3">
        <f>HYPERLINK("http://www.autogen.kr", "http://www.autogen.kr")</f>
        <v/>
      </c>
      <c r="Q737" t="inlineStr">
        <is>
          <t>1338124432</t>
        </is>
      </c>
      <c r="R737" t="inlineStr">
        <is>
          <t>1244110006909</t>
        </is>
      </c>
      <c r="S737" t="inlineStr">
        <is>
          <t>대상아님</t>
        </is>
      </c>
      <c r="T737" t="inlineStr">
        <is>
          <t>일반법인</t>
        </is>
      </c>
      <c r="U737" t="inlineStr">
        <is>
          <t>중소기업</t>
        </is>
      </c>
      <c r="V737" t="inlineStr">
        <is>
          <t>외부감사대상</t>
        </is>
      </c>
      <c r="W737" s="6" t="inlineStr">
        <is>
          <t>1975-09-10</t>
        </is>
      </c>
      <c r="X737" t="inlineStr">
        <is>
          <t>KRI:10C3039900</t>
        </is>
      </c>
      <c r="Y737" t="inlineStr">
        <is>
          <t>그 외 자동차용 신품 부품 제조업</t>
        </is>
      </c>
      <c r="Z737" t="inlineStr">
        <is>
          <t>자동차부품,가공공작기계 제조/부동산 임대</t>
        </is>
      </c>
      <c r="AA737" t="inlineStr">
        <is>
          <t>경기 시흥시 정왕동 2611-1번지</t>
        </is>
      </c>
      <c r="AB737" t="inlineStr">
        <is>
          <t>경기 시흥시 시화벤처로 249</t>
        </is>
      </c>
    </row>
    <row r="738" s="1">
      <c r="A738" t="inlineStr">
        <is>
          <t>NICE:454763</t>
        </is>
      </c>
      <c r="B738" t="inlineStr">
        <is>
          <t>디텍</t>
        </is>
      </c>
      <c r="C738" s="5" t="n">
        <v>56639277000</v>
      </c>
      <c r="D738" s="5" t="n">
        <v>5491267000</v>
      </c>
      <c r="E738" s="5" t="n">
        <v>51148010000</v>
      </c>
      <c r="F738" s="5" t="n">
        <v>54406209000</v>
      </c>
      <c r="G738" s="5" t="n">
        <v>5517154000</v>
      </c>
      <c r="H738" s="5" t="n">
        <v>50990082000</v>
      </c>
      <c r="I738" s="5" t="n">
        <v>2707537000</v>
      </c>
      <c r="J738" s="4" t="n">
        <v>7.874199867248535</v>
      </c>
      <c r="K738" s="4" t="n">
        <v>0.1073999926447868</v>
      </c>
      <c r="L738" s="4" t="n">
        <v>0.1014000028371811</v>
      </c>
      <c r="M738" t="inlineStr">
        <is>
          <t>김근용</t>
        </is>
      </c>
      <c r="N738" t="inlineStr">
        <is>
          <t>031-706-2514</t>
        </is>
      </c>
      <c r="O738" t="inlineStr">
        <is>
          <t>031-8016-0252</t>
        </is>
      </c>
      <c r="P738">
        <f>HYPERLINK("http://www.d-teg.com", "http://www.d-teg.com")</f>
        <v/>
      </c>
      <c r="Q738" t="inlineStr">
        <is>
          <t>2148735491</t>
        </is>
      </c>
      <c r="R738" t="inlineStr">
        <is>
          <t>1101112793580</t>
        </is>
      </c>
      <c r="S738" t="inlineStr">
        <is>
          <t>대상아님</t>
        </is>
      </c>
      <c r="T738" t="inlineStr">
        <is>
          <t>일반법인</t>
        </is>
      </c>
      <c r="U738" t="inlineStr">
        <is>
          <t>중소기업</t>
        </is>
      </c>
      <c r="V738" t="inlineStr">
        <is>
          <t>외부감사대상</t>
        </is>
      </c>
      <c r="W738" s="6" t="inlineStr">
        <is>
          <t>2003-06-04</t>
        </is>
      </c>
      <c r="X738" t="inlineStr">
        <is>
          <t>KRI:10C2642100</t>
        </is>
      </c>
      <c r="Y738" t="inlineStr">
        <is>
          <t>방송장비 제조업</t>
        </is>
      </c>
      <c r="Z738" t="inlineStr">
        <is>
          <t>CCTV,영상기기(차량용블랙박스),교통정보전광판 제조,도매/정보통신공사</t>
        </is>
      </c>
      <c r="AA738" t="inlineStr">
        <is>
          <t>경기 성남시 분당구 야탑동 382-2번지 정민빌딩 3층</t>
        </is>
      </c>
      <c r="AB738" t="inlineStr">
        <is>
          <t>경기 성남시 분당구 매화로 53, 3층 (야탑동,정민빌딩)</t>
        </is>
      </c>
    </row>
    <row r="739" ht="19.2" customHeight="1" s="1">
      <c r="A739" t="inlineStr">
        <is>
          <t>NICE:C64227</t>
        </is>
      </c>
      <c r="B739" t="inlineStr">
        <is>
          <t>모트렉스에이디엠</t>
        </is>
      </c>
      <c r="C739" s="5" t="n">
        <v>21890184000</v>
      </c>
      <c r="D739" s="5" t="n">
        <v>3955694000</v>
      </c>
      <c r="E739" s="5" t="n">
        <v>17934490000</v>
      </c>
      <c r="F739" s="5" t="n">
        <v>23089086000</v>
      </c>
      <c r="G739" s="5" t="n">
        <v>3675370000</v>
      </c>
      <c r="H739" s="5" t="n">
        <v>21742632000</v>
      </c>
      <c r="I739" s="5" t="n">
        <v>3851420000</v>
      </c>
      <c r="J739" s="4" t="n">
        <v>3.13129997253418</v>
      </c>
      <c r="K739" s="4" t="n">
        <v>0.2205999940633774</v>
      </c>
      <c r="L739" s="4" t="n">
        <v>0.1591999977827072</v>
      </c>
      <c r="M739" t="inlineStr">
        <is>
          <t>김기태/송은희</t>
        </is>
      </c>
      <c r="N739" t="inlineStr">
        <is>
          <t>043-260-0064</t>
        </is>
      </c>
      <c r="P739" s="3" t="n"/>
      <c r="Q739" t="inlineStr">
        <is>
          <t>3018189168</t>
        </is>
      </c>
      <c r="R739" t="inlineStr">
        <is>
          <t>1501110094932</t>
        </is>
      </c>
      <c r="S739" t="inlineStr">
        <is>
          <t>대상아님</t>
        </is>
      </c>
      <c r="T739" t="inlineStr">
        <is>
          <t>일반법인</t>
        </is>
      </c>
      <c r="U739" t="inlineStr">
        <is>
          <t>중소기업</t>
        </is>
      </c>
      <c r="V739" t="inlineStr">
        <is>
          <t>외부감사대상</t>
        </is>
      </c>
      <c r="W739" s="6" t="inlineStr">
        <is>
          <t>2006-02-20</t>
        </is>
      </c>
      <c r="X739" t="inlineStr">
        <is>
          <t>KRI:10C1399200</t>
        </is>
      </c>
      <c r="Y739" t="inlineStr">
        <is>
          <t>부직포 및 펠트 제조업</t>
        </is>
      </c>
      <c r="Z739" t="inlineStr">
        <is>
          <t>차량용부직포,카페트,휄트,섬유제품 제조</t>
        </is>
      </c>
      <c r="AA739" t="inlineStr">
        <is>
          <t>충북 청주시 흥덕구 옥산면 금계리 673-7번지</t>
        </is>
      </c>
      <c r="AB739" t="inlineStr">
        <is>
          <t>충북 청주시 흥덕구 옥산면 환희2길 188</t>
        </is>
      </c>
    </row>
    <row r="740" ht="19.2" customHeight="1" s="1">
      <c r="A740" t="inlineStr">
        <is>
          <t>NICE:CD2997</t>
        </is>
      </c>
      <c r="B740" t="inlineStr">
        <is>
          <t>에스제이지홀딩스</t>
        </is>
      </c>
      <c r="C740" s="5" t="n">
        <v>177123694000</v>
      </c>
      <c r="D740" s="5" t="n">
        <v>209892000</v>
      </c>
      <c r="E740" s="5" t="n">
        <v>176913803000</v>
      </c>
      <c r="F740" s="5" t="n">
        <v>24431003000</v>
      </c>
      <c r="G740" s="5" t="n">
        <v>21699614000</v>
      </c>
      <c r="H740" s="5" t="n">
        <v>11776523000</v>
      </c>
      <c r="I740" s="5" t="n">
        <v>10395638000</v>
      </c>
      <c r="J740" s="4" t="n">
        <v>10.9193000793457</v>
      </c>
      <c r="K740" s="4" t="n">
        <v>0.00119999994058162</v>
      </c>
      <c r="L740" s="4" t="n">
        <v>0.8881999850273132</v>
      </c>
      <c r="M740" t="inlineStr">
        <is>
          <t>박정길</t>
        </is>
      </c>
      <c r="N740" t="inlineStr">
        <is>
          <t>070-7733-1684</t>
        </is>
      </c>
      <c r="O740" t="inlineStr">
        <is>
          <t>02-542-0703</t>
        </is>
      </c>
      <c r="P740" s="3" t="n"/>
      <c r="Q740" t="inlineStr">
        <is>
          <t>2618125454</t>
        </is>
      </c>
      <c r="R740" t="inlineStr">
        <is>
          <t>1101115634260</t>
        </is>
      </c>
      <c r="S740" t="inlineStr">
        <is>
          <t>대상아님</t>
        </is>
      </c>
      <c r="T740" t="inlineStr">
        <is>
          <t>일반법인</t>
        </is>
      </c>
      <c r="U740" t="inlineStr">
        <is>
          <t>중소기업</t>
        </is>
      </c>
      <c r="V740" t="inlineStr">
        <is>
          <t>외부감사대상</t>
        </is>
      </c>
      <c r="W740" s="6" t="inlineStr">
        <is>
          <t>2015-02-04</t>
        </is>
      </c>
      <c r="X740" t="inlineStr">
        <is>
          <t>KRI:10M7150000</t>
        </is>
      </c>
      <c r="Y740" t="inlineStr">
        <is>
          <t>회사 본부 및 경영 컨설팅 서비스업</t>
        </is>
      </c>
      <c r="Z740" t="inlineStr">
        <is>
          <t>비금융지주,경영 컨설팅</t>
        </is>
      </c>
      <c r="AA740" t="inlineStr">
        <is>
          <t>서울 강남구 논현동 97-23번지 세종빌딩 11층</t>
        </is>
      </c>
      <c r="AB740" t="inlineStr">
        <is>
          <t>서울 강남구 언주로 732, 11층 (논현동,세종빌딩)</t>
        </is>
      </c>
    </row>
    <row r="741" ht="19.2" customHeight="1" s="1">
      <c r="A741" t="inlineStr">
        <is>
          <t>NICE:140651</t>
        </is>
      </c>
      <c r="B741" t="inlineStr">
        <is>
          <t>삼구화학공업</t>
        </is>
      </c>
      <c r="C741" s="5" t="n">
        <v>32995221000</v>
      </c>
      <c r="D741" s="5" t="n">
        <v>2205665000</v>
      </c>
      <c r="E741" s="5" t="n">
        <v>30789557000</v>
      </c>
      <c r="F741" s="5" t="n">
        <v>25966559000</v>
      </c>
      <c r="G741" s="5" t="n">
        <v>3120649000</v>
      </c>
      <c r="H741" s="5" t="n">
        <v>25331555000</v>
      </c>
      <c r="I741" s="5" t="n">
        <v>3861320000</v>
      </c>
      <c r="J741" s="4" t="n">
        <v>11.54150009155273</v>
      </c>
      <c r="K741" s="4" t="n">
        <v>0.07159999758005142</v>
      </c>
      <c r="L741" s="4" t="n">
        <v>0.1202000007033348</v>
      </c>
      <c r="M741" t="inlineStr">
        <is>
          <t>염복철</t>
        </is>
      </c>
      <c r="N741" t="inlineStr">
        <is>
          <t>031-492-1735</t>
        </is>
      </c>
      <c r="O741" t="inlineStr">
        <is>
          <t>031-492-1739</t>
        </is>
      </c>
      <c r="P741" s="3">
        <f>HYPERLINK("http://www.samgoo.co.kr", "http://www.samgoo.co.kr")</f>
        <v/>
      </c>
      <c r="Q741" t="inlineStr">
        <is>
          <t>1348111605</t>
        </is>
      </c>
      <c r="R741" t="inlineStr">
        <is>
          <t>1101110092629</t>
        </is>
      </c>
      <c r="S741" t="inlineStr">
        <is>
          <t>대상아님</t>
        </is>
      </c>
      <c r="T741" t="inlineStr">
        <is>
          <t>일반법인</t>
        </is>
      </c>
      <c r="U741" t="inlineStr">
        <is>
          <t>중소기업</t>
        </is>
      </c>
      <c r="V741" t="inlineStr">
        <is>
          <t>외부감사대상</t>
        </is>
      </c>
      <c r="W741" s="6" t="inlineStr">
        <is>
          <t>1971-02-24</t>
        </is>
      </c>
      <c r="X741" t="inlineStr">
        <is>
          <t>KRI:10C2049900</t>
        </is>
      </c>
      <c r="Y741" t="inlineStr">
        <is>
          <t>그 외 기타 분류 안된 화학제품 제조업</t>
        </is>
      </c>
      <c r="Z741" t="inlineStr">
        <is>
          <t>정수약품,수처리제(폴리수산화염화한산알루미늄,폴리염화알루미늄) 제조, 도소매</t>
        </is>
      </c>
      <c r="AA741" t="inlineStr">
        <is>
          <t>경기 안산시 단원구 성곡동 633-4번지</t>
        </is>
      </c>
      <c r="AB741" t="inlineStr">
        <is>
          <t>경기 안산시 단원구 신원로133번길 23</t>
        </is>
      </c>
    </row>
    <row r="742" ht="19.2" customHeight="1" s="1">
      <c r="A742" t="inlineStr">
        <is>
          <t>NICE:L59506</t>
        </is>
      </c>
      <c r="B742" t="inlineStr">
        <is>
          <t>참하이테크</t>
        </is>
      </c>
      <c r="C742" s="5" t="n">
        <v>34494366000</v>
      </c>
      <c r="D742" s="5" t="n">
        <v>5165556000</v>
      </c>
      <c r="E742" s="5" t="n">
        <v>29328810000</v>
      </c>
      <c r="F742" s="5" t="n">
        <v>32320822000</v>
      </c>
      <c r="G742" s="5" t="n">
        <v>7789057000</v>
      </c>
      <c r="H742" s="5" t="n">
        <v>31011732000</v>
      </c>
      <c r="I742" s="5" t="n">
        <v>8350821000</v>
      </c>
      <c r="J742" s="4" t="n">
        <v>4.154799938201904</v>
      </c>
      <c r="K742" s="4" t="n">
        <v>0.1761000007390976</v>
      </c>
      <c r="L742" s="4" t="n">
        <v>0.2409999966621399</v>
      </c>
      <c r="M742" t="inlineStr">
        <is>
          <t>정지철</t>
        </is>
      </c>
      <c r="N742" t="inlineStr">
        <is>
          <t>032-247-7700</t>
        </is>
      </c>
      <c r="O742" t="inlineStr">
        <is>
          <t>032-247-7800</t>
        </is>
      </c>
      <c r="P742" s="3" t="n"/>
      <c r="Q742" t="inlineStr">
        <is>
          <t>1408184044</t>
        </is>
      </c>
      <c r="R742" t="inlineStr">
        <is>
          <t>1355110262407</t>
        </is>
      </c>
      <c r="S742" t="inlineStr">
        <is>
          <t>대상아님</t>
        </is>
      </c>
      <c r="T742" t="inlineStr">
        <is>
          <t>일반법인</t>
        </is>
      </c>
      <c r="U742" t="inlineStr">
        <is>
          <t>중소기업</t>
        </is>
      </c>
      <c r="V742" t="inlineStr">
        <is>
          <t>외부감사대상</t>
        </is>
      </c>
      <c r="W742" s="6" t="inlineStr">
        <is>
          <t>2014-03-05</t>
        </is>
      </c>
      <c r="X742" t="inlineStr">
        <is>
          <t>KRI:10C2223200</t>
        </is>
      </c>
      <c r="Y742" t="inlineStr">
        <is>
          <t>포장용 플라스틱 성형용기 제조업</t>
        </is>
      </c>
      <c r="Z742" t="inlineStr">
        <is>
          <t>플라스틱제품(화장품용기,식품용기) 제조,도매</t>
        </is>
      </c>
      <c r="AA742" t="inlineStr">
        <is>
          <t>인천 서구 원창동 394-56번지</t>
        </is>
      </c>
      <c r="AB742" t="inlineStr">
        <is>
          <t>인천 서구 북항로245번길 24</t>
        </is>
      </c>
    </row>
    <row r="743" s="1">
      <c r="A743" t="inlineStr">
        <is>
          <t>NICE:370044</t>
        </is>
      </c>
      <c r="B743" t="inlineStr">
        <is>
          <t>금오종합건설</t>
        </is>
      </c>
      <c r="C743" s="5" t="n">
        <v>88684101000</v>
      </c>
      <c r="D743" s="5" t="n">
        <v>47380122000</v>
      </c>
      <c r="E743" s="5" t="n">
        <v>41303980000</v>
      </c>
      <c r="F743" s="5" t="n">
        <v>26545469000</v>
      </c>
      <c r="G743" s="5" t="n">
        <v>4070154000</v>
      </c>
      <c r="H743" s="5" t="n">
        <v>25757587000</v>
      </c>
      <c r="I743" s="5" t="n">
        <v>3394154000</v>
      </c>
      <c r="J743" s="4" t="n">
        <v>1.374600052833557</v>
      </c>
      <c r="K743" s="4" t="n">
        <v>1.14709997177124</v>
      </c>
      <c r="L743" s="4" t="n">
        <v>0.1533000022172928</v>
      </c>
      <c r="M743" t="inlineStr">
        <is>
          <t>윤주형/윤태용</t>
        </is>
      </c>
      <c r="N743" t="inlineStr">
        <is>
          <t>051-3348-6101</t>
        </is>
      </c>
      <c r="O743" t="inlineStr">
        <is>
          <t>051-334-8613</t>
        </is>
      </c>
      <c r="Q743" t="inlineStr">
        <is>
          <t>6178137186</t>
        </is>
      </c>
      <c r="R743" t="inlineStr">
        <is>
          <t>1801110389402</t>
        </is>
      </c>
      <c r="S743" t="inlineStr">
        <is>
          <t>대상아님</t>
        </is>
      </c>
      <c r="T743" t="inlineStr">
        <is>
          <t>일반법인</t>
        </is>
      </c>
      <c r="U743" t="inlineStr">
        <is>
          <t>중소기업</t>
        </is>
      </c>
      <c r="V743" t="inlineStr">
        <is>
          <t>외부감사대상</t>
        </is>
      </c>
      <c r="W743" s="6" t="inlineStr">
        <is>
          <t>2001-12-26</t>
        </is>
      </c>
      <c r="X743" t="inlineStr">
        <is>
          <t>KRI:10F4111000</t>
        </is>
      </c>
      <c r="Y743" t="inlineStr">
        <is>
          <t>주거용 건물 건설업</t>
        </is>
      </c>
      <c r="Z743" t="inlineStr">
        <is>
          <t>주택공사,건축공사,토목공사/주택공급,부동산 임대</t>
        </is>
      </c>
      <c r="AA743" t="inlineStr">
        <is>
          <t>부산 북구 덕천동 396-4번지 이수빌딩 10층</t>
        </is>
      </c>
      <c r="AB743" t="inlineStr">
        <is>
          <t>부산 북구 기찰로 12, 10층 (덕천동,이수빌딩)</t>
        </is>
      </c>
    </row>
    <row r="744" ht="19.2" customHeight="1" s="1">
      <c r="A744" t="inlineStr">
        <is>
          <t>NICE:HR5675</t>
        </is>
      </c>
      <c r="B744" t="inlineStr">
        <is>
          <t>사천아이씨도시개발</t>
        </is>
      </c>
      <c r="C744" s="5" t="n">
        <v>34531199000</v>
      </c>
      <c r="D744" s="5" t="n">
        <v>32868151000</v>
      </c>
      <c r="E744" s="5" t="n">
        <v>1663049000</v>
      </c>
      <c r="F744" s="5" t="n">
        <v>52140815000</v>
      </c>
      <c r="G744" s="5" t="n">
        <v>18908480000</v>
      </c>
      <c r="H744" s="5" t="n">
        <v>73839965000</v>
      </c>
      <c r="I744" s="5" t="n">
        <v>21719212000</v>
      </c>
      <c r="J744" s="4" t="n">
        <v>1.052799940109253</v>
      </c>
      <c r="K744" s="4" t="n">
        <v>19.7637996673584</v>
      </c>
      <c r="L744" s="4" t="n">
        <v>0.3625999689102173</v>
      </c>
      <c r="M744" t="inlineStr">
        <is>
          <t>김수경</t>
        </is>
      </c>
      <c r="N744" t="inlineStr">
        <is>
          <t>055-832-2355</t>
        </is>
      </c>
      <c r="O744" t="inlineStr">
        <is>
          <t>055-832-2345</t>
        </is>
      </c>
      <c r="P744" s="3">
        <f>HYPERLINK("http://www.siud.co.kr", "http://www.siud.co.kr")</f>
        <v/>
      </c>
      <c r="Q744" t="inlineStr">
        <is>
          <t>6318100462</t>
        </is>
      </c>
      <c r="R744" t="inlineStr">
        <is>
          <t>1954110031068</t>
        </is>
      </c>
      <c r="S744" t="inlineStr">
        <is>
          <t>대상아님</t>
        </is>
      </c>
      <c r="T744" t="inlineStr">
        <is>
          <t>일반법인</t>
        </is>
      </c>
      <c r="U744" t="inlineStr">
        <is>
          <t>중소기업</t>
        </is>
      </c>
      <c r="V744" t="inlineStr">
        <is>
          <t>외부감사대상</t>
        </is>
      </c>
      <c r="W744" s="6" t="inlineStr">
        <is>
          <t>2016-06-28</t>
        </is>
      </c>
      <c r="X744" t="inlineStr">
        <is>
          <t>KRI:10L6812200</t>
        </is>
      </c>
      <c r="Y744" t="inlineStr">
        <is>
          <t>비주거용 건물 개발 및 공급업</t>
        </is>
      </c>
      <c r="Z744" t="inlineStr">
        <is>
          <t>부동산 개발,공급</t>
        </is>
      </c>
      <c r="AA744" t="inlineStr">
        <is>
          <t>경남 사천시 축동면 배춘리 766번지 2층</t>
        </is>
      </c>
      <c r="AB744" t="inlineStr">
        <is>
          <t>경남 사천시 축동면 길평길 25, 2층</t>
        </is>
      </c>
    </row>
    <row r="745" s="1">
      <c r="A745" t="inlineStr">
        <is>
          <t>NICE:M22335</t>
        </is>
      </c>
      <c r="B745" t="inlineStr">
        <is>
          <t>스킨이데아</t>
        </is>
      </c>
      <c r="C745" s="5" t="n">
        <v>80610697000</v>
      </c>
      <c r="D745" s="5" t="n">
        <v>8123308000</v>
      </c>
      <c r="E745" s="5" t="n">
        <v>72487389000</v>
      </c>
      <c r="F745" s="5" t="n">
        <v>104509276000</v>
      </c>
      <c r="G745" s="5" t="n">
        <v>26626915000</v>
      </c>
      <c r="H745" s="5" t="n">
        <v>105549764000</v>
      </c>
      <c r="I745" s="5" t="n">
        <v>29432874000</v>
      </c>
      <c r="J745" s="4" t="n">
        <v>7.85599946975708</v>
      </c>
      <c r="K745" s="4" t="n">
        <v>0.1120999976992607</v>
      </c>
      <c r="L745" s="4" t="n">
        <v>0.2547999918460846</v>
      </c>
      <c r="M745" t="inlineStr">
        <is>
          <t>위현종</t>
        </is>
      </c>
      <c r="N745" t="inlineStr">
        <is>
          <t>1644-0465</t>
        </is>
      </c>
      <c r="O745" t="inlineStr">
        <is>
          <t>02-6491-5600</t>
        </is>
      </c>
      <c r="P745">
        <f>HYPERLINK("http://www.skinidea.co.kr", "http://www.skinidea.co.kr")</f>
        <v/>
      </c>
      <c r="Q745" t="inlineStr">
        <is>
          <t>1328630770</t>
        </is>
      </c>
      <c r="R745" t="inlineStr">
        <is>
          <t>2842110071789</t>
        </is>
      </c>
      <c r="S745" t="inlineStr">
        <is>
          <t>대상아님</t>
        </is>
      </c>
      <c r="T745" t="inlineStr">
        <is>
          <t>일반법인</t>
        </is>
      </c>
      <c r="U745" t="inlineStr">
        <is>
          <t>중소기업</t>
        </is>
      </c>
      <c r="V745" t="inlineStr">
        <is>
          <t>외부감사대상</t>
        </is>
      </c>
      <c r="W745" s="6" t="inlineStr">
        <is>
          <t>2014-10-06</t>
        </is>
      </c>
      <c r="X745" t="inlineStr">
        <is>
          <t>KRI:10C2042300</t>
        </is>
      </c>
      <c r="Y745" t="inlineStr">
        <is>
          <t>화장품 제조업</t>
        </is>
      </c>
      <c r="Z745" t="inlineStr">
        <is>
          <t>화장품 제조,판매</t>
        </is>
      </c>
      <c r="AA745" t="inlineStr">
        <is>
          <t>서울 강남구 논현동 105-7번지 두산빌딩 2층</t>
        </is>
      </c>
      <c r="AB745" t="inlineStr">
        <is>
          <t>서울 강남구 언주로 726, 2층 (논현동,두산빌딩)</t>
        </is>
      </c>
    </row>
    <row r="746" s="1">
      <c r="A746" t="inlineStr">
        <is>
          <t>NICE:437891</t>
        </is>
      </c>
      <c r="B746" t="inlineStr">
        <is>
          <t>로자</t>
        </is>
      </c>
      <c r="C746" s="5" t="n">
        <v>52762333000</v>
      </c>
      <c r="D746" s="5" t="n">
        <v>4652918000</v>
      </c>
      <c r="E746" s="5" t="n">
        <v>48109415000</v>
      </c>
      <c r="F746" s="5" t="n">
        <v>52232726000</v>
      </c>
      <c r="G746" s="5" t="n">
        <v>6334875000</v>
      </c>
      <c r="H746" s="5" t="n">
        <v>55919818000</v>
      </c>
      <c r="I746" s="5" t="n">
        <v>3644799000</v>
      </c>
      <c r="J746" s="4" t="n">
        <v>9.396100044250488</v>
      </c>
      <c r="K746" s="4" t="n">
        <v>0.09669999778270721</v>
      </c>
      <c r="L746" s="4" t="n">
        <v>0.121299996972084</v>
      </c>
      <c r="M746" t="inlineStr">
        <is>
          <t>김이행</t>
        </is>
      </c>
      <c r="N746" t="inlineStr">
        <is>
          <t>053-817-5000</t>
        </is>
      </c>
      <c r="O746" t="inlineStr">
        <is>
          <t>053-817-5454</t>
        </is>
      </c>
      <c r="P746">
        <f>HYPERLINK("http://www.roser.com", "http://www.roser.com")</f>
        <v/>
      </c>
      <c r="Q746" t="inlineStr">
        <is>
          <t>5158122164</t>
        </is>
      </c>
      <c r="R746" t="inlineStr">
        <is>
          <t>1748110030794</t>
        </is>
      </c>
      <c r="S746" t="inlineStr">
        <is>
          <t>대상아님</t>
        </is>
      </c>
      <c r="T746" t="inlineStr">
        <is>
          <t>일반법인</t>
        </is>
      </c>
      <c r="U746" t="inlineStr">
        <is>
          <t>중소기업</t>
        </is>
      </c>
      <c r="V746" t="inlineStr">
        <is>
          <t>외부감사대상</t>
        </is>
      </c>
      <c r="W746" s="6" t="inlineStr">
        <is>
          <t>1985-05-20</t>
        </is>
      </c>
      <c r="X746" t="inlineStr">
        <is>
          <t>KRI:10G4661200</t>
        </is>
      </c>
      <c r="Y746" t="inlineStr">
        <is>
          <t>골재, 벽돌 및 시멘트 도매업</t>
        </is>
      </c>
      <c r="Z746" t="inlineStr">
        <is>
          <t>건축자재(금속기와),도자기 도소매,제조</t>
        </is>
      </c>
      <c r="AA746" t="inlineStr">
        <is>
          <t>경북 경산시 압량읍 내리 400번지</t>
        </is>
      </c>
      <c r="AB746" t="inlineStr">
        <is>
          <t>경북 경산시 압량읍 내리길19길 43</t>
        </is>
      </c>
    </row>
    <row r="747" ht="19.2" customHeight="1" s="1">
      <c r="A747" t="inlineStr">
        <is>
          <t>NICE:IR8826</t>
        </is>
      </c>
      <c r="B747" t="inlineStr">
        <is>
          <t>농업회사법인동남농장</t>
        </is>
      </c>
      <c r="C747" s="5" t="n">
        <v>39861472000</v>
      </c>
      <c r="D747" s="5" t="n">
        <v>22293036000</v>
      </c>
      <c r="E747" s="5" t="n">
        <v>17568436000</v>
      </c>
      <c r="F747" s="5" t="n">
        <v>21295268000</v>
      </c>
      <c r="G747" s="5" t="n">
        <v>7554728000</v>
      </c>
      <c r="H747" s="5" t="n">
        <v>19635769000</v>
      </c>
      <c r="I747" s="5" t="n">
        <v>6100573000</v>
      </c>
      <c r="J747" s="4" t="n">
        <v>0.5351999998092651</v>
      </c>
      <c r="K747" s="4" t="n">
        <v>1.268899917602539</v>
      </c>
      <c r="L747" s="4" t="n">
        <v>0.3547999858856201</v>
      </c>
      <c r="M747" t="inlineStr">
        <is>
          <t>김창윤</t>
        </is>
      </c>
      <c r="N747" t="inlineStr">
        <is>
          <t>051-717-2414</t>
        </is>
      </c>
      <c r="O747" t="inlineStr">
        <is>
          <t>051-717-2416</t>
        </is>
      </c>
      <c r="P747" s="3" t="n"/>
      <c r="Q747" t="inlineStr">
        <is>
          <t>3668100840</t>
        </is>
      </c>
      <c r="R747" t="inlineStr">
        <is>
          <t>1744110006959</t>
        </is>
      </c>
      <c r="S747" t="inlineStr">
        <is>
          <t>대상아님</t>
        </is>
      </c>
      <c r="T747" t="inlineStr">
        <is>
          <t>일반법인</t>
        </is>
      </c>
      <c r="U747" t="inlineStr">
        <is>
          <t>중소기업</t>
        </is>
      </c>
      <c r="V747" t="inlineStr">
        <is>
          <t>외부감사대상</t>
        </is>
      </c>
      <c r="W747" s="6" t="inlineStr">
        <is>
          <t>2017-07-06</t>
        </is>
      </c>
      <c r="X747" t="inlineStr">
        <is>
          <t>KRI:10A0129900</t>
        </is>
      </c>
      <c r="Y747" t="inlineStr">
        <is>
          <t>그 외 기타 축산업</t>
        </is>
      </c>
      <c r="Z747" t="inlineStr">
        <is>
          <t>가축 사육/축산물,사료,비료 도소매</t>
        </is>
      </c>
      <c r="AA747" t="inlineStr">
        <is>
          <t>경북 청송군 진보면 기곡리 387-1번지</t>
        </is>
      </c>
      <c r="AB747" t="inlineStr">
        <is>
          <t>경북 청송군 진보면 기곡길 494-50</t>
        </is>
      </c>
    </row>
    <row r="748" ht="19.2" customHeight="1" s="1">
      <c r="A748" t="inlineStr">
        <is>
          <t>NICE:813796</t>
        </is>
      </c>
      <c r="B748" t="inlineStr">
        <is>
          <t>메타넷디지털</t>
        </is>
      </c>
      <c r="C748" s="5" t="n">
        <v>45851708000</v>
      </c>
      <c r="D748" s="5" t="n">
        <v>16690702000</v>
      </c>
      <c r="E748" s="5" t="n">
        <v>29161006000</v>
      </c>
      <c r="F748" s="5" t="n">
        <v>107974052000</v>
      </c>
      <c r="G748" s="5" t="n">
        <v>10816764000</v>
      </c>
      <c r="H748" s="5" t="n">
        <v>117147310000</v>
      </c>
      <c r="I748" s="5" t="n">
        <v>7216779000</v>
      </c>
      <c r="J748" s="4" t="n">
        <v>2.617000102996826</v>
      </c>
      <c r="K748" s="4" t="n">
        <v>0.5724000334739685</v>
      </c>
      <c r="L748" s="4" t="n">
        <v>0.1002000048756599</v>
      </c>
      <c r="M748" t="inlineStr">
        <is>
          <t>이창열/정일</t>
        </is>
      </c>
      <c r="N748" t="inlineStr">
        <is>
          <t>02-3704-5114</t>
        </is>
      </c>
      <c r="O748" t="inlineStr">
        <is>
          <t>02-6007-9825</t>
        </is>
      </c>
      <c r="P748" s="3">
        <f>HYPERLINK("http://www.metanetdigital.com", "http://www.metanetdigital.com")</f>
        <v/>
      </c>
      <c r="Q748" t="inlineStr">
        <is>
          <t>1048118820</t>
        </is>
      </c>
      <c r="R748" t="inlineStr">
        <is>
          <t>1101110625991</t>
        </is>
      </c>
      <c r="S748" t="inlineStr">
        <is>
          <t>대상아님</t>
        </is>
      </c>
      <c r="T748" t="inlineStr">
        <is>
          <t>일반법인</t>
        </is>
      </c>
      <c r="U748" t="inlineStr">
        <is>
          <t>중견기업</t>
        </is>
      </c>
      <c r="V748" t="inlineStr">
        <is>
          <t>외부감사대상</t>
        </is>
      </c>
      <c r="W748" s="6" t="inlineStr">
        <is>
          <t>1989-04-29</t>
        </is>
      </c>
      <c r="X748" t="inlineStr">
        <is>
          <t>KRI:10J6202100</t>
        </is>
      </c>
      <c r="Y748" t="inlineStr">
        <is>
          <t>컴퓨터시스템 통합 자문 및 구축 서비스업</t>
        </is>
      </c>
      <c r="Z748" t="inlineStr">
        <is>
          <t>소프트웨어 자문,개발,공급,전기,별정 통신,컨설팅/하드웨어 제조/통신장비,부품 도소매</t>
        </is>
      </c>
      <c r="AA748" t="inlineStr">
        <is>
          <t>서울 종로구 연지동 270번지 연강빌딩</t>
        </is>
      </c>
      <c r="AB748" t="inlineStr">
        <is>
          <t>서울 종로구 종로33길 15 (연지동,연강빌딩)</t>
        </is>
      </c>
    </row>
    <row r="749" ht="19.2" customHeight="1" s="1">
      <c r="A749" t="inlineStr">
        <is>
          <t>NICE:HQ1734</t>
        </is>
      </c>
      <c r="B749" t="inlineStr">
        <is>
          <t>지평주조</t>
        </is>
      </c>
      <c r="C749" s="5" t="n">
        <v>76099846000</v>
      </c>
      <c r="D749" s="5" t="n">
        <v>40966375000</v>
      </c>
      <c r="E749" s="5" t="n">
        <v>35133471000</v>
      </c>
      <c r="F749" s="5" t="n">
        <v>50203708000</v>
      </c>
      <c r="G749" s="5" t="n">
        <v>7825281000</v>
      </c>
      <c r="H749" s="5" t="n">
        <v>46867774000</v>
      </c>
      <c r="I749" s="5" t="n">
        <v>3687208000</v>
      </c>
      <c r="J749" s="4" t="n">
        <v>1.403999924659729</v>
      </c>
      <c r="K749" s="4" t="n">
        <v>1.166000008583069</v>
      </c>
      <c r="L749" s="4" t="n">
        <v>0.1559000015258789</v>
      </c>
      <c r="M749" t="inlineStr">
        <is>
          <t>김기환</t>
        </is>
      </c>
      <c r="N749" t="inlineStr">
        <is>
          <t>031-773-7030</t>
        </is>
      </c>
      <c r="O749" t="inlineStr">
        <is>
          <t>031-773-7053</t>
        </is>
      </c>
      <c r="P749" s="3">
        <f>HYPERLINK("http://www.jpjujo.com/", "http://www.jpjujo.com/")</f>
        <v/>
      </c>
      <c r="Q749" t="inlineStr">
        <is>
          <t>4098653713</t>
        </is>
      </c>
      <c r="R749" t="inlineStr">
        <is>
          <t>1343110029307</t>
        </is>
      </c>
      <c r="S749" t="inlineStr">
        <is>
          <t>대상아님</t>
        </is>
      </c>
      <c r="T749" t="inlineStr">
        <is>
          <t>일반법인</t>
        </is>
      </c>
      <c r="U749" t="inlineStr">
        <is>
          <t>중소기업</t>
        </is>
      </c>
      <c r="V749" t="inlineStr">
        <is>
          <t>외부감사대상</t>
        </is>
      </c>
      <c r="W749" s="6" t="inlineStr">
        <is>
          <t>2016-05-13</t>
        </is>
      </c>
      <c r="X749" t="inlineStr">
        <is>
          <t>KRI:10C1111100</t>
        </is>
      </c>
      <c r="Y749" t="inlineStr">
        <is>
          <t>탁주 및 약주 제조업</t>
        </is>
      </c>
      <c r="Z749" t="inlineStr">
        <is>
          <t>탁주,약주 제조</t>
        </is>
      </c>
      <c r="AA749" t="inlineStr">
        <is>
          <t>경기 양평군 지평면 지평리 552-2번지</t>
        </is>
      </c>
      <c r="AB749" t="inlineStr">
        <is>
          <t>경기 양평군 지평면 지평의병로62번길 25</t>
        </is>
      </c>
    </row>
    <row r="750" ht="19.2" customHeight="1" s="1">
      <c r="A750" t="inlineStr">
        <is>
          <t>NICE:013349</t>
        </is>
      </c>
      <c r="B750" t="inlineStr">
        <is>
          <t>화창</t>
        </is>
      </c>
      <c r="C750" s="5" t="n">
        <v>110601502000</v>
      </c>
      <c r="D750" s="5" t="n">
        <v>14583977000</v>
      </c>
      <c r="E750" s="5" t="n">
        <v>96017525000</v>
      </c>
      <c r="F750" s="5" t="n">
        <v>189274072000</v>
      </c>
      <c r="G750" s="5" t="n">
        <v>27523273000</v>
      </c>
      <c r="H750" s="5" t="n">
        <v>174692584000</v>
      </c>
      <c r="I750" s="5" t="n">
        <v>21988089000</v>
      </c>
      <c r="J750" s="4" t="n">
        <v>7.35129976272583</v>
      </c>
      <c r="K750" s="4" t="n">
        <v>0.1518999934196472</v>
      </c>
      <c r="L750" s="4" t="n">
        <v>0.1454000025987625</v>
      </c>
      <c r="M750" t="inlineStr">
        <is>
          <t>김재규</t>
        </is>
      </c>
      <c r="N750" t="inlineStr">
        <is>
          <t>055-589-9011</t>
        </is>
      </c>
      <c r="O750" t="inlineStr">
        <is>
          <t>055-586-7206</t>
        </is>
      </c>
      <c r="P750" s="3">
        <f>HYPERLINK("http://www.hwachang.kr", "http://www.hwachang.kr")</f>
        <v/>
      </c>
      <c r="Q750" t="inlineStr">
        <is>
          <t>6068142258</t>
        </is>
      </c>
      <c r="R750" t="inlineStr">
        <is>
          <t>1801110115899</t>
        </is>
      </c>
      <c r="S750" t="inlineStr">
        <is>
          <t>대상아님</t>
        </is>
      </c>
      <c r="T750" t="inlineStr">
        <is>
          <t>일반법인</t>
        </is>
      </c>
      <c r="U750" t="inlineStr">
        <is>
          <t>중견기업</t>
        </is>
      </c>
      <c r="V750" t="inlineStr">
        <is>
          <t>외부감사대상</t>
        </is>
      </c>
      <c r="W750" s="6" t="inlineStr">
        <is>
          <t>1976-02-01</t>
        </is>
      </c>
      <c r="X750" t="inlineStr">
        <is>
          <t>KRI:10C2422900</t>
        </is>
      </c>
      <c r="Y750" t="inlineStr">
        <is>
          <t>기타 비철금속 압연, 압출 및 연신 제품 제조업</t>
        </is>
      </c>
      <c r="Z750" t="inlineStr">
        <is>
          <t>비철금속 제조</t>
        </is>
      </c>
      <c r="AA750" t="inlineStr">
        <is>
          <t>경남 함안군 칠서면 계내리 625-1번지</t>
        </is>
      </c>
      <c r="AB750" t="inlineStr">
        <is>
          <t>경남 함안군 칠서면 공단북길 78</t>
        </is>
      </c>
    </row>
    <row r="751" s="1">
      <c r="A751" t="inlineStr">
        <is>
          <t>NICE:HU3786</t>
        </is>
      </c>
      <c r="B751" t="inlineStr">
        <is>
          <t>한국그린전력</t>
        </is>
      </c>
      <c r="C751" s="5" t="n">
        <v>35781225000</v>
      </c>
      <c r="D751" s="5" t="n">
        <v>15502840000</v>
      </c>
      <c r="E751" s="5" t="n">
        <v>20278385000</v>
      </c>
      <c r="F751" s="5" t="n">
        <v>62836628000</v>
      </c>
      <c r="G751" s="5" t="n">
        <v>8178252000</v>
      </c>
      <c r="H751" s="5" t="n">
        <v>70085045000</v>
      </c>
      <c r="I751" s="5" t="n">
        <v>10597861000</v>
      </c>
      <c r="J751" s="4" t="n">
        <v>1.931900024414062</v>
      </c>
      <c r="K751" s="4" t="n">
        <v>0.7644999623298645</v>
      </c>
      <c r="L751" s="4" t="n">
        <v>0.1301999986171722</v>
      </c>
      <c r="M751" t="inlineStr">
        <is>
          <t>정재희</t>
        </is>
      </c>
      <c r="N751" t="inlineStr">
        <is>
          <t>1551-0176</t>
        </is>
      </c>
      <c r="O751" t="inlineStr">
        <is>
          <t>042-223-0175</t>
        </is>
      </c>
      <c r="P751">
        <f>HYPERLINK("http://www.kogreen.co.kr/", "http://www.kogreen.co.kr/")</f>
        <v/>
      </c>
      <c r="Q751" t="inlineStr">
        <is>
          <t>5638100567</t>
        </is>
      </c>
      <c r="R751" t="inlineStr">
        <is>
          <t>1601110436893</t>
        </is>
      </c>
      <c r="S751" t="inlineStr">
        <is>
          <t>대상아님</t>
        </is>
      </c>
      <c r="T751" t="inlineStr">
        <is>
          <t>일반법인</t>
        </is>
      </c>
      <c r="U751" t="inlineStr">
        <is>
          <t>중소기업</t>
        </is>
      </c>
      <c r="V751" t="inlineStr">
        <is>
          <t>외부감사대상</t>
        </is>
      </c>
      <c r="W751" s="6" t="inlineStr">
        <is>
          <t>2016-09-28</t>
        </is>
      </c>
      <c r="X751" t="inlineStr">
        <is>
          <t>KRI:10F4231100</t>
        </is>
      </c>
      <c r="Y751" t="inlineStr">
        <is>
          <t>일반전기 공사업</t>
        </is>
      </c>
      <c r="Z751" t="inlineStr">
        <is>
          <t>전기공사/금속 가공,배전반,전기 자동제어반 제조/신재생에너지/전기자재 도소매</t>
        </is>
      </c>
      <c r="AA751" t="inlineStr">
        <is>
          <t>충남 계룡시 두마면 입암리 644번지</t>
        </is>
      </c>
      <c r="AB751" t="inlineStr">
        <is>
          <t>충남 계룡시 두마면 입암길 76-33</t>
        </is>
      </c>
    </row>
    <row r="752" ht="19.2" customHeight="1" s="1">
      <c r="A752" t="inlineStr">
        <is>
          <t>NICE:JE7975</t>
        </is>
      </c>
      <c r="B752" t="inlineStr">
        <is>
          <t>제이크리컴퍼니</t>
        </is>
      </c>
      <c r="C752" s="5" t="n">
        <v>5742483000</v>
      </c>
      <c r="D752" s="5" t="n">
        <v>2685426000</v>
      </c>
      <c r="E752" s="5" t="n">
        <v>3057057000</v>
      </c>
      <c r="F752" s="5" t="n">
        <v>22801567000</v>
      </c>
      <c r="G752" s="5" t="n">
        <v>2364720000</v>
      </c>
      <c r="H752" s="5" t="n">
        <v>11068673000</v>
      </c>
      <c r="I752" s="5" t="n">
        <v>1056041000</v>
      </c>
      <c r="J752" s="4" t="n">
        <v>2.331499814987183</v>
      </c>
      <c r="K752" s="4" t="n">
        <v>0.8783999681472778</v>
      </c>
      <c r="L752" s="4" t="n">
        <v>0.1036999970674515</v>
      </c>
      <c r="M752" t="inlineStr">
        <is>
          <t>지숙희</t>
        </is>
      </c>
      <c r="P752" s="3" t="n"/>
      <c r="Q752" t="inlineStr">
        <is>
          <t>1528100824</t>
        </is>
      </c>
      <c r="R752" t="inlineStr">
        <is>
          <t>1101116475085</t>
        </is>
      </c>
      <c r="S752" t="inlineStr">
        <is>
          <t>대상아님</t>
        </is>
      </c>
      <c r="T752" t="inlineStr">
        <is>
          <t>일반법인</t>
        </is>
      </c>
      <c r="U752" t="inlineStr">
        <is>
          <t>중소기업</t>
        </is>
      </c>
      <c r="V752" t="inlineStr">
        <is>
          <t>외부감사비대상</t>
        </is>
      </c>
      <c r="W752" s="6" t="inlineStr">
        <is>
          <t>2017-07-31</t>
        </is>
      </c>
      <c r="X752" t="inlineStr">
        <is>
          <t>KRI:10G4644300</t>
        </is>
      </c>
      <c r="Y752" t="inlineStr">
        <is>
          <t>화장품 및 화장용품 도매업</t>
        </is>
      </c>
      <c r="Z752" t="inlineStr">
        <is>
          <t>화장품,화장품 제조업,의료기기 판매 유통업,화장품</t>
        </is>
      </c>
      <c r="AA752" t="inlineStr">
        <is>
          <t>서울 강남구 논현동 73번지</t>
        </is>
      </c>
      <c r="AB752" t="inlineStr">
        <is>
          <t>서울 강남구 도산대로30길 27</t>
        </is>
      </c>
    </row>
    <row r="753" ht="19.2" customHeight="1" s="1">
      <c r="A753" t="inlineStr">
        <is>
          <t>NICE:LI8786</t>
        </is>
      </c>
      <c r="B753" t="inlineStr">
        <is>
          <t>인터불고엑스코</t>
        </is>
      </c>
      <c r="C753" s="5" t="n">
        <v>102657731000</v>
      </c>
      <c r="D753" s="5" t="n">
        <v>56572750000</v>
      </c>
      <c r="E753" s="5" t="n">
        <v>46084982000</v>
      </c>
      <c r="F753" s="5" t="n">
        <v>30247183000</v>
      </c>
      <c r="G753" s="5" t="n">
        <v>7087739000</v>
      </c>
      <c r="H753" s="5" t="n">
        <v>23750091000</v>
      </c>
      <c r="I753" s="5" t="n">
        <v>4172889000</v>
      </c>
      <c r="J753" s="4" t="n">
        <v>0.3997999727725983</v>
      </c>
      <c r="K753" s="4" t="n">
        <v>1.22759997844696</v>
      </c>
      <c r="L753" s="4" t="n">
        <v>0.2343000024557114</v>
      </c>
      <c r="M753" t="inlineStr">
        <is>
          <t>이진수</t>
        </is>
      </c>
      <c r="N753" t="inlineStr">
        <is>
          <t>053-380-0114</t>
        </is>
      </c>
      <c r="O753" t="inlineStr">
        <is>
          <t>053-380-0409</t>
        </is>
      </c>
      <c r="P753" s="3">
        <f>HYPERLINK("http://www.ibhotel.com", "http://www.ibhotel.com")</f>
        <v/>
      </c>
      <c r="Q753" t="inlineStr">
        <is>
          <t>2718601643</t>
        </is>
      </c>
      <c r="R753" t="inlineStr">
        <is>
          <t>1701110779390</t>
        </is>
      </c>
      <c r="S753" t="inlineStr">
        <is>
          <t>대상아님</t>
        </is>
      </c>
      <c r="T753" t="inlineStr">
        <is>
          <t>일반법인</t>
        </is>
      </c>
      <c r="U753" t="inlineStr">
        <is>
          <t>중소기업</t>
        </is>
      </c>
      <c r="V753" t="inlineStr">
        <is>
          <t>외부감사대상</t>
        </is>
      </c>
      <c r="W753" s="6" t="inlineStr">
        <is>
          <t>2020-07-08</t>
        </is>
      </c>
      <c r="X753" t="inlineStr">
        <is>
          <t>KRI:10I5510100</t>
        </is>
      </c>
      <c r="Y753" t="inlineStr">
        <is>
          <t>호텔업</t>
        </is>
      </c>
      <c r="Z753" t="inlineStr">
        <is>
          <t>관광호텔</t>
        </is>
      </c>
      <c r="AA753" t="inlineStr">
        <is>
          <t>대구 북구 산격동 1674번지</t>
        </is>
      </c>
      <c r="AB753" t="inlineStr">
        <is>
          <t>대구 북구 유통단지로 80</t>
        </is>
      </c>
    </row>
    <row r="754" ht="19.2" customHeight="1" s="1">
      <c r="A754" t="inlineStr">
        <is>
          <t>NICE:L91447</t>
        </is>
      </c>
      <c r="B754" t="inlineStr">
        <is>
          <t>스텍</t>
        </is>
      </c>
      <c r="C754" s="5" t="n">
        <v>102737006000</v>
      </c>
      <c r="D754" s="5" t="n">
        <v>12811045000</v>
      </c>
      <c r="E754" s="5" t="n">
        <v>89925962000</v>
      </c>
      <c r="F754" s="5" t="n">
        <v>78243844000</v>
      </c>
      <c r="G754" s="5" t="n">
        <v>27567356000</v>
      </c>
      <c r="H754" s="5" t="n">
        <v>68447706000</v>
      </c>
      <c r="I754" s="5" t="n">
        <v>15109348000</v>
      </c>
      <c r="J754" s="4" t="n">
        <v>5.028999805450439</v>
      </c>
      <c r="K754" s="4" t="n">
        <v>0.1424999982118607</v>
      </c>
      <c r="L754" s="4" t="n">
        <v>0.3522999882698059</v>
      </c>
      <c r="M754" t="inlineStr">
        <is>
          <t>이창석</t>
        </is>
      </c>
      <c r="N754" t="inlineStr">
        <is>
          <t>02-6235-7835</t>
        </is>
      </c>
      <c r="O754" t="inlineStr">
        <is>
          <t>070-7610-7581</t>
        </is>
      </c>
      <c r="P754" s="3">
        <f>HYPERLINK("http://www.stek-korea.com/", "http://www.stek-korea.com/")</f>
        <v/>
      </c>
      <c r="Q754" t="inlineStr">
        <is>
          <t>1138684386</t>
        </is>
      </c>
      <c r="R754" t="inlineStr">
        <is>
          <t>1101115407716</t>
        </is>
      </c>
      <c r="S754" t="inlineStr">
        <is>
          <t>대상아님</t>
        </is>
      </c>
      <c r="T754" t="inlineStr">
        <is>
          <t>일반법인</t>
        </is>
      </c>
      <c r="U754" t="inlineStr">
        <is>
          <t>중소기업</t>
        </is>
      </c>
      <c r="V754" t="inlineStr">
        <is>
          <t>외부감사대상</t>
        </is>
      </c>
      <c r="W754" s="6" t="inlineStr">
        <is>
          <t>2014-05-02</t>
        </is>
      </c>
      <c r="X754" t="inlineStr">
        <is>
          <t>KRI:10C2229100</t>
        </is>
      </c>
      <c r="Y754" t="inlineStr">
        <is>
          <t>플라스틱 접착처리 제품 제조업</t>
        </is>
      </c>
      <c r="Z754" t="inlineStr">
        <is>
          <t>액정보호필름,자동차도장보호필름 제조,소프트웨어 개발/무역</t>
        </is>
      </c>
      <c r="AA754" t="inlineStr">
        <is>
          <t>충남 천안시 서북구 성거읍 오목리 233번지</t>
        </is>
      </c>
      <c r="AB754" t="inlineStr">
        <is>
          <t>충남 천안시 서북구 성거읍 성거산단2로 109</t>
        </is>
      </c>
    </row>
    <row r="755" ht="19.2" customHeight="1" s="1">
      <c r="A755" t="inlineStr">
        <is>
          <t>NICE:HR0141</t>
        </is>
      </c>
      <c r="B755" t="inlineStr">
        <is>
          <t>엘에이치앤디</t>
        </is>
      </c>
      <c r="C755" s="5" t="n">
        <v>13899089000</v>
      </c>
      <c r="D755" s="5" t="n">
        <v>1223611000</v>
      </c>
      <c r="E755" s="5" t="n">
        <v>12675478000</v>
      </c>
      <c r="F755" s="5" t="n">
        <v>21532690000</v>
      </c>
      <c r="G755" s="5" t="n">
        <v>3383960000</v>
      </c>
      <c r="H755" s="5" t="n">
        <v>17888418000</v>
      </c>
      <c r="I755" s="5" t="n">
        <v>2683168000</v>
      </c>
      <c r="J755" s="4" t="n">
        <v>7.621299743652344</v>
      </c>
      <c r="K755" s="4" t="n">
        <v>0.09649999439716339</v>
      </c>
      <c r="L755" s="4" t="n">
        <v>0.1571999937295914</v>
      </c>
      <c r="M755" t="inlineStr">
        <is>
          <t>이원영</t>
        </is>
      </c>
      <c r="N755" t="inlineStr">
        <is>
          <t>02-2233-5001</t>
        </is>
      </c>
      <c r="O755" t="inlineStr">
        <is>
          <t>02-2233-5002</t>
        </is>
      </c>
      <c r="P755" s="3" t="n"/>
      <c r="Q755" t="inlineStr">
        <is>
          <t>1188600402</t>
        </is>
      </c>
      <c r="R755" t="inlineStr">
        <is>
          <t>1101116087393</t>
        </is>
      </c>
      <c r="S755" t="inlineStr">
        <is>
          <t>대상아님</t>
        </is>
      </c>
      <c r="T755" t="inlineStr">
        <is>
          <t>일반법인</t>
        </is>
      </c>
      <c r="U755" t="inlineStr">
        <is>
          <t>중소기업</t>
        </is>
      </c>
      <c r="V755" t="inlineStr">
        <is>
          <t>외부감사대상</t>
        </is>
      </c>
      <c r="W755" s="6" t="inlineStr">
        <is>
          <t>2016-06-13</t>
        </is>
      </c>
      <c r="X755" t="inlineStr">
        <is>
          <t>KRI:10G4632900</t>
        </is>
      </c>
      <c r="Y755" t="inlineStr">
        <is>
          <t>기타 가공식품 도매업</t>
        </is>
      </c>
      <c r="Z755" t="inlineStr">
        <is>
          <t>가공식품,건강기능식품 도소매,무역</t>
        </is>
      </c>
      <c r="AA755" t="inlineStr">
        <is>
          <t>서울 중구 신당동 377-59번지 인봉빌딩</t>
        </is>
      </c>
      <c r="AB755" t="inlineStr">
        <is>
          <t>서울 중구 동호로 222 (신당동,인봉빌딩)</t>
        </is>
      </c>
    </row>
    <row r="756" ht="19.2" customHeight="1" s="1">
      <c r="A756" t="inlineStr">
        <is>
          <t>NICE:F34899</t>
        </is>
      </c>
      <c r="B756" t="inlineStr">
        <is>
          <t>청진이삼프로젝트</t>
        </is>
      </c>
      <c r="C756" s="5" t="n">
        <v>769545481000</v>
      </c>
      <c r="D756" s="5" t="n">
        <v>545894915000</v>
      </c>
      <c r="E756" s="5" t="n">
        <v>223650566000</v>
      </c>
      <c r="F756" s="5" t="n">
        <v>54889370000</v>
      </c>
      <c r="G756" s="5" t="n">
        <v>29333081000</v>
      </c>
      <c r="H756" s="5" t="n">
        <v>52657079000</v>
      </c>
      <c r="I756" s="5" t="n">
        <v>28253147000</v>
      </c>
      <c r="J756" s="4" t="n">
        <v>6.5903000831604</v>
      </c>
      <c r="K756" s="4" t="n">
        <v>2.440799951553345</v>
      </c>
      <c r="L756" s="4" t="n">
        <v>0.5343999862670898</v>
      </c>
      <c r="M756" t="inlineStr">
        <is>
          <t>이현준</t>
        </is>
      </c>
      <c r="N756" t="inlineStr">
        <is>
          <t>02-2136-8863</t>
        </is>
      </c>
      <c r="O756" t="inlineStr">
        <is>
          <t>02-2011-8035</t>
        </is>
      </c>
      <c r="P756" s="3" t="n"/>
      <c r="Q756" t="inlineStr">
        <is>
          <t>1018659884</t>
        </is>
      </c>
      <c r="R756" t="inlineStr">
        <is>
          <t>1101114478932</t>
        </is>
      </c>
      <c r="S756" t="inlineStr">
        <is>
          <t>대상아님</t>
        </is>
      </c>
      <c r="T756" t="inlineStr">
        <is>
          <t>일반법인</t>
        </is>
      </c>
      <c r="U756" t="inlineStr">
        <is>
          <t>대기업</t>
        </is>
      </c>
      <c r="V756" t="inlineStr">
        <is>
          <t>외부감사대상</t>
        </is>
      </c>
      <c r="W756" s="6" t="inlineStr">
        <is>
          <t>2010-11-25</t>
        </is>
      </c>
      <c r="X756" t="inlineStr">
        <is>
          <t>KRI:10L6811200</t>
        </is>
      </c>
      <c r="Y756" t="inlineStr">
        <is>
          <t>비주거용 건물 임대업</t>
        </is>
      </c>
      <c r="Z756" t="inlineStr">
        <is>
          <t>부동산 임대,개발,공급</t>
        </is>
      </c>
      <c r="AA756" t="inlineStr">
        <is>
          <t>서울 종로구 청진동 246번지</t>
        </is>
      </c>
      <c r="AB756" t="inlineStr">
        <is>
          <t>서울 종로구 종로3길 17</t>
        </is>
      </c>
    </row>
    <row r="757" ht="19.2" customHeight="1" s="1">
      <c r="A757" t="inlineStr">
        <is>
          <t>NICE:J29758</t>
        </is>
      </c>
      <c r="B757" t="inlineStr">
        <is>
          <t>명지피앤피</t>
        </is>
      </c>
      <c r="C757" s="5" t="n">
        <v>56881588000</v>
      </c>
      <c r="D757" s="5" t="n">
        <v>25492827000</v>
      </c>
      <c r="E757" s="5" t="n">
        <v>31388762000</v>
      </c>
      <c r="F757" s="5" t="n">
        <v>51498097000</v>
      </c>
      <c r="G757" s="5" t="n">
        <v>6259023000</v>
      </c>
      <c r="H757" s="5" t="n">
        <v>43695950000</v>
      </c>
      <c r="I757" s="5" t="n">
        <v>6208409000</v>
      </c>
      <c r="J757" s="4" t="n">
        <v>1.558799982070923</v>
      </c>
      <c r="K757" s="4" t="n">
        <v>0.8122000098228455</v>
      </c>
      <c r="L757" s="4" t="n">
        <v>0.1214999929070473</v>
      </c>
      <c r="M757" t="inlineStr">
        <is>
          <t>김성태</t>
        </is>
      </c>
      <c r="N757" t="inlineStr">
        <is>
          <t>031-355-5811</t>
        </is>
      </c>
      <c r="O757" t="inlineStr">
        <is>
          <t>031-355-5822</t>
        </is>
      </c>
      <c r="P757" s="3">
        <f>HYPERLINK("http://www.mjpnp.com", "http://www.mjpnp.com")</f>
        <v/>
      </c>
      <c r="Q757" t="inlineStr">
        <is>
          <t>1248722223</t>
        </is>
      </c>
      <c r="R757" t="inlineStr">
        <is>
          <t>1348110228719</t>
        </is>
      </c>
      <c r="S757" t="inlineStr">
        <is>
          <t>대상아님</t>
        </is>
      </c>
      <c r="T757" t="inlineStr">
        <is>
          <t>일반법인</t>
        </is>
      </c>
      <c r="U757" t="inlineStr">
        <is>
          <t>중소기업</t>
        </is>
      </c>
      <c r="V757" t="inlineStr">
        <is>
          <t>외부감사대상</t>
        </is>
      </c>
      <c r="W757" s="6" t="inlineStr">
        <is>
          <t>2011-10-27</t>
        </is>
      </c>
      <c r="X757" t="inlineStr">
        <is>
          <t>KRI:10C2221200</t>
        </is>
      </c>
      <c r="Y757" t="inlineStr">
        <is>
          <t>플라스틱 필름 제조업</t>
        </is>
      </c>
      <c r="Z757" t="inlineStr">
        <is>
          <t>연포장재 제조</t>
        </is>
      </c>
      <c r="AA757" t="inlineStr">
        <is>
          <t>경기 화성시 만세구 팔탄면 서근리 1-88번지</t>
        </is>
      </c>
      <c r="AB757" t="inlineStr">
        <is>
          <t>경기 화성시 만세구 팔탄면 석포로 68-13</t>
        </is>
      </c>
    </row>
    <row r="758" s="1">
      <c r="A758" t="inlineStr">
        <is>
          <t>NICE:922366</t>
        </is>
      </c>
      <c r="B758" t="inlineStr">
        <is>
          <t>크린토피아</t>
        </is>
      </c>
      <c r="C758" s="5" t="n">
        <v>120799328000</v>
      </c>
      <c r="D758" s="5" t="n">
        <v>53743327000</v>
      </c>
      <c r="E758" s="5" t="n">
        <v>67056001000</v>
      </c>
      <c r="F758" s="5" t="n">
        <v>282511357000</v>
      </c>
      <c r="G758" s="5" t="n">
        <v>44538102000</v>
      </c>
      <c r="H758" s="5" t="n">
        <v>279697012000</v>
      </c>
      <c r="I758" s="5" t="n">
        <v>31095036000</v>
      </c>
      <c r="J758" s="4" t="n">
        <v>1.191200017929077</v>
      </c>
      <c r="K758" s="4" t="n">
        <v>0.8015000224113464</v>
      </c>
      <c r="L758" s="4" t="n">
        <v>0.1577000021934509</v>
      </c>
      <c r="M758" t="inlineStr">
        <is>
          <t>김동철</t>
        </is>
      </c>
      <c r="N758" t="inlineStr">
        <is>
          <t>1577-4560</t>
        </is>
      </c>
      <c r="O758" t="inlineStr">
        <is>
          <t>031-733-1995</t>
        </is>
      </c>
      <c r="P758">
        <f>HYPERLINK("http://www.cleantopia.com", "http://www.cleantopia.com")</f>
        <v/>
      </c>
      <c r="Q758" t="inlineStr">
        <is>
          <t>1308155163</t>
        </is>
      </c>
      <c r="R758" t="inlineStr">
        <is>
          <t>1211110059387</t>
        </is>
      </c>
      <c r="S758" t="inlineStr">
        <is>
          <t>대상아님</t>
        </is>
      </c>
      <c r="T758" t="inlineStr">
        <is>
          <t>일반법인</t>
        </is>
      </c>
      <c r="U758" t="inlineStr">
        <is>
          <t>중견기업</t>
        </is>
      </c>
      <c r="V758" t="inlineStr">
        <is>
          <t>외부감사대상</t>
        </is>
      </c>
      <c r="W758" s="6" t="inlineStr">
        <is>
          <t>1997-12-19</t>
        </is>
      </c>
      <c r="X758" t="inlineStr">
        <is>
          <t>KRI:10S9691100</t>
        </is>
      </c>
      <c r="Y758" t="inlineStr">
        <is>
          <t>산업용 세탁업</t>
        </is>
      </c>
      <c r="Z758" t="inlineStr">
        <is>
          <t>세탁/경영 컨설팅,프랜차이즈체인점/섬유제품,탈취제,세탁기기,장비 원부자재 제조/유류,석유화학 제품 도소매</t>
        </is>
      </c>
      <c r="AA758" t="inlineStr">
        <is>
          <t>경기 성남시 중원구 상대원동 64번지</t>
        </is>
      </c>
      <c r="AB758" t="inlineStr">
        <is>
          <t>경기 성남시 중원구 순환로 222</t>
        </is>
      </c>
    </row>
    <row r="759" s="1">
      <c r="A759" t="inlineStr">
        <is>
          <t>NICE:700266</t>
        </is>
      </c>
      <c r="B759" t="inlineStr">
        <is>
          <t>에스이더블류유로드라이브코리아</t>
        </is>
      </c>
      <c r="C759" s="5" t="n">
        <v>87041668000</v>
      </c>
      <c r="D759" s="5" t="n">
        <v>25206545000</v>
      </c>
      <c r="E759" s="5" t="n">
        <v>61835123000</v>
      </c>
      <c r="F759" s="5" t="n">
        <v>94186493000</v>
      </c>
      <c r="G759" s="5" t="n">
        <v>14550975000</v>
      </c>
      <c r="H759" s="5" t="n">
        <v>104953706000</v>
      </c>
      <c r="I759" s="5" t="n">
        <v>16603350000</v>
      </c>
      <c r="J759" s="4" t="n">
        <v>2.792500019073486</v>
      </c>
      <c r="K759" s="4" t="n">
        <v>0.4075999855995178</v>
      </c>
      <c r="L759" s="4" t="n">
        <v>0.1544999927282333</v>
      </c>
      <c r="M759" t="inlineStr">
        <is>
          <t>허장혁</t>
        </is>
      </c>
      <c r="N759" t="inlineStr">
        <is>
          <t>031-492-8051</t>
        </is>
      </c>
      <c r="O759" t="inlineStr">
        <is>
          <t>031-492-8056</t>
        </is>
      </c>
      <c r="P759">
        <f>HYPERLINK("http://www.sew-eurodrive.kr", "http://www.sew-eurodrive.kr")</f>
        <v/>
      </c>
      <c r="Q759" t="inlineStr">
        <is>
          <t>1348115708</t>
        </is>
      </c>
      <c r="R759" t="inlineStr">
        <is>
          <t>1101110732085</t>
        </is>
      </c>
      <c r="S759" t="inlineStr">
        <is>
          <t>대상아님</t>
        </is>
      </c>
      <c r="T759" t="inlineStr">
        <is>
          <t>일반법인</t>
        </is>
      </c>
      <c r="U759" t="inlineStr">
        <is>
          <t>중소기업</t>
        </is>
      </c>
      <c r="V759" t="inlineStr">
        <is>
          <t>외부감사대상</t>
        </is>
      </c>
      <c r="W759" s="6" t="inlineStr">
        <is>
          <t>1990-11-16</t>
        </is>
      </c>
      <c r="X759" t="inlineStr">
        <is>
          <t>KRI:10C2914200</t>
        </is>
      </c>
      <c r="Y759" t="inlineStr">
        <is>
          <t>기어 및 동력전달장치 제조업</t>
        </is>
      </c>
      <c r="Z759" t="inlineStr">
        <is>
          <t>변속전동기,감속기,모타,인버터 제조,도매,무역</t>
        </is>
      </c>
      <c r="AA759" t="inlineStr">
        <is>
          <t>경기 안산시 단원구 신길동 1048-4번지</t>
        </is>
      </c>
      <c r="AB759" t="inlineStr">
        <is>
          <t>경기 안산시 단원구 당쟁이로 7</t>
        </is>
      </c>
    </row>
    <row r="760" ht="19.2" customHeight="1" s="1">
      <c r="A760" t="inlineStr">
        <is>
          <t>NICE:C24743</t>
        </is>
      </c>
      <c r="B760" t="inlineStr">
        <is>
          <t>톨리코리아</t>
        </is>
      </c>
      <c r="C760" s="5" t="n">
        <v>68215759000</v>
      </c>
      <c r="D760" s="5" t="n">
        <v>9086306000</v>
      </c>
      <c r="E760" s="5" t="n">
        <v>59129453000</v>
      </c>
      <c r="F760" s="5" t="n">
        <v>54644999000</v>
      </c>
      <c r="G760" s="5" t="n">
        <v>6396736000</v>
      </c>
      <c r="H760" s="5" t="n">
        <v>50957160000</v>
      </c>
      <c r="I760" s="5" t="n">
        <v>5972426000</v>
      </c>
      <c r="J760" s="4" t="n">
        <v>2.970299959182739</v>
      </c>
      <c r="K760" s="4" t="n">
        <v>0.1536999940872192</v>
      </c>
      <c r="L760" s="4" t="n">
        <v>0.1171000003814697</v>
      </c>
      <c r="M760" t="inlineStr">
        <is>
          <t>여명권</t>
        </is>
      </c>
      <c r="N760" t="inlineStr">
        <is>
          <t>032-679-8222</t>
        </is>
      </c>
      <c r="O760" t="inlineStr">
        <is>
          <t>032-676-2555</t>
        </is>
      </c>
      <c r="P760" s="3">
        <f>HYPERLINK("http://www.tolykorea.com", "http://www.tolykorea.com")</f>
        <v/>
      </c>
      <c r="Q760" t="inlineStr">
        <is>
          <t>1308624990</t>
        </is>
      </c>
      <c r="R760" t="inlineStr">
        <is>
          <t>1211110153254</t>
        </is>
      </c>
      <c r="S760" t="inlineStr">
        <is>
          <t>대상아님</t>
        </is>
      </c>
      <c r="T760" t="inlineStr">
        <is>
          <t>일반법인</t>
        </is>
      </c>
      <c r="U760" t="inlineStr">
        <is>
          <t>중소기업</t>
        </is>
      </c>
      <c r="V760" t="inlineStr">
        <is>
          <t>외부감사대상</t>
        </is>
      </c>
      <c r="W760" s="6" t="inlineStr">
        <is>
          <t>2007-01-03</t>
        </is>
      </c>
      <c r="X760" t="inlineStr">
        <is>
          <t>KRI:10C2223200</t>
        </is>
      </c>
      <c r="Y760" t="inlineStr">
        <is>
          <t>포장용 플라스틱 성형용기 제조업</t>
        </is>
      </c>
      <c r="Z760" t="inlineStr">
        <is>
          <t>화장품용기 제조,도소매/무역/식품용기,포장류,펌프,사출금형,브러쉬조립 제조</t>
        </is>
      </c>
      <c r="AA760" t="inlineStr">
        <is>
          <t>경기 부천시 원미구 도당동 222-19번지</t>
        </is>
      </c>
      <c r="AB760" t="inlineStr">
        <is>
          <t>경기 부천시 원미구 옥산로213번길 60</t>
        </is>
      </c>
    </row>
    <row r="761" s="1">
      <c r="A761" t="inlineStr">
        <is>
          <t>NICE:122476</t>
        </is>
      </c>
      <c r="B761" t="inlineStr">
        <is>
          <t>원건설</t>
        </is>
      </c>
      <c r="C761" s="5" t="n">
        <v>637235372000</v>
      </c>
      <c r="D761" s="5" t="n">
        <v>276879885000</v>
      </c>
      <c r="E761" s="5" t="n">
        <v>360355488000</v>
      </c>
      <c r="F761" s="5" t="n">
        <v>265035519000</v>
      </c>
      <c r="G761" s="5" t="n">
        <v>26686305000</v>
      </c>
      <c r="H761" s="5" t="n">
        <v>310088815000</v>
      </c>
      <c r="I761" s="5" t="n">
        <v>95767056000</v>
      </c>
      <c r="J761" s="4" t="n">
        <v>2.235700130462646</v>
      </c>
      <c r="K761" s="4" t="n">
        <v>0.7683999538421631</v>
      </c>
      <c r="L761" s="4" t="n">
        <v>0.1006999909877777</v>
      </c>
      <c r="M761" t="inlineStr">
        <is>
          <t>이상용</t>
        </is>
      </c>
      <c r="N761" t="inlineStr">
        <is>
          <t>043-229-2300</t>
        </is>
      </c>
      <c r="O761" t="inlineStr">
        <is>
          <t>043-259-4434</t>
        </is>
      </c>
      <c r="P761">
        <f>HYPERLINK("http://www.wonenc.co.kr", "http://www.wonenc.co.kr")</f>
        <v/>
      </c>
      <c r="Q761" t="inlineStr">
        <is>
          <t>3018119323</t>
        </is>
      </c>
      <c r="R761" t="inlineStr">
        <is>
          <t>1501110015889</t>
        </is>
      </c>
      <c r="S761" t="inlineStr">
        <is>
          <t>대상아님</t>
        </is>
      </c>
      <c r="T761" t="inlineStr">
        <is>
          <t>일반법인</t>
        </is>
      </c>
      <c r="U761" t="inlineStr">
        <is>
          <t>중견기업</t>
        </is>
      </c>
      <c r="V761" t="inlineStr">
        <is>
          <t>외부감사대상</t>
        </is>
      </c>
      <c r="W761" s="6" t="inlineStr">
        <is>
          <t>1984-02-01</t>
        </is>
      </c>
      <c r="X761" t="inlineStr">
        <is>
          <t>KRI:10F4122000</t>
        </is>
      </c>
      <c r="Y761" t="inlineStr">
        <is>
          <t>토목시설물 건설업</t>
        </is>
      </c>
      <c r="Z761" t="inlineStr">
        <is>
          <t>토목건축공사,주택신축판매(건설),조경공사,전문소방시설공사,전기공사/수목 도매</t>
        </is>
      </c>
      <c r="AA761" t="inlineStr">
        <is>
          <t>충북 청주시 상당구 북문로2가 116-166번지</t>
        </is>
      </c>
      <c r="AB761" t="inlineStr">
        <is>
          <t>충북 청주시 상당구 상당로 127</t>
        </is>
      </c>
    </row>
    <row r="762" ht="19.2" customHeight="1" s="1">
      <c r="A762" t="inlineStr">
        <is>
          <t>NICE:043290</t>
        </is>
      </c>
      <c r="B762" t="inlineStr">
        <is>
          <t>에이알</t>
        </is>
      </c>
      <c r="C762" s="5" t="n">
        <v>115587327000</v>
      </c>
      <c r="D762" s="5" t="n">
        <v>61218714000</v>
      </c>
      <c r="E762" s="5" t="n">
        <v>54368613000</v>
      </c>
      <c r="F762" s="5" t="n">
        <v>121283397000</v>
      </c>
      <c r="G762" s="5" t="n">
        <v>13743608000</v>
      </c>
      <c r="H762" s="5" t="n">
        <v>100015067000</v>
      </c>
      <c r="I762" s="5" t="n">
        <v>14686222000</v>
      </c>
      <c r="J762" s="4" t="n">
        <v>1.688999891281128</v>
      </c>
      <c r="K762" s="4" t="n">
        <v>1.125999927520752</v>
      </c>
      <c r="L762" s="4" t="n">
        <v>0.1132999956607819</v>
      </c>
      <c r="M762" t="inlineStr">
        <is>
          <t>한승일/한영모</t>
        </is>
      </c>
      <c r="N762" t="inlineStr">
        <is>
          <t>031-497-0561</t>
        </is>
      </c>
      <c r="O762" t="inlineStr">
        <is>
          <t>031-499-1865</t>
        </is>
      </c>
      <c r="P762" s="3">
        <f>HYPERLINK("http://www.arp.co.kr", "http://www.arp.co.kr")</f>
        <v/>
      </c>
      <c r="Q762" t="inlineStr">
        <is>
          <t>1338125483</t>
        </is>
      </c>
      <c r="R762" t="inlineStr">
        <is>
          <t>1341110022850</t>
        </is>
      </c>
      <c r="S762" t="inlineStr">
        <is>
          <t>대상아님</t>
        </is>
      </c>
      <c r="T762" t="inlineStr">
        <is>
          <t>일반법인</t>
        </is>
      </c>
      <c r="U762" t="inlineStr">
        <is>
          <t>중소기업</t>
        </is>
      </c>
      <c r="V762" t="inlineStr">
        <is>
          <t>외부감사대상</t>
        </is>
      </c>
      <c r="W762" s="6" t="inlineStr">
        <is>
          <t>1981-09-10</t>
        </is>
      </c>
      <c r="X762" t="inlineStr">
        <is>
          <t>KRI:10C2917200</t>
        </is>
      </c>
      <c r="Y762" t="inlineStr">
        <is>
          <t>공기 조화장치 제조업</t>
        </is>
      </c>
      <c r="Z762" t="inlineStr">
        <is>
          <t>항온항습기,공기조화장치,클린룸장치 제조/기계설비공사,소방시설공사/냉난방부품 도소매,무역</t>
        </is>
      </c>
      <c r="AA762" t="inlineStr">
        <is>
          <t>경기 시흥시 정왕동 1275-8번지</t>
        </is>
      </c>
      <c r="AB762" t="inlineStr">
        <is>
          <t>경기 시흥시 공단1대로260번안길 21</t>
        </is>
      </c>
    </row>
    <row r="763" s="1">
      <c r="A763" t="inlineStr">
        <is>
          <t>NICE:CC6566</t>
        </is>
      </c>
      <c r="B763" t="inlineStr">
        <is>
          <t>청양해운</t>
        </is>
      </c>
      <c r="C763" s="5" t="n">
        <v>109084932000</v>
      </c>
      <c r="D763" s="5" t="n">
        <v>64827597000</v>
      </c>
      <c r="E763" s="5" t="n">
        <v>44257335000</v>
      </c>
      <c r="F763" s="5" t="n">
        <v>33304408000</v>
      </c>
      <c r="G763" s="5" t="n">
        <v>12864306000</v>
      </c>
      <c r="H763" s="5" t="n">
        <v>31504755000</v>
      </c>
      <c r="I763" s="5" t="n">
        <v>12806833000</v>
      </c>
      <c r="J763" s="4" t="n">
        <v>0.4200999736785889</v>
      </c>
      <c r="K763" s="4" t="n">
        <v>1.464799880981445</v>
      </c>
      <c r="L763" s="4" t="n">
        <v>0.3862999975681305</v>
      </c>
      <c r="M763" t="inlineStr">
        <is>
          <t>박종은/정흥건</t>
        </is>
      </c>
      <c r="N763" t="inlineStr">
        <is>
          <t>051-603-3900</t>
        </is>
      </c>
      <c r="O763" t="inlineStr">
        <is>
          <t>051-745-9101</t>
        </is>
      </c>
      <c r="P763">
        <f>HYPERLINK("http://www.cyship.co.kr", "http://www.cyship.co.kr")</f>
        <v/>
      </c>
      <c r="Q763" t="inlineStr">
        <is>
          <t>6178625900</t>
        </is>
      </c>
      <c r="R763" t="inlineStr">
        <is>
          <t>1801110952598</t>
        </is>
      </c>
      <c r="S763" t="inlineStr">
        <is>
          <t>대상아님</t>
        </is>
      </c>
      <c r="T763" t="inlineStr">
        <is>
          <t>일반법인</t>
        </is>
      </c>
      <c r="U763" t="inlineStr">
        <is>
          <t>중소기업</t>
        </is>
      </c>
      <c r="V763" t="inlineStr">
        <is>
          <t>외부감사대상</t>
        </is>
      </c>
      <c r="W763" s="6" t="inlineStr">
        <is>
          <t>2015-01-15</t>
        </is>
      </c>
      <c r="X763" t="inlineStr">
        <is>
          <t>KRI:10H5011200</t>
        </is>
      </c>
      <c r="Y763" t="inlineStr">
        <is>
          <t>외항 화물 운송업</t>
        </is>
      </c>
      <c r="Z763" t="inlineStr">
        <is>
          <t>외항화물 운송/선박 임대/부동산 전대/해양엔지니어링 서비스</t>
        </is>
      </c>
      <c r="AA763" t="inlineStr">
        <is>
          <t>서울 강남구 논현동 86-15번지 청양해운빌딩 1층 5층 6층</t>
        </is>
      </c>
      <c r="AB763" t="inlineStr">
        <is>
          <t>서울 강남구 학동로31길 13, 1층 5층 6층 (논현동,청양해운빌딩)</t>
        </is>
      </c>
    </row>
    <row r="764" s="1">
      <c r="A764" t="inlineStr">
        <is>
          <t>NICE:195301</t>
        </is>
      </c>
      <c r="B764" t="inlineStr">
        <is>
          <t>코텍</t>
        </is>
      </c>
      <c r="C764" s="5" t="n">
        <v>83700854000</v>
      </c>
      <c r="D764" s="5" t="n">
        <v>29650550000</v>
      </c>
      <c r="E764" s="5" t="n">
        <v>54050304000</v>
      </c>
      <c r="F764" s="5" t="n">
        <v>46056860000</v>
      </c>
      <c r="G764" s="5" t="n">
        <v>8930790000</v>
      </c>
      <c r="H764" s="5" t="n">
        <v>41770622000</v>
      </c>
      <c r="I764" s="5" t="n">
        <v>8237069000</v>
      </c>
      <c r="J764" s="4" t="n">
        <v>1.050699949264526</v>
      </c>
      <c r="K764" s="4" t="n">
        <v>0.5486000180244446</v>
      </c>
      <c r="L764" s="4" t="n">
        <v>0.1938999891281128</v>
      </c>
      <c r="M764" t="inlineStr">
        <is>
          <t>박대근/최주원</t>
        </is>
      </c>
      <c r="N764" t="inlineStr">
        <is>
          <t>055-295-9695</t>
        </is>
      </c>
      <c r="O764" t="inlineStr">
        <is>
          <t>055-295-9396</t>
        </is>
      </c>
      <c r="P764">
        <f>HYPERLINK("http://www.cotec.co.kr", "http://www.cotec.co.kr")</f>
        <v/>
      </c>
      <c r="Q764" t="inlineStr">
        <is>
          <t>6098150946</t>
        </is>
      </c>
      <c r="R764" t="inlineStr">
        <is>
          <t>1942110052994</t>
        </is>
      </c>
      <c r="S764" t="inlineStr">
        <is>
          <t>대상아님</t>
        </is>
      </c>
      <c r="T764" t="inlineStr">
        <is>
          <t>일반법인</t>
        </is>
      </c>
      <c r="U764" t="inlineStr">
        <is>
          <t>중소기업</t>
        </is>
      </c>
      <c r="V764" t="inlineStr">
        <is>
          <t>외부감사대상</t>
        </is>
      </c>
      <c r="W764" s="6" t="inlineStr">
        <is>
          <t>1989-09-28</t>
        </is>
      </c>
      <c r="X764" t="inlineStr">
        <is>
          <t>KRI:10C2592200</t>
        </is>
      </c>
      <c r="Y764" t="inlineStr">
        <is>
          <t>도금업</t>
        </is>
      </c>
      <c r="Z764" t="inlineStr">
        <is>
          <t>도금,표면처리/산업플랜트공사/무기,총포탄,자동차부품,항공기부품 제조/부동산 임대</t>
        </is>
      </c>
      <c r="AA764" t="inlineStr">
        <is>
          <t>경남 창원시 성산구 성주동 48-5번지</t>
        </is>
      </c>
      <c r="AB764" t="inlineStr">
        <is>
          <t>경남 창원시 성산구 웅남로 826</t>
        </is>
      </c>
    </row>
    <row r="765" ht="19.2" customHeight="1" s="1">
      <c r="A765" t="inlineStr">
        <is>
          <t>NICE:L10259</t>
        </is>
      </c>
      <c r="B765" t="inlineStr">
        <is>
          <t>비에스쉬핑</t>
        </is>
      </c>
      <c r="C765" s="5" t="n">
        <v>83031806000</v>
      </c>
      <c r="D765" s="5" t="n">
        <v>31915403000</v>
      </c>
      <c r="E765" s="5" t="n">
        <v>51116404000</v>
      </c>
      <c r="F765" s="5" t="n">
        <v>70178761000</v>
      </c>
      <c r="G765" s="5" t="n">
        <v>11376517000</v>
      </c>
      <c r="H765" s="5" t="n">
        <v>63464796000</v>
      </c>
      <c r="I765" s="5" t="n">
        <v>13516647000</v>
      </c>
      <c r="J765" s="4" t="n">
        <v>2.031599998474121</v>
      </c>
      <c r="K765" s="4" t="n">
        <v>0.6243999600410461</v>
      </c>
      <c r="L765" s="4" t="n">
        <v>0.1620999872684479</v>
      </c>
      <c r="M765" t="inlineStr">
        <is>
          <t>박지영</t>
        </is>
      </c>
      <c r="N765" t="inlineStr">
        <is>
          <t>061-664-5110</t>
        </is>
      </c>
      <c r="O765" t="inlineStr">
        <is>
          <t>061-683-0098</t>
        </is>
      </c>
      <c r="P765" s="3" t="n"/>
      <c r="Q765" t="inlineStr">
        <is>
          <t>4178147556</t>
        </is>
      </c>
      <c r="R765" t="inlineStr">
        <is>
          <t>2062110050555</t>
        </is>
      </c>
      <c r="S765" t="inlineStr">
        <is>
          <t>대상아님</t>
        </is>
      </c>
      <c r="T765" t="inlineStr">
        <is>
          <t>일반법인</t>
        </is>
      </c>
      <c r="U765" t="inlineStr">
        <is>
          <t>중견기업</t>
        </is>
      </c>
      <c r="V765" t="inlineStr">
        <is>
          <t>외부감사대상</t>
        </is>
      </c>
      <c r="W765" s="6" t="inlineStr">
        <is>
          <t>2013-11-19</t>
        </is>
      </c>
      <c r="X765" t="inlineStr">
        <is>
          <t>KRI:10H5011200</t>
        </is>
      </c>
      <c r="Y765" t="inlineStr">
        <is>
          <t>외항 화물 운송업</t>
        </is>
      </c>
      <c r="Z765" t="inlineStr">
        <is>
          <t>해상 운송,무역</t>
        </is>
      </c>
      <c r="AA765" t="inlineStr">
        <is>
          <t>전남 여수시 주삼동 771-9번지 2층</t>
        </is>
      </c>
      <c r="AB765" t="inlineStr">
        <is>
          <t>전남 여수시 주동로 122, 2층</t>
        </is>
      </c>
    </row>
    <row r="766" ht="19.2" customHeight="1" s="1">
      <c r="A766" t="inlineStr">
        <is>
          <t>NICE:C79691</t>
        </is>
      </c>
      <c r="B766" t="inlineStr">
        <is>
          <t>한국기초소재</t>
        </is>
      </c>
      <c r="C766" s="5" t="n">
        <v>77876984000</v>
      </c>
      <c r="D766" s="5" t="n">
        <v>30227187000</v>
      </c>
      <c r="E766" s="5" t="n">
        <v>47649797000</v>
      </c>
      <c r="F766" s="5" t="n">
        <v>60916516000</v>
      </c>
      <c r="G766" s="5" t="n">
        <v>10885741000</v>
      </c>
      <c r="H766" s="5" t="n">
        <v>61047258000</v>
      </c>
      <c r="I766" s="5" t="n">
        <v>10305582000</v>
      </c>
      <c r="J766" s="4" t="n">
        <v>0.790899932384491</v>
      </c>
      <c r="K766" s="4" t="n">
        <v>0.634399950504303</v>
      </c>
      <c r="L766" s="4" t="n">
        <v>0.1787000000476837</v>
      </c>
      <c r="M766" t="inlineStr">
        <is>
          <t>박홍은</t>
        </is>
      </c>
      <c r="N766" t="inlineStr">
        <is>
          <t>032-777-7871</t>
        </is>
      </c>
      <c r="O766" t="inlineStr">
        <is>
          <t>032-777-7842</t>
        </is>
      </c>
      <c r="P766" s="3">
        <f>HYPERLINK("http://www.hkslag.co.kr", "http://www.hkslag.co.kr")</f>
        <v/>
      </c>
      <c r="Q766" t="inlineStr">
        <is>
          <t>1218194935</t>
        </is>
      </c>
      <c r="R766" t="inlineStr">
        <is>
          <t>1201110487232</t>
        </is>
      </c>
      <c r="S766" t="inlineStr">
        <is>
          <t>대상아님</t>
        </is>
      </c>
      <c r="T766" t="inlineStr">
        <is>
          <t>일반법인</t>
        </is>
      </c>
      <c r="U766" t="inlineStr">
        <is>
          <t>중견기업</t>
        </is>
      </c>
      <c r="V766" t="inlineStr">
        <is>
          <t>외부감사대상</t>
        </is>
      </c>
      <c r="W766" s="6" t="inlineStr">
        <is>
          <t>2009-02-09</t>
        </is>
      </c>
      <c r="X766" t="inlineStr">
        <is>
          <t>KRI:10C2331100</t>
        </is>
      </c>
      <c r="Y766" t="inlineStr">
        <is>
          <t>시멘트 제조업</t>
        </is>
      </c>
      <c r="Z766" t="inlineStr">
        <is>
          <t>슬래그시멘트,파우더 제조</t>
        </is>
      </c>
      <c r="AA766" t="inlineStr">
        <is>
          <t>인천 동구 만석동 2-23번지</t>
        </is>
      </c>
      <c r="AB766" t="inlineStr">
        <is>
          <t>인천 동구 만석부두로 16-3</t>
        </is>
      </c>
    </row>
    <row r="767" s="1">
      <c r="A767" t="inlineStr">
        <is>
          <t>NICE:999394</t>
        </is>
      </c>
      <c r="B767" t="inlineStr">
        <is>
          <t>이파피루스</t>
        </is>
      </c>
      <c r="C767" s="5" t="n">
        <v>64079955000</v>
      </c>
      <c r="D767" s="5" t="n">
        <v>11884574000</v>
      </c>
      <c r="E767" s="5" t="n">
        <v>52195381000</v>
      </c>
      <c r="F767" s="5" t="n">
        <v>22514183000</v>
      </c>
      <c r="G767" s="5" t="n">
        <v>4465096000</v>
      </c>
      <c r="H767" s="5" t="n">
        <v>20530040000</v>
      </c>
      <c r="I767" s="5" t="n">
        <v>3157479000</v>
      </c>
      <c r="J767" s="4" t="n">
        <v>2.469799995422363</v>
      </c>
      <c r="K767" s="4" t="n">
        <v>0.2276999950408936</v>
      </c>
      <c r="L767" s="4" t="n">
        <v>0.1982999891042709</v>
      </c>
      <c r="M767" t="inlineStr">
        <is>
          <t>김정희</t>
        </is>
      </c>
      <c r="N767" t="inlineStr">
        <is>
          <t>02-2051-5207</t>
        </is>
      </c>
      <c r="O767" t="inlineStr">
        <is>
          <t>02-2051-5209</t>
        </is>
      </c>
      <c r="P767">
        <f>HYPERLINK("http://www.epapyrus.com", "http://www.epapyrus.com")</f>
        <v/>
      </c>
      <c r="Q767" t="inlineStr">
        <is>
          <t>2068191016</t>
        </is>
      </c>
      <c r="R767" t="inlineStr">
        <is>
          <t>1101113017385</t>
        </is>
      </c>
      <c r="S767" t="inlineStr">
        <is>
          <t>대상아님</t>
        </is>
      </c>
      <c r="T767" t="inlineStr">
        <is>
          <t>일반법인</t>
        </is>
      </c>
      <c r="U767" t="inlineStr">
        <is>
          <t>중소기업</t>
        </is>
      </c>
      <c r="V767" t="inlineStr">
        <is>
          <t>외부감사대상</t>
        </is>
      </c>
      <c r="W767" s="6" t="inlineStr">
        <is>
          <t>2004-05-22</t>
        </is>
      </c>
      <c r="X767" t="inlineStr">
        <is>
          <t>KRI:10J5822200</t>
        </is>
      </c>
      <c r="Y767" t="inlineStr">
        <is>
          <t>응용 소프트웨어 개발 및 공급업</t>
        </is>
      </c>
      <c r="Z767" t="inlineStr">
        <is>
          <t>소프트웨어 자문,개발,공급/측정,시험,항해,제어기기,정밀기기 제조/부동산 임대</t>
        </is>
      </c>
      <c r="AA767" t="inlineStr">
        <is>
          <t>경기 성남시 분당구 삼평동 679번지 삼환하이펙스 비동4층 408,409,410호</t>
        </is>
      </c>
      <c r="AB767" t="inlineStr">
        <is>
          <t>경기 성남시 분당구 판교역로 230, 비동4층 408,409,410호 (삼평동,삼환하이펙스)</t>
        </is>
      </c>
    </row>
    <row r="768" ht="19.2" customHeight="1" s="1">
      <c r="A768" t="inlineStr">
        <is>
          <t>NICE:468829</t>
        </is>
      </c>
      <c r="B768" t="inlineStr">
        <is>
          <t>에스알</t>
        </is>
      </c>
      <c r="C768" s="5" t="n">
        <v>63062661000</v>
      </c>
      <c r="D768" s="5" t="n">
        <v>47607872000</v>
      </c>
      <c r="E768" s="5" t="n">
        <v>15454789000</v>
      </c>
      <c r="F768" s="5" t="n">
        <v>46169189000</v>
      </c>
      <c r="G768" s="5" t="n">
        <v>5289825000</v>
      </c>
      <c r="H768" s="5" t="n">
        <v>25480327000</v>
      </c>
      <c r="I768" s="5" t="n">
        <v>3171432000</v>
      </c>
      <c r="J768" s="4" t="n">
        <v>0.85999995470047</v>
      </c>
      <c r="K768" s="4" t="n">
        <v>3.080499887466431</v>
      </c>
      <c r="L768" s="4" t="n">
        <v>0.1145999953150749</v>
      </c>
      <c r="M768" t="inlineStr">
        <is>
          <t>강대권/강춘기</t>
        </is>
      </c>
      <c r="N768" t="inlineStr">
        <is>
          <t>031-459-3995</t>
        </is>
      </c>
      <c r="O768" t="inlineStr">
        <is>
          <t>031-459-3996</t>
        </is>
      </c>
      <c r="P768" s="3">
        <f>HYPERLINK("http://www.sr.co.kr", "http://www.sr.co.kr")</f>
        <v/>
      </c>
      <c r="Q768" t="inlineStr">
        <is>
          <t>1388147051</t>
        </is>
      </c>
      <c r="R768" t="inlineStr">
        <is>
          <t>1352110023483</t>
        </is>
      </c>
      <c r="S768" t="inlineStr">
        <is>
          <t>대상아님</t>
        </is>
      </c>
      <c r="T768" t="inlineStr">
        <is>
          <t>일반법인</t>
        </is>
      </c>
      <c r="U768" t="inlineStr">
        <is>
          <t>중소기업</t>
        </is>
      </c>
      <c r="V768" t="inlineStr">
        <is>
          <t>외부감사대상</t>
        </is>
      </c>
      <c r="W768" s="6" t="inlineStr">
        <is>
          <t>2001-11-20</t>
        </is>
      </c>
      <c r="X768" t="inlineStr">
        <is>
          <t>KRI:10C2890300</t>
        </is>
      </c>
      <c r="Y768" t="inlineStr">
        <is>
          <t>교통 신호장치 제조업</t>
        </is>
      </c>
      <c r="Z768" t="inlineStr">
        <is>
          <t>철도신호장치 제조/전기공사,정보통신공사,소방설비공사/부동산 임대/소프트웨어 개발,공급</t>
        </is>
      </c>
      <c r="AA768" t="inlineStr">
        <is>
          <t>경기 의왕시 이동 742번지</t>
        </is>
      </c>
      <c r="AB768" t="inlineStr">
        <is>
          <t>경기 의왕시 오봉산단1로 50-8</t>
        </is>
      </c>
    </row>
    <row r="769" ht="19.2" customHeight="1" s="1">
      <c r="A769" t="inlineStr">
        <is>
          <t>NICE:916757</t>
        </is>
      </c>
      <c r="B769" t="inlineStr">
        <is>
          <t>제너럴켐</t>
        </is>
      </c>
      <c r="C769" s="5" t="n">
        <v>49391458000</v>
      </c>
      <c r="D769" s="5" t="n">
        <v>12429730000</v>
      </c>
      <c r="E769" s="5" t="n">
        <v>36961728000</v>
      </c>
      <c r="F769" s="5" t="n">
        <v>27520595000</v>
      </c>
      <c r="G769" s="5" t="n">
        <v>14308639000</v>
      </c>
      <c r="H769" s="5" t="n">
        <v>15655610000</v>
      </c>
      <c r="I769" s="5" t="n">
        <v>7037151000</v>
      </c>
      <c r="J769" s="4" t="n">
        <v>6.4197998046875</v>
      </c>
      <c r="K769" s="4" t="n">
        <v>0.3363000154495239</v>
      </c>
      <c r="L769" s="4" t="n">
        <v>0.5199000239372253</v>
      </c>
      <c r="M769" t="inlineStr">
        <is>
          <t>황동섭</t>
        </is>
      </c>
      <c r="N769" t="inlineStr">
        <is>
          <t>055-323-1717</t>
        </is>
      </c>
      <c r="O769" t="inlineStr">
        <is>
          <t>055-323-1721</t>
        </is>
      </c>
      <c r="P769" s="3" t="n"/>
      <c r="Q769" t="inlineStr">
        <is>
          <t>6228124515</t>
        </is>
      </c>
      <c r="R769" t="inlineStr">
        <is>
          <t>1846110032635</t>
        </is>
      </c>
      <c r="S769" t="inlineStr">
        <is>
          <t>대상아님</t>
        </is>
      </c>
      <c r="T769" t="inlineStr">
        <is>
          <t>일반법인</t>
        </is>
      </c>
      <c r="U769" t="inlineStr">
        <is>
          <t>중소기업</t>
        </is>
      </c>
      <c r="V769" t="inlineStr">
        <is>
          <t>외부감사대상</t>
        </is>
      </c>
      <c r="W769" s="6" t="inlineStr">
        <is>
          <t>1987-03-01</t>
        </is>
      </c>
      <c r="X769" t="inlineStr">
        <is>
          <t>KRI:10C2041300</t>
        </is>
      </c>
      <c r="Y769" t="inlineStr">
        <is>
          <t>인쇄잉크 및 회화용 물감 제조업</t>
        </is>
      </c>
      <c r="Z769" t="inlineStr">
        <is>
          <t>잉크,수용성페인트 제조</t>
        </is>
      </c>
      <c r="AA769" t="inlineStr">
        <is>
          <t>경남 김해시 주촌면 내삼리 1128-7번지</t>
        </is>
      </c>
      <c r="AB769" t="inlineStr">
        <is>
          <t>경남 김해시 주촌면 서부로1499번길 49-34</t>
        </is>
      </c>
    </row>
    <row r="770" ht="19.2" customHeight="1" s="1">
      <c r="A770" t="inlineStr">
        <is>
          <t>NICE:F97866</t>
        </is>
      </c>
      <c r="B770" t="inlineStr">
        <is>
          <t>대고</t>
        </is>
      </c>
      <c r="C770" s="5" t="n">
        <v>48975416000</v>
      </c>
      <c r="D770" s="5" t="n">
        <v>8782737000</v>
      </c>
      <c r="E770" s="5" t="n">
        <v>40192679000</v>
      </c>
      <c r="F770" s="5" t="n">
        <v>30507557000</v>
      </c>
      <c r="G770" s="5" t="n">
        <v>5631380000</v>
      </c>
      <c r="H770" s="5" t="n">
        <v>34118860000</v>
      </c>
      <c r="I770" s="5" t="n">
        <v>4269906000</v>
      </c>
      <c r="J770" s="4" t="n">
        <v>4.990399837493896</v>
      </c>
      <c r="K770" s="4" t="n">
        <v>0.2185000032186508</v>
      </c>
      <c r="L770" s="4" t="n">
        <v>0.184599980711937</v>
      </c>
      <c r="M770" t="inlineStr">
        <is>
          <t>홍조원</t>
        </is>
      </c>
      <c r="N770" t="inlineStr">
        <is>
          <t>031-436-8500</t>
        </is>
      </c>
      <c r="O770" t="inlineStr">
        <is>
          <t>031-436-8500</t>
        </is>
      </c>
      <c r="P770" s="3">
        <f>HYPERLINK("http://www.daego.com", "http://www.daego.com")</f>
        <v/>
      </c>
      <c r="Q770" t="inlineStr">
        <is>
          <t>1388157049</t>
        </is>
      </c>
      <c r="R770" t="inlineStr">
        <is>
          <t>1341110185492</t>
        </is>
      </c>
      <c r="S770" t="inlineStr">
        <is>
          <t>대상아님</t>
        </is>
      </c>
      <c r="T770" t="inlineStr">
        <is>
          <t>일반법인</t>
        </is>
      </c>
      <c r="U770" t="inlineStr">
        <is>
          <t>중소기업</t>
        </is>
      </c>
      <c r="V770" t="inlineStr">
        <is>
          <t>외부감사대상</t>
        </is>
      </c>
      <c r="W770" s="6" t="inlineStr">
        <is>
          <t>2010-01-04</t>
        </is>
      </c>
      <c r="X770" t="inlineStr">
        <is>
          <t>KRI:10C1322900</t>
        </is>
      </c>
      <c r="Y770" t="inlineStr">
        <is>
          <t>기타 직물제품 제조업</t>
        </is>
      </c>
      <c r="Z770" t="inlineStr">
        <is>
          <t>직물제품,청소용품 제조,무역,전자상거래,통신판매</t>
        </is>
      </c>
      <c r="AA770" t="inlineStr">
        <is>
          <t>경기 안양시 동안구 관양동 1591-10번지</t>
        </is>
      </c>
      <c r="AB770" t="inlineStr">
        <is>
          <t>경기 안양시 동안구 평촌대로212번길 55</t>
        </is>
      </c>
    </row>
    <row r="771" ht="19.2" customHeight="1" s="1">
      <c r="A771" t="inlineStr">
        <is>
          <t>NICE:PR5985</t>
        </is>
      </c>
      <c r="B771" t="inlineStr">
        <is>
          <t>디엔코스메틱스</t>
        </is>
      </c>
      <c r="C771" s="5" t="n">
        <v>46421698000</v>
      </c>
      <c r="D771" s="5" t="n">
        <v>11407152000</v>
      </c>
      <c r="E771" s="5" t="n">
        <v>35014546000</v>
      </c>
      <c r="F771" s="5" t="n">
        <v>174567583000</v>
      </c>
      <c r="G771" s="5" t="n">
        <v>24022430000</v>
      </c>
      <c r="H771" s="5" t="n">
        <v>67231765000</v>
      </c>
      <c r="I771" s="5" t="n">
        <v>9032640000</v>
      </c>
      <c r="J771" s="4" t="n">
        <v>3.88349986076355</v>
      </c>
      <c r="K771" s="4" t="n">
        <v>0.3258000016212463</v>
      </c>
      <c r="L771" s="4" t="n">
        <v>0.1376000046730042</v>
      </c>
      <c r="M771" t="inlineStr">
        <is>
          <t>심미진</t>
        </is>
      </c>
      <c r="N771" t="inlineStr">
        <is>
          <t>02-2059-1516</t>
        </is>
      </c>
      <c r="P771" s="3">
        <f>HYPERLINK("http://www.easydew.co.kr", "http://www.easydew.co.kr")</f>
        <v/>
      </c>
      <c r="Q771" t="inlineStr">
        <is>
          <t>3578602849</t>
        </is>
      </c>
      <c r="R771" t="inlineStr">
        <is>
          <t>1101118517215</t>
        </is>
      </c>
      <c r="S771" t="inlineStr">
        <is>
          <t>대상아님</t>
        </is>
      </c>
      <c r="T771" t="inlineStr">
        <is>
          <t>일반법인</t>
        </is>
      </c>
      <c r="U771" t="inlineStr">
        <is>
          <t>중소기업</t>
        </is>
      </c>
      <c r="V771" t="inlineStr">
        <is>
          <t>외부감사대상</t>
        </is>
      </c>
      <c r="W771" s="6" t="inlineStr">
        <is>
          <t>2023-01-02</t>
        </is>
      </c>
      <c r="X771" t="inlineStr">
        <is>
          <t>KRI:10G4644300</t>
        </is>
      </c>
      <c r="Y771" t="inlineStr">
        <is>
          <t>화장품 및 화장용품 도매업</t>
        </is>
      </c>
      <c r="Z771" t="inlineStr">
        <is>
          <t>화장품 도소매,무역,무역 대리,전자상거래/경영컨설팅/교육서비스</t>
        </is>
      </c>
      <c r="AA771" t="inlineStr">
        <is>
          <t>서울 강남구 삼성동 163-1번지 대웅제약 별관 2층</t>
        </is>
      </c>
      <c r="AB771" t="inlineStr">
        <is>
          <t>서울 강남구 봉은사로 644, 2층 (삼성동,대웅제약 별관)</t>
        </is>
      </c>
    </row>
    <row r="772" ht="19.2" customHeight="1" s="1">
      <c r="A772" t="inlineStr">
        <is>
          <t>NICE:001406</t>
        </is>
      </c>
      <c r="B772" t="inlineStr">
        <is>
          <t>무등</t>
        </is>
      </c>
      <c r="C772" s="5" t="n">
        <v>43776178000</v>
      </c>
      <c r="D772" s="5" t="n">
        <v>4175604000</v>
      </c>
      <c r="E772" s="5" t="n">
        <v>39600574000</v>
      </c>
      <c r="F772" s="5" t="n">
        <v>24929471000</v>
      </c>
      <c r="G772" s="5" t="n">
        <v>5116073000</v>
      </c>
      <c r="H772" s="5" t="n">
        <v>20932651000</v>
      </c>
      <c r="I772" s="5" t="n">
        <v>3250898000</v>
      </c>
      <c r="J772" s="4" t="n">
        <v>7.025800228118896</v>
      </c>
      <c r="K772" s="4" t="n">
        <v>0.1053999960422516</v>
      </c>
      <c r="L772" s="4" t="n">
        <v>0.2052000015974045</v>
      </c>
      <c r="M772" t="inlineStr">
        <is>
          <t>김인</t>
        </is>
      </c>
      <c r="N772" t="inlineStr">
        <is>
          <t>062-600-8225</t>
        </is>
      </c>
      <c r="O772" t="inlineStr">
        <is>
          <t>062-941-0486</t>
        </is>
      </c>
      <c r="P772" s="3">
        <f>HYPERLINK("http://www.moodeung.com", "http://www.moodeung.com")</f>
        <v/>
      </c>
      <c r="Q772" t="inlineStr">
        <is>
          <t>4108103348</t>
        </is>
      </c>
      <c r="R772" t="inlineStr">
        <is>
          <t>2001110006465</t>
        </is>
      </c>
      <c r="S772" t="inlineStr">
        <is>
          <t>대상아님</t>
        </is>
      </c>
      <c r="T772" t="inlineStr">
        <is>
          <t>일반법인</t>
        </is>
      </c>
      <c r="U772" t="inlineStr">
        <is>
          <t>중소기업</t>
        </is>
      </c>
      <c r="V772" t="inlineStr">
        <is>
          <t>외부감사대상</t>
        </is>
      </c>
      <c r="W772" s="6" t="inlineStr">
        <is>
          <t>1984-10-08</t>
        </is>
      </c>
      <c r="X772" t="inlineStr">
        <is>
          <t>KRI:10C2225100</t>
        </is>
      </c>
      <c r="Y772" t="inlineStr">
        <is>
          <t>폴리스티렌 발포 성형제품 제조업</t>
        </is>
      </c>
      <c r="Z772" t="inlineStr">
        <is>
          <t>열수축성 튜브,내외장절연피복,전자부품 피복재 제조</t>
        </is>
      </c>
      <c r="AA772" t="inlineStr">
        <is>
          <t>광주 광산구 월전동 1031번지</t>
        </is>
      </c>
      <c r="AB772" t="inlineStr">
        <is>
          <t>광주 광산구 평동산단6번로 102</t>
        </is>
      </c>
    </row>
    <row r="773" ht="19.2" customHeight="1" s="1">
      <c r="A773" t="inlineStr">
        <is>
          <t>NICE:118876</t>
        </is>
      </c>
      <c r="B773" t="inlineStr">
        <is>
          <t>일강이엔아이</t>
        </is>
      </c>
      <c r="C773" s="5" t="n">
        <v>36220649000</v>
      </c>
      <c r="D773" s="5" t="n">
        <v>13979777000</v>
      </c>
      <c r="E773" s="5" t="n">
        <v>22240872000</v>
      </c>
      <c r="F773" s="5" t="n">
        <v>34780043000</v>
      </c>
      <c r="G773" s="5" t="n">
        <v>6887766000</v>
      </c>
      <c r="H773" s="5" t="n">
        <v>32613903000</v>
      </c>
      <c r="I773" s="5" t="n">
        <v>5529091000</v>
      </c>
      <c r="J773" s="4" t="n">
        <v>1.534999966621399</v>
      </c>
      <c r="K773" s="4" t="n">
        <v>0.628600001335144</v>
      </c>
      <c r="L773" s="4" t="n">
        <v>0.1979999840259552</v>
      </c>
      <c r="M773" t="inlineStr">
        <is>
          <t>김승기</t>
        </is>
      </c>
      <c r="N773" t="inlineStr">
        <is>
          <t>02-547-3311</t>
        </is>
      </c>
      <c r="O773" t="inlineStr">
        <is>
          <t>02-539-5920</t>
        </is>
      </c>
      <c r="P773" s="3">
        <f>HYPERLINK("http://ilkang.co.kr", "http://ilkang.co.kr")</f>
        <v/>
      </c>
      <c r="Q773" t="inlineStr">
        <is>
          <t>2208133424</t>
        </is>
      </c>
      <c r="R773" t="inlineStr">
        <is>
          <t>1101111230658</t>
        </is>
      </c>
      <c r="S773" t="inlineStr">
        <is>
          <t>대상아님</t>
        </is>
      </c>
      <c r="T773" t="inlineStr">
        <is>
          <t>일반법인</t>
        </is>
      </c>
      <c r="U773" t="inlineStr">
        <is>
          <t>중소기업</t>
        </is>
      </c>
      <c r="V773" t="inlineStr">
        <is>
          <t>외부감사대상</t>
        </is>
      </c>
      <c r="W773" s="6" t="inlineStr">
        <is>
          <t>1996-01-11</t>
        </is>
      </c>
      <c r="X773" t="inlineStr">
        <is>
          <t>KRI:10F4213800</t>
        </is>
      </c>
      <c r="Y773" t="inlineStr">
        <is>
          <t>지붕, 내ㆍ외벽 축조 관련 전문 공사업</t>
        </is>
      </c>
      <c r="Z773" t="inlineStr">
        <is>
          <t>지붕판금공사</t>
        </is>
      </c>
      <c r="AA773" t="inlineStr">
        <is>
          <t>서울 강남구 개포동 1164-7번지 아람손프라자 2층</t>
        </is>
      </c>
      <c r="AB773" t="inlineStr">
        <is>
          <t>서울 강남구 논현로2길 22, 2층 (개포동,아람손프라자)</t>
        </is>
      </c>
    </row>
    <row r="774" s="1">
      <c r="A774" t="inlineStr">
        <is>
          <t>NICE:I52644</t>
        </is>
      </c>
      <c r="B774" t="inlineStr">
        <is>
          <t>하늘바이오농업회사법인</t>
        </is>
      </c>
      <c r="C774" s="5" t="n">
        <v>30741594000</v>
      </c>
      <c r="D774" s="5" t="n">
        <v>20889252000</v>
      </c>
      <c r="E774" s="5" t="n">
        <v>9852342000</v>
      </c>
      <c r="F774" s="5" t="n">
        <v>28796709000</v>
      </c>
      <c r="G774" s="5" t="n">
        <v>3297857000</v>
      </c>
      <c r="H774" s="5" t="n">
        <v>19304247000</v>
      </c>
      <c r="I774" s="5" t="n">
        <v>2466429000</v>
      </c>
      <c r="J774" s="4" t="n">
        <v>1.631699919700623</v>
      </c>
      <c r="K774" s="4" t="n">
        <v>2.120199918746948</v>
      </c>
      <c r="L774" s="4" t="n">
        <v>0.114499993622303</v>
      </c>
      <c r="M774" t="inlineStr">
        <is>
          <t>윤효미</t>
        </is>
      </c>
      <c r="N774" t="inlineStr">
        <is>
          <t>055-943-8375</t>
        </is>
      </c>
      <c r="O774" t="inlineStr">
        <is>
          <t>055-943-8376</t>
        </is>
      </c>
      <c r="P774">
        <f>HYPERLINK("http://www.ohs.co.kr", "http://www.ohs.co.kr")</f>
        <v/>
      </c>
      <c r="Q774" t="inlineStr">
        <is>
          <t>6118116825</t>
        </is>
      </c>
      <c r="R774" t="inlineStr">
        <is>
          <t>1914110007485</t>
        </is>
      </c>
      <c r="S774" t="inlineStr">
        <is>
          <t>대상아님</t>
        </is>
      </c>
      <c r="T774" t="inlineStr">
        <is>
          <t>일반법인</t>
        </is>
      </c>
      <c r="U774" t="inlineStr">
        <is>
          <t>중소기업</t>
        </is>
      </c>
      <c r="V774" t="inlineStr">
        <is>
          <t>외부감사대상</t>
        </is>
      </c>
      <c r="W774" s="6" t="inlineStr">
        <is>
          <t>2008-11-21</t>
        </is>
      </c>
      <c r="X774" t="inlineStr">
        <is>
          <t>KRI:10C1079900</t>
        </is>
      </c>
      <c r="Y774" t="inlineStr">
        <is>
          <t>그 외 기타 식료품 제조업</t>
        </is>
      </c>
      <c r="Z774" t="inlineStr">
        <is>
          <t>식료품,반찬류 제조/과실,채소가공,저장</t>
        </is>
      </c>
      <c r="AA774" t="inlineStr">
        <is>
          <t>경남 거창군 남상면 대산리 1599-3번지</t>
        </is>
      </c>
      <c r="AB774" t="inlineStr">
        <is>
          <t>경남 거창군 남상면 홍덕길 11</t>
        </is>
      </c>
    </row>
    <row r="775" s="1">
      <c r="A775" t="inlineStr">
        <is>
          <t>NICE:OU8659</t>
        </is>
      </c>
      <c r="B775" t="inlineStr">
        <is>
          <t>에프이브이에테르노</t>
        </is>
      </c>
      <c r="C775" s="5" t="n">
        <v>26832899000</v>
      </c>
      <c r="D775" s="5" t="n">
        <v>8894549000</v>
      </c>
      <c r="E775" s="5" t="n">
        <v>17938350000</v>
      </c>
      <c r="F775" s="5" t="n">
        <v>48667743000</v>
      </c>
      <c r="G775" s="5" t="n">
        <v>5450156000</v>
      </c>
      <c r="H775" s="5" t="n">
        <v>42018091000</v>
      </c>
      <c r="I775" s="5" t="n">
        <v>5529593000</v>
      </c>
      <c r="J775" s="4" t="n">
        <v>3.299399852752686</v>
      </c>
      <c r="K775" s="4" t="n">
        <v>0.4958000183105469</v>
      </c>
      <c r="L775" s="4" t="n">
        <v>0.1119999960064888</v>
      </c>
      <c r="M775" t="inlineStr">
        <is>
          <t>김은혜</t>
        </is>
      </c>
      <c r="Q775" t="inlineStr">
        <is>
          <t>5838102481</t>
        </is>
      </c>
      <c r="R775" t="inlineStr">
        <is>
          <t>1101118149399</t>
        </is>
      </c>
      <c r="S775" t="inlineStr">
        <is>
          <t>대상아님</t>
        </is>
      </c>
      <c r="T775" t="inlineStr">
        <is>
          <t>일반법인</t>
        </is>
      </c>
      <c r="U775" t="inlineStr">
        <is>
          <t>중소기업</t>
        </is>
      </c>
      <c r="V775" t="inlineStr">
        <is>
          <t>외부감사대상</t>
        </is>
      </c>
      <c r="W775" s="6" t="inlineStr">
        <is>
          <t>2021-12-31</t>
        </is>
      </c>
      <c r="X775" t="inlineStr">
        <is>
          <t>KRI:10C1411200</t>
        </is>
      </c>
      <c r="Y775" t="inlineStr">
        <is>
          <t>여자용 겉옷 제조업</t>
        </is>
      </c>
      <c r="Z775" t="inlineStr">
        <is>
          <t>여자용 겉옷 제조업</t>
        </is>
      </c>
      <c r="AA775" t="inlineStr">
        <is>
          <t>서울 구로구 구로동 235-3번지 대륭포스트타워8차 R동 808호</t>
        </is>
      </c>
      <c r="AB775" t="inlineStr">
        <is>
          <t>서울 구로구 디지털로26길 43, R동 808호 (구로동,대륭포스트타워8차)</t>
        </is>
      </c>
    </row>
    <row r="776" s="1">
      <c r="A776" t="inlineStr">
        <is>
          <t>NICE:199415</t>
        </is>
      </c>
      <c r="B776" t="inlineStr">
        <is>
          <t>우신전설</t>
        </is>
      </c>
      <c r="C776" s="5" t="n">
        <v>11748344000</v>
      </c>
      <c r="D776" s="5" t="n">
        <v>1800018000</v>
      </c>
      <c r="E776" s="5" t="n">
        <v>9948326000</v>
      </c>
      <c r="F776" s="5" t="n">
        <v>24054469000</v>
      </c>
      <c r="G776" s="5" t="n">
        <v>3552383000</v>
      </c>
      <c r="H776" s="5" t="n">
        <v>19454275000</v>
      </c>
      <c r="I776" s="5" t="n">
        <v>2413474000</v>
      </c>
      <c r="J776" s="4" t="n">
        <v>12.43400001525879</v>
      </c>
      <c r="K776" s="4" t="n">
        <v>0.1808999925851822</v>
      </c>
      <c r="L776" s="4" t="n">
        <v>0.1476999968290329</v>
      </c>
      <c r="M776" t="inlineStr">
        <is>
          <t>강병성</t>
        </is>
      </c>
      <c r="N776" t="inlineStr">
        <is>
          <t>043-273-1104</t>
        </is>
      </c>
      <c r="O776" t="inlineStr">
        <is>
          <t>043-263-1104</t>
        </is>
      </c>
      <c r="Q776" t="inlineStr">
        <is>
          <t>3018144050</t>
        </is>
      </c>
      <c r="R776" t="inlineStr">
        <is>
          <t>1501110047006</t>
        </is>
      </c>
      <c r="S776" t="inlineStr">
        <is>
          <t>대상아님</t>
        </is>
      </c>
      <c r="T776" t="inlineStr">
        <is>
          <t>일반법인</t>
        </is>
      </c>
      <c r="U776" t="inlineStr">
        <is>
          <t>중소기업</t>
        </is>
      </c>
      <c r="V776" t="inlineStr">
        <is>
          <t>외부감사비대상</t>
        </is>
      </c>
      <c r="W776" s="6" t="inlineStr">
        <is>
          <t>2000-06-12</t>
        </is>
      </c>
      <c r="X776" t="inlineStr">
        <is>
          <t>KRI:10F4231200</t>
        </is>
      </c>
      <c r="Y776" t="inlineStr">
        <is>
          <t>내부 전기배선 공사업</t>
        </is>
      </c>
      <c r="Z776" t="inlineStr">
        <is>
          <t>전기공사．소방시설．배관．난방공사</t>
        </is>
      </c>
      <c r="AA776" t="inlineStr">
        <is>
          <t>충북 청주시 청원구 사천동 95-1번지</t>
        </is>
      </c>
      <c r="AB776" t="inlineStr">
        <is>
          <t>충북 청주시 청원구 발산로 53</t>
        </is>
      </c>
    </row>
    <row r="777" ht="19.2" customHeight="1" s="1">
      <c r="A777" t="inlineStr">
        <is>
          <t>NICE:E39368</t>
        </is>
      </c>
      <c r="B777" t="inlineStr">
        <is>
          <t>한국사회복지공제회</t>
        </is>
      </c>
      <c r="C777" s="5" t="n">
        <v>714536724000</v>
      </c>
      <c r="D777" s="5" t="n">
        <v>685046321000</v>
      </c>
      <c r="E777" s="5" t="n">
        <v>29490403000</v>
      </c>
      <c r="F777" s="5" t="n">
        <v>47194093000</v>
      </c>
      <c r="G777" s="5" t="n">
        <v>8625796000</v>
      </c>
      <c r="H777" s="5" t="n">
        <v>42145791000</v>
      </c>
      <c r="I777" s="5" t="n">
        <v>6976850000</v>
      </c>
      <c r="J777" s="4" t="n">
        <v>120.9262924194336</v>
      </c>
      <c r="K777" s="4" t="n">
        <v>23.22949981689453</v>
      </c>
      <c r="L777" s="4" t="n">
        <v>0.1828000098466873</v>
      </c>
      <c r="M777" t="inlineStr">
        <is>
          <t>김용하</t>
        </is>
      </c>
      <c r="N777" t="inlineStr">
        <is>
          <t>02-3775-1680</t>
        </is>
      </c>
      <c r="P777" s="3" t="n"/>
      <c r="Q777" t="inlineStr">
        <is>
          <t>1078215606</t>
        </is>
      </c>
      <c r="R777" t="inlineStr">
        <is>
          <t>2541710021231</t>
        </is>
      </c>
      <c r="S777" t="inlineStr">
        <is>
          <t>대상아님</t>
        </is>
      </c>
      <c r="T777" t="inlineStr">
        <is>
          <t>비영리법인</t>
        </is>
      </c>
      <c r="U777" t="inlineStr">
        <is>
          <t>대상아님</t>
        </is>
      </c>
      <c r="V777" t="inlineStr">
        <is>
          <t>외부감사비대상</t>
        </is>
      </c>
      <c r="W777" s="6" t="inlineStr">
        <is>
          <t>2011-12-09</t>
        </is>
      </c>
      <c r="X777" t="inlineStr">
        <is>
          <t>KRI:10K6620900</t>
        </is>
      </c>
      <c r="Y777" t="inlineStr">
        <is>
          <t>기타 보험 및 연금관련 서비스업</t>
        </is>
      </c>
      <c r="Z777" t="inlineStr">
        <is>
          <t>보험,연금관리서비스/비주거용 건물 임대</t>
        </is>
      </c>
      <c r="AA777" t="inlineStr">
        <is>
          <t>서울 서초구 반포동 706-10번지 지하, 10층, 11층, 12층</t>
        </is>
      </c>
      <c r="AB777" t="inlineStr">
        <is>
          <t>서울 서초구 강남대로 545-4, 지하, 10층, 11층, 12층</t>
        </is>
      </c>
    </row>
    <row r="778" ht="19.2" customHeight="1" s="1">
      <c r="A778" t="inlineStr">
        <is>
          <t>NICE:089210</t>
        </is>
      </c>
      <c r="B778" t="inlineStr">
        <is>
          <t>에스에스피</t>
        </is>
      </c>
      <c r="C778" s="5" t="n">
        <v>74512862000</v>
      </c>
      <c r="D778" s="5" t="n">
        <v>10177568000</v>
      </c>
      <c r="E778" s="5" t="n">
        <v>64335294000</v>
      </c>
      <c r="F778" s="5" t="n">
        <v>56566161000</v>
      </c>
      <c r="G778" s="5" t="n">
        <v>20306434000</v>
      </c>
      <c r="H778" s="5" t="n">
        <v>40858020000</v>
      </c>
      <c r="I778" s="5" t="n">
        <v>12849863000</v>
      </c>
      <c r="J778" s="4" t="n">
        <v>5.279500007629395</v>
      </c>
      <c r="K778" s="4" t="n">
        <v>0.1581999957561493</v>
      </c>
      <c r="L778" s="4" t="n">
        <v>0.3589999973773956</v>
      </c>
      <c r="M778" t="inlineStr">
        <is>
          <t>주희종</t>
        </is>
      </c>
      <c r="N778" t="inlineStr">
        <is>
          <t>032-822-0881</t>
        </is>
      </c>
      <c r="O778" t="inlineStr">
        <is>
          <t>032-822-0886</t>
        </is>
      </c>
      <c r="P778" s="3">
        <f>HYPERLINK("http://www.sspinc.co.kr", "http://www.sspinc.co.kr")</f>
        <v/>
      </c>
      <c r="Q778" t="inlineStr">
        <is>
          <t>1368118716</t>
        </is>
      </c>
      <c r="R778" t="inlineStr">
        <is>
          <t>1244110024498</t>
        </is>
      </c>
      <c r="S778" t="inlineStr">
        <is>
          <t>대상아님</t>
        </is>
      </c>
      <c r="T778" t="inlineStr">
        <is>
          <t>일반법인</t>
        </is>
      </c>
      <c r="U778" t="inlineStr">
        <is>
          <t>중소기업</t>
        </is>
      </c>
      <c r="V778" t="inlineStr">
        <is>
          <t>외부감사대상</t>
        </is>
      </c>
      <c r="W778" s="6" t="inlineStr">
        <is>
          <t>1996-05-30</t>
        </is>
      </c>
      <c r="X778" t="inlineStr">
        <is>
          <t>KRI:10C2927100</t>
        </is>
      </c>
      <c r="Y778" t="inlineStr">
        <is>
          <t>반도체 제조용 기계 제조업</t>
        </is>
      </c>
      <c r="Z778" t="inlineStr">
        <is>
          <t>반도체기계 제조/부동산 임대</t>
        </is>
      </c>
      <c r="AA778" t="inlineStr">
        <is>
          <t>인천 연수구 송도동 7-42번지</t>
        </is>
      </c>
      <c r="AB778" t="inlineStr">
        <is>
          <t>인천 연수구 갯벌로 53</t>
        </is>
      </c>
    </row>
    <row r="779" ht="19.2" customHeight="1" s="1">
      <c r="A779" t="inlineStr">
        <is>
          <t>NICE:M01199</t>
        </is>
      </c>
      <c r="B779" t="inlineStr">
        <is>
          <t>스킨메드인터내셔널</t>
        </is>
      </c>
      <c r="C779" s="5" t="n">
        <v>20821504000</v>
      </c>
      <c r="D779" s="5" t="n">
        <v>7366081000</v>
      </c>
      <c r="E779" s="5" t="n">
        <v>13455423000</v>
      </c>
      <c r="F779" s="5" t="n">
        <v>24808585000</v>
      </c>
      <c r="G779" s="5" t="n">
        <v>8679558000</v>
      </c>
      <c r="H779" s="5" t="n">
        <v>10830119000</v>
      </c>
      <c r="I779" s="5" t="n">
        <v>2393427000</v>
      </c>
      <c r="J779" s="4" t="n">
        <v>3.449899911880493</v>
      </c>
      <c r="K779" s="4" t="n">
        <v>0.5473999977111816</v>
      </c>
      <c r="L779" s="4" t="n">
        <v>0.3499000072479248</v>
      </c>
      <c r="M779" t="inlineStr">
        <is>
          <t>함정한</t>
        </is>
      </c>
      <c r="N779" t="inlineStr">
        <is>
          <t>02-6261-8133</t>
        </is>
      </c>
      <c r="P779" s="3">
        <f>HYPERLINK("http://www.lagom.kr/", "http://www.lagom.kr/")</f>
        <v/>
      </c>
      <c r="Q779" t="inlineStr">
        <is>
          <t>2018641253</t>
        </is>
      </c>
      <c r="R779" t="inlineStr">
        <is>
          <t>1101115480192</t>
        </is>
      </c>
      <c r="S779" t="inlineStr">
        <is>
          <t>대상아님</t>
        </is>
      </c>
      <c r="T779" t="inlineStr">
        <is>
          <t>일반법인</t>
        </is>
      </c>
      <c r="U779" t="inlineStr">
        <is>
          <t>중소기업</t>
        </is>
      </c>
      <c r="V779" t="inlineStr">
        <is>
          <t>외부감사대상</t>
        </is>
      </c>
      <c r="W779" s="6" t="inlineStr">
        <is>
          <t>2014-07-31</t>
        </is>
      </c>
      <c r="X779" t="inlineStr">
        <is>
          <t>KRI:10C2042300</t>
        </is>
      </c>
      <c r="Y779" t="inlineStr">
        <is>
          <t>화장품 제조업</t>
        </is>
      </c>
      <c r="Z779" t="inlineStr">
        <is>
          <t>화장품,화장품 및 미용관련용품,가방 및 여행용품,전자상거래업</t>
        </is>
      </c>
      <c r="AA779" t="inlineStr">
        <is>
          <t>서울 중구 명동1가 5-1번지 9층 902호</t>
        </is>
      </c>
      <c r="AB779" t="inlineStr">
        <is>
          <t>서울 중구 명동길 65, 9층 902호</t>
        </is>
      </c>
    </row>
    <row r="780" ht="19.2" customHeight="1" s="1">
      <c r="A780" t="inlineStr">
        <is>
          <t>NICE:007556</t>
        </is>
      </c>
      <c r="B780" t="inlineStr">
        <is>
          <t>우신산업</t>
        </is>
      </c>
      <c r="C780" s="5" t="n">
        <v>99494227000</v>
      </c>
      <c r="D780" s="5" t="n">
        <v>50196562000</v>
      </c>
      <c r="E780" s="5" t="n">
        <v>49297665000</v>
      </c>
      <c r="F780" s="5" t="n">
        <v>44965212000</v>
      </c>
      <c r="G780" s="5" t="n">
        <v>6815666000</v>
      </c>
      <c r="H780" s="5" t="n">
        <v>39837111000</v>
      </c>
      <c r="I780" s="5" t="n">
        <v>1506333000</v>
      </c>
      <c r="J780" s="4" t="n">
        <v>0.5991999506950378</v>
      </c>
      <c r="K780" s="4" t="n">
        <v>1.018199920654297</v>
      </c>
      <c r="L780" s="4" t="n">
        <v>0.1515999883413315</v>
      </c>
      <c r="M780" t="inlineStr">
        <is>
          <t>서중호</t>
        </is>
      </c>
      <c r="N780" t="inlineStr">
        <is>
          <t>053-859-9134</t>
        </is>
      </c>
      <c r="O780" t="inlineStr">
        <is>
          <t>053-859-9140</t>
        </is>
      </c>
      <c r="P780" s="3" t="n"/>
      <c r="Q780" t="inlineStr">
        <is>
          <t>5028124185</t>
        </is>
      </c>
      <c r="R780" t="inlineStr">
        <is>
          <t>1701110071283</t>
        </is>
      </c>
      <c r="S780" t="inlineStr">
        <is>
          <t>대상아님</t>
        </is>
      </c>
      <c r="T780" t="inlineStr">
        <is>
          <t>일반법인</t>
        </is>
      </c>
      <c r="U780" t="inlineStr">
        <is>
          <t>중소기업</t>
        </is>
      </c>
      <c r="V780" t="inlineStr">
        <is>
          <t>외부감사대상</t>
        </is>
      </c>
      <c r="W780" s="6" t="inlineStr">
        <is>
          <t>1987-03-01</t>
        </is>
      </c>
      <c r="X780" t="inlineStr">
        <is>
          <t>KRI:10C3039900</t>
        </is>
      </c>
      <c r="Y780" t="inlineStr">
        <is>
          <t>그 외 자동차용 신품 부품 제조업</t>
        </is>
      </c>
      <c r="Z780" t="inlineStr">
        <is>
          <t>자동차부품,영상기기 제조/소프트웨어 개발,공급</t>
        </is>
      </c>
      <c r="AA780" t="inlineStr">
        <is>
          <t>경북 경산시 진량읍 신상리 1208-8번지</t>
        </is>
      </c>
      <c r="AB780" t="inlineStr">
        <is>
          <t>경북 경산시 진량읍 공단6로 69</t>
        </is>
      </c>
    </row>
    <row r="781" ht="19.2" customHeight="1" s="1">
      <c r="A781" t="inlineStr">
        <is>
          <t>NICE:873519</t>
        </is>
      </c>
      <c r="B781" t="inlineStr">
        <is>
          <t>한국신용평가</t>
        </is>
      </c>
      <c r="C781" s="5" t="n">
        <v>76771619000</v>
      </c>
      <c r="D781" s="5" t="n">
        <v>22223707000</v>
      </c>
      <c r="E781" s="5" t="n">
        <v>54547912000</v>
      </c>
      <c r="F781" s="5" t="n">
        <v>82463996000</v>
      </c>
      <c r="G781" s="5" t="n">
        <v>26051844000</v>
      </c>
      <c r="H781" s="5" t="n">
        <v>73513729000</v>
      </c>
      <c r="I781" s="5" t="n">
        <v>23539289000</v>
      </c>
      <c r="J781" s="4" t="n">
        <v>3.199100017547607</v>
      </c>
      <c r="K781" s="4" t="n">
        <v>0.4074000120162964</v>
      </c>
      <c r="L781" s="4" t="n">
        <v>0.3158999979496002</v>
      </c>
      <c r="M781" t="inlineStr">
        <is>
          <t>윤패트릭</t>
        </is>
      </c>
      <c r="N781" t="inlineStr">
        <is>
          <t>02-787-2200</t>
        </is>
      </c>
      <c r="O781" t="inlineStr">
        <is>
          <t>02-787-2360</t>
        </is>
      </c>
      <c r="P781" s="3">
        <f>HYPERLINK("http://www.kisrating.com", "http://www.kisrating.com")</f>
        <v/>
      </c>
      <c r="Q781" t="inlineStr">
        <is>
          <t>1168169360</t>
        </is>
      </c>
      <c r="R781" t="inlineStr">
        <is>
          <t>1101111576458</t>
        </is>
      </c>
      <c r="S781" t="inlineStr">
        <is>
          <t>대상아님</t>
        </is>
      </c>
      <c r="T781" t="inlineStr">
        <is>
          <t>일반법인</t>
        </is>
      </c>
      <c r="U781" t="inlineStr">
        <is>
          <t>중견기업</t>
        </is>
      </c>
      <c r="V781" t="inlineStr">
        <is>
          <t>외부감사대상</t>
        </is>
      </c>
      <c r="W781" s="6" t="inlineStr">
        <is>
          <t>1998-08-18</t>
        </is>
      </c>
      <c r="X781" t="inlineStr">
        <is>
          <t>KRI:10M7390900</t>
        </is>
      </c>
      <c r="Y781" t="inlineStr">
        <is>
          <t>그 외 기타 분류 안된 전문, 과학 및 기술 서비스업</t>
        </is>
      </c>
      <c r="Z781" t="inlineStr">
        <is>
          <t>신용평가,주식평가,경영진단/출판/도서판매</t>
        </is>
      </c>
      <c r="AA781" t="inlineStr">
        <is>
          <t>서울 영등포구 여의도동 60번지 63빌딩 55층</t>
        </is>
      </c>
      <c r="AB781" t="inlineStr">
        <is>
          <t>서울 영등포구 63로 50, 55층 (여의도동,63빌딩)</t>
        </is>
      </c>
    </row>
    <row r="782" ht="19.2" customHeight="1" s="1">
      <c r="A782" t="inlineStr">
        <is>
          <t>NICE:035657</t>
        </is>
      </c>
      <c r="B782" t="inlineStr">
        <is>
          <t>태산</t>
        </is>
      </c>
      <c r="C782" s="5" t="n">
        <v>19554800000</v>
      </c>
      <c r="D782" s="5" t="n">
        <v>4753521000</v>
      </c>
      <c r="E782" s="5" t="n">
        <v>14801278000</v>
      </c>
      <c r="F782" s="5" t="n">
        <v>22783729000</v>
      </c>
      <c r="G782" s="5" t="n">
        <v>2703739000</v>
      </c>
      <c r="H782" s="5" t="n">
        <v>23011612000</v>
      </c>
      <c r="I782" s="5" t="n">
        <v>2585407000</v>
      </c>
      <c r="J782" s="4" t="n">
        <v>3.891099691390991</v>
      </c>
      <c r="K782" s="4" t="n">
        <v>0.3211999833583832</v>
      </c>
      <c r="L782" s="4" t="n">
        <v>0.1186999976634979</v>
      </c>
      <c r="M782" t="inlineStr">
        <is>
          <t>허광옥/야마모토마사노리</t>
        </is>
      </c>
      <c r="N782" t="inlineStr">
        <is>
          <t>054-332-3003/5</t>
        </is>
      </c>
      <c r="O782" t="inlineStr">
        <is>
          <t>054-332-3007</t>
        </is>
      </c>
      <c r="P782" s="3">
        <f>HYPERLINK("http://www.tai-san.co.kr", "http://www.tai-san.co.kr")</f>
        <v/>
      </c>
      <c r="Q782" t="inlineStr">
        <is>
          <t>5058121756</t>
        </is>
      </c>
      <c r="R782" t="inlineStr">
        <is>
          <t>1747110003933</t>
        </is>
      </c>
      <c r="S782" t="inlineStr">
        <is>
          <t>대상아님</t>
        </is>
      </c>
      <c r="T782" t="inlineStr">
        <is>
          <t>일반법인</t>
        </is>
      </c>
      <c r="U782" t="inlineStr">
        <is>
          <t>중소기업</t>
        </is>
      </c>
      <c r="V782" t="inlineStr">
        <is>
          <t>외부감사대상</t>
        </is>
      </c>
      <c r="W782" s="6" t="inlineStr">
        <is>
          <t>1994-06-10</t>
        </is>
      </c>
      <c r="X782" t="inlineStr">
        <is>
          <t>KRI:10C1061900</t>
        </is>
      </c>
      <c r="Y782" t="inlineStr">
        <is>
          <t>기타 곡물 가공품 제조업</t>
        </is>
      </c>
      <c r="Z782" t="inlineStr">
        <is>
          <t>혼합조제분말 제조/농,수,축산물,제과,제빵재료,기계류,전자제품등공산품,의류,완구,잡화 도소매,무역</t>
        </is>
      </c>
      <c r="AA782" t="inlineStr">
        <is>
          <t>경북 영천시 신녕면 완전리 700-7번지</t>
        </is>
      </c>
      <c r="AB782" t="inlineStr">
        <is>
          <t>경북 영천시 신녕면 완전공단길 23</t>
        </is>
      </c>
    </row>
    <row r="783" ht="19.2" customHeight="1" s="1">
      <c r="A783" t="inlineStr">
        <is>
          <t>NICE:612626</t>
        </is>
      </c>
      <c r="B783" t="inlineStr">
        <is>
          <t>한화커넥트</t>
        </is>
      </c>
      <c r="C783" s="5" t="n">
        <v>568631973000</v>
      </c>
      <c r="D783" s="5" t="n">
        <v>366703271000</v>
      </c>
      <c r="E783" s="5" t="n">
        <v>201928702000</v>
      </c>
      <c r="F783" s="5" t="n">
        <v>201563379000</v>
      </c>
      <c r="G783" s="5" t="n">
        <v>40366277000</v>
      </c>
      <c r="H783" s="5" t="n">
        <v>184445085000</v>
      </c>
      <c r="I783" s="5" t="n">
        <v>33855934000</v>
      </c>
      <c r="J783" s="4" t="n">
        <v>0.9477999806404114</v>
      </c>
      <c r="K783" s="4" t="n">
        <v>1.815999984741211</v>
      </c>
      <c r="L783" s="4" t="n">
        <v>0.200300008058548</v>
      </c>
      <c r="M783" t="inlineStr">
        <is>
          <t>김은희</t>
        </is>
      </c>
      <c r="N783" t="inlineStr">
        <is>
          <t>02-390-4021</t>
        </is>
      </c>
      <c r="O783" t="inlineStr">
        <is>
          <t>02-390-4004</t>
        </is>
      </c>
      <c r="P783" s="3">
        <f>HYPERLINK("http://www.hanwhaconnect.co.kr", "http://www.hanwhaconnect.co.kr")</f>
        <v/>
      </c>
      <c r="Q783" t="inlineStr">
        <is>
          <t>1048118780</t>
        </is>
      </c>
      <c r="R783" t="inlineStr">
        <is>
          <t>1101110544133</t>
        </is>
      </c>
      <c r="S783" t="inlineStr">
        <is>
          <t>대상아님</t>
        </is>
      </c>
      <c r="T783" t="inlineStr">
        <is>
          <t>일반법인</t>
        </is>
      </c>
      <c r="U783" t="inlineStr">
        <is>
          <t>대기업</t>
        </is>
      </c>
      <c r="V783" t="inlineStr">
        <is>
          <t>외부감사대상</t>
        </is>
      </c>
      <c r="W783" s="6" t="inlineStr">
        <is>
          <t>1987-09-14</t>
        </is>
      </c>
      <c r="X783" t="inlineStr">
        <is>
          <t>KRI:10G4711100</t>
        </is>
      </c>
      <c r="Y783" t="inlineStr">
        <is>
          <t>백화점</t>
        </is>
      </c>
      <c r="Z783" t="inlineStr">
        <is>
          <t>백화점/점포,사무실 임대/주차장 운영</t>
        </is>
      </c>
      <c r="AA783" t="inlineStr">
        <is>
          <t>서울 중구 봉래동2가 122-11번지</t>
        </is>
      </c>
      <c r="AB783" t="inlineStr">
        <is>
          <t>서울 중구 한강대로 405</t>
        </is>
      </c>
    </row>
    <row r="784" s="1">
      <c r="A784" t="inlineStr">
        <is>
          <t>NICE:500720</t>
        </is>
      </c>
      <c r="B784" t="inlineStr">
        <is>
          <t>경남기업</t>
        </is>
      </c>
      <c r="C784" s="5" t="n">
        <v>681400795000</v>
      </c>
      <c r="D784" s="5" t="n">
        <v>396159139000</v>
      </c>
      <c r="E784" s="5" t="n">
        <v>285241656000</v>
      </c>
      <c r="F784" s="5" t="n">
        <v>394516846000</v>
      </c>
      <c r="G784" s="5" t="n">
        <v>62577107000</v>
      </c>
      <c r="H784" s="5" t="n">
        <v>540356210000</v>
      </c>
      <c r="I784" s="5" t="n">
        <v>28609461000</v>
      </c>
      <c r="J784" s="4" t="n">
        <v>1.60699987411499</v>
      </c>
      <c r="K784" s="4" t="n">
        <v>1.388899922370911</v>
      </c>
      <c r="L784" s="4" t="n">
        <v>0.1585999876260757</v>
      </c>
      <c r="M784" t="inlineStr">
        <is>
          <t>이기동</t>
        </is>
      </c>
      <c r="N784" t="inlineStr">
        <is>
          <t>041-533-1297</t>
        </is>
      </c>
      <c r="O784" t="inlineStr">
        <is>
          <t>041-533-1298</t>
        </is>
      </c>
      <c r="P784">
        <f>HYPERLINK("http://www.kne.co.kr", "http://www.kne.co.kr")</f>
        <v/>
      </c>
      <c r="Q784" t="inlineStr">
        <is>
          <t>1168105522</t>
        </is>
      </c>
      <c r="R784" t="inlineStr">
        <is>
          <t>1101110008262</t>
        </is>
      </c>
      <c r="S784" t="inlineStr">
        <is>
          <t>제3시장</t>
        </is>
      </c>
      <c r="T784" t="inlineStr">
        <is>
          <t>일반법인</t>
        </is>
      </c>
      <c r="U784" t="inlineStr">
        <is>
          <t>대기업</t>
        </is>
      </c>
      <c r="V784" t="inlineStr">
        <is>
          <t>외부감사대상</t>
        </is>
      </c>
      <c r="W784" s="6" t="inlineStr">
        <is>
          <t>1951-08-29</t>
        </is>
      </c>
      <c r="X784" t="inlineStr">
        <is>
          <t>KRI:10F4111200</t>
        </is>
      </c>
      <c r="Y784" t="inlineStr">
        <is>
          <t>아파트 건설업</t>
        </is>
      </c>
      <c r="Z784" t="inlineStr">
        <is>
          <t>아파트공사,토목공사,건축공사,주택신축판매,전기통신공사,상하수도설비공사,냉난방공사</t>
        </is>
      </c>
      <c r="AA784" t="inlineStr">
        <is>
          <t>충남 아산시 배방읍 공수리 1738번지 상가 101호</t>
        </is>
      </c>
      <c r="AB784" t="inlineStr">
        <is>
          <t>충남 아산시 배방읍 모산로 38-11, 상가 101호</t>
        </is>
      </c>
    </row>
    <row r="785" ht="19.2" customHeight="1" s="1">
      <c r="A785" t="inlineStr">
        <is>
          <t>NICE:JU9500</t>
        </is>
      </c>
      <c r="B785" t="inlineStr">
        <is>
          <t>지멘스에너지</t>
        </is>
      </c>
      <c r="C785" s="5" t="n">
        <v>308702522000</v>
      </c>
      <c r="D785" s="5" t="n">
        <v>235752087000</v>
      </c>
      <c r="E785" s="5" t="n">
        <v>72950435000</v>
      </c>
      <c r="F785" s="5" t="n">
        <v>148689582000</v>
      </c>
      <c r="G785" s="5" t="n">
        <v>27808601000</v>
      </c>
      <c r="H785" s="5" t="n">
        <v>222597581000</v>
      </c>
      <c r="I785" s="5" t="n">
        <v>42643830000</v>
      </c>
      <c r="J785" s="4" t="n">
        <v>2.363099813461304</v>
      </c>
      <c r="K785" s="4" t="n">
        <v>3.23169994354248</v>
      </c>
      <c r="L785" s="4" t="n">
        <v>0.1870000064373016</v>
      </c>
      <c r="M785" t="inlineStr">
        <is>
          <t>토르비에른레이프포르스</t>
        </is>
      </c>
      <c r="N785" t="inlineStr">
        <is>
          <t>02-6240-6400</t>
        </is>
      </c>
      <c r="O785" t="inlineStr">
        <is>
          <t>02-6240-6451</t>
        </is>
      </c>
      <c r="P785" s="3" t="n"/>
      <c r="Q785" t="inlineStr">
        <is>
          <t>4258701820</t>
        </is>
      </c>
      <c r="R785" t="inlineStr">
        <is>
          <t>1101140250099</t>
        </is>
      </c>
      <c r="S785" t="inlineStr">
        <is>
          <t>대상아님</t>
        </is>
      </c>
      <c r="T785" t="inlineStr">
        <is>
          <t>일반법인</t>
        </is>
      </c>
      <c r="U785" t="inlineStr">
        <is>
          <t>중소기업</t>
        </is>
      </c>
      <c r="V785" t="inlineStr">
        <is>
          <t>외부감사대상</t>
        </is>
      </c>
      <c r="W785" s="6" t="inlineStr">
        <is>
          <t>2019-10-25</t>
        </is>
      </c>
      <c r="X785" t="inlineStr">
        <is>
          <t>KRI:10M7212900</t>
        </is>
      </c>
      <c r="Y785" t="inlineStr">
        <is>
          <t>기타 엔지니어링 서비스업</t>
        </is>
      </c>
      <c r="Z785" t="inlineStr">
        <is>
          <t>해외 엔지니어링/산업생산시설종합건설공사,일반전기공사/기계장비,물품 도소매</t>
        </is>
      </c>
      <c r="AA785" t="inlineStr">
        <is>
          <t>서울 종로구 청진동 246번지</t>
        </is>
      </c>
      <c r="AB785" t="inlineStr">
        <is>
          <t>서울 종로구 종로3길 17</t>
        </is>
      </c>
    </row>
    <row r="786" s="1">
      <c r="A786" t="inlineStr">
        <is>
          <t>NICE:364253</t>
        </is>
      </c>
      <c r="B786" t="inlineStr">
        <is>
          <t>피앤피시큐어</t>
        </is>
      </c>
      <c r="C786" s="5" t="n">
        <v>142842962000</v>
      </c>
      <c r="D786" s="5" t="n">
        <v>62560458000</v>
      </c>
      <c r="E786" s="5" t="n">
        <v>80282505000</v>
      </c>
      <c r="F786" s="5" t="n">
        <v>61192794000</v>
      </c>
      <c r="G786" s="5" t="n">
        <v>27790614000</v>
      </c>
      <c r="H786" s="5" t="n">
        <v>62370438000</v>
      </c>
      <c r="I786" s="5" t="n">
        <v>30003776000</v>
      </c>
      <c r="J786" s="4" t="n">
        <v>1.709199905395508</v>
      </c>
      <c r="K786" s="4" t="n">
        <v>0.7792999744415283</v>
      </c>
      <c r="L786" s="4" t="n">
        <v>0.4540999829769135</v>
      </c>
      <c r="M786" t="inlineStr">
        <is>
          <t>박천오</t>
        </is>
      </c>
      <c r="N786" t="inlineStr">
        <is>
          <t>1670-9295</t>
        </is>
      </c>
      <c r="O786" t="inlineStr">
        <is>
          <t>02-6988-1299</t>
        </is>
      </c>
      <c r="P786">
        <f>HYPERLINK("http://www.pnpsecure.com", "http://www.pnpsecure.com")</f>
        <v/>
      </c>
      <c r="Q786" t="inlineStr">
        <is>
          <t>1078644093</t>
        </is>
      </c>
      <c r="R786" t="inlineStr">
        <is>
          <t>1101112925612</t>
        </is>
      </c>
      <c r="S786" t="inlineStr">
        <is>
          <t>대상아님</t>
        </is>
      </c>
      <c r="T786" t="inlineStr">
        <is>
          <t>일반법인</t>
        </is>
      </c>
      <c r="U786" t="inlineStr">
        <is>
          <t>중소기업</t>
        </is>
      </c>
      <c r="V786" t="inlineStr">
        <is>
          <t>외부감사대상</t>
        </is>
      </c>
      <c r="W786" s="6" t="inlineStr">
        <is>
          <t>2003-12-30</t>
        </is>
      </c>
      <c r="X786" t="inlineStr">
        <is>
          <t>KRI:10J5822200</t>
        </is>
      </c>
      <c r="Y786" t="inlineStr">
        <is>
          <t>응용 소프트웨어 개발 및 공급업</t>
        </is>
      </c>
      <c r="Z786" t="inlineStr">
        <is>
          <t>소프트웨어 개발,공급/컴퓨터 제조,수출</t>
        </is>
      </c>
      <c r="AA786" t="inlineStr">
        <is>
          <t>서울 강서구 마곡동 755-7번지 피앤피스테이션</t>
        </is>
      </c>
      <c r="AB786" t="inlineStr">
        <is>
          <t>서울 강서구 마곡서로 182 (마곡동,피앤피스테이션)</t>
        </is>
      </c>
    </row>
    <row r="787" s="1">
      <c r="A787" t="inlineStr">
        <is>
          <t>NICE:910740</t>
        </is>
      </c>
      <c r="B787" t="inlineStr">
        <is>
          <t>동부산컨트리클럽</t>
        </is>
      </c>
      <c r="C787" s="5" t="n">
        <v>121674238000</v>
      </c>
      <c r="D787" s="5" t="n">
        <v>100245669000</v>
      </c>
      <c r="E787" s="5" t="n">
        <v>21428569000</v>
      </c>
      <c r="F787" s="5" t="n">
        <v>20531013000</v>
      </c>
      <c r="G787" s="5" t="n">
        <v>5712614000</v>
      </c>
      <c r="H787" s="5" t="n">
        <v>23944279000</v>
      </c>
      <c r="I787" s="5" t="n">
        <v>7012983000</v>
      </c>
      <c r="J787" s="4" t="n">
        <v>0.3114999830722809</v>
      </c>
      <c r="K787" s="4" t="n">
        <v>4.678100109100342</v>
      </c>
      <c r="L787" s="4" t="n">
        <v>0.2782000005245209</v>
      </c>
      <c r="M787" t="inlineStr">
        <is>
          <t>최성필</t>
        </is>
      </c>
      <c r="N787" t="inlineStr">
        <is>
          <t>055-388-1315-7</t>
        </is>
      </c>
      <c r="O787" t="inlineStr">
        <is>
          <t>055-388-1318</t>
        </is>
      </c>
      <c r="P787">
        <f>HYPERLINK("http://www.dongpusancc.co.kr", "http://www.dongpusancc.co.kr")</f>
        <v/>
      </c>
      <c r="Q787" t="inlineStr">
        <is>
          <t>6218109525</t>
        </is>
      </c>
      <c r="R787" t="inlineStr">
        <is>
          <t>1845110004660</t>
        </is>
      </c>
      <c r="S787" t="inlineStr">
        <is>
          <t>대상아님</t>
        </is>
      </c>
      <c r="T787" t="inlineStr">
        <is>
          <t>일반법인</t>
        </is>
      </c>
      <c r="U787" t="inlineStr">
        <is>
          <t>중소기업</t>
        </is>
      </c>
      <c r="V787" t="inlineStr">
        <is>
          <t>외부감사대상</t>
        </is>
      </c>
      <c r="W787" s="6" t="inlineStr">
        <is>
          <t>1989-07-03</t>
        </is>
      </c>
      <c r="X787" t="inlineStr">
        <is>
          <t>KRI:10R9112100</t>
        </is>
      </c>
      <c r="Y787" t="inlineStr">
        <is>
          <t>골프장 운영업</t>
        </is>
      </c>
      <c r="Z787" t="inlineStr">
        <is>
          <t>골프장 운영</t>
        </is>
      </c>
      <c r="AA787" t="inlineStr">
        <is>
          <t>경남 양산시 매곡동 산100번지</t>
        </is>
      </c>
      <c r="AB787" t="inlineStr">
        <is>
          <t>경남 양산시 매곡외산로 282</t>
        </is>
      </c>
    </row>
    <row r="788" s="1">
      <c r="A788" t="inlineStr">
        <is>
          <t>NICE:E73798</t>
        </is>
      </c>
      <c r="B788" t="inlineStr">
        <is>
          <t>다이킨코리아</t>
        </is>
      </c>
      <c r="C788" s="5" t="n">
        <v>117920097000</v>
      </c>
      <c r="D788" s="5" t="n">
        <v>30587556000</v>
      </c>
      <c r="E788" s="5" t="n">
        <v>87332541000</v>
      </c>
      <c r="F788" s="5" t="n">
        <v>172506576000</v>
      </c>
      <c r="G788" s="5" t="n">
        <v>20851880000</v>
      </c>
      <c r="H788" s="5" t="n">
        <v>148333754000</v>
      </c>
      <c r="I788" s="5" t="n">
        <v>24682298000</v>
      </c>
      <c r="J788" s="4" t="n">
        <v>3.128200054168701</v>
      </c>
      <c r="K788" s="4" t="n">
        <v>0.3501999974250793</v>
      </c>
      <c r="L788" s="4" t="n">
        <v>0.120899997651577</v>
      </c>
      <c r="M788" t="inlineStr">
        <is>
          <t>토리이히로시</t>
        </is>
      </c>
      <c r="N788" t="inlineStr">
        <is>
          <t>02-568-1722</t>
        </is>
      </c>
      <c r="O788" t="inlineStr">
        <is>
          <t>02-573-1620</t>
        </is>
      </c>
      <c r="P788">
        <f>HYPERLINK("http://www.daikin-korea.co.kr", "http://www.daikin-korea.co.kr")</f>
        <v/>
      </c>
      <c r="Q788" t="inlineStr">
        <is>
          <t>2148829147</t>
        </is>
      </c>
      <c r="R788" t="inlineStr">
        <is>
          <t>1101113928459</t>
        </is>
      </c>
      <c r="S788" t="inlineStr">
        <is>
          <t>대상아님</t>
        </is>
      </c>
      <c r="T788" t="inlineStr">
        <is>
          <t>일반법인</t>
        </is>
      </c>
      <c r="U788" t="inlineStr">
        <is>
          <t>중소기업</t>
        </is>
      </c>
      <c r="V788" t="inlineStr">
        <is>
          <t>외부감사대상</t>
        </is>
      </c>
      <c r="W788" s="6" t="inlineStr">
        <is>
          <t>2008-07-04</t>
        </is>
      </c>
      <c r="X788" t="inlineStr">
        <is>
          <t>KRI:10G4673900</t>
        </is>
      </c>
      <c r="Y788" t="inlineStr">
        <is>
          <t>기타 화학물질 및 화학제품 도매업</t>
        </is>
      </c>
      <c r="Z788" t="inlineStr">
        <is>
          <t>불소계화학제품 도매,제조,가공</t>
        </is>
      </c>
      <c r="AA788" t="inlineStr">
        <is>
          <t>서울 강남구 역삼동 677-25번지 602호</t>
        </is>
      </c>
      <c r="AB788" t="inlineStr">
        <is>
          <t>서울 강남구 테헤란로 223, 602호</t>
        </is>
      </c>
    </row>
    <row r="789" ht="19.2" customHeight="1" s="1">
      <c r="A789" t="inlineStr">
        <is>
          <t>NICE:JP0074</t>
        </is>
      </c>
      <c r="B789" t="inlineStr">
        <is>
          <t>이삼오구</t>
        </is>
      </c>
      <c r="C789" s="5" t="n">
        <v>75564122000</v>
      </c>
      <c r="D789" s="5" t="n">
        <v>32024025000</v>
      </c>
      <c r="E789" s="5" t="n">
        <v>43540096000</v>
      </c>
      <c r="F789" s="5" t="n">
        <v>176847277000</v>
      </c>
      <c r="G789" s="5" t="n">
        <v>26126703000</v>
      </c>
      <c r="H789" s="5" t="n">
        <v>129444980000</v>
      </c>
      <c r="I789" s="5" t="n">
        <v>11188132000</v>
      </c>
      <c r="J789" s="4" t="n">
        <v>1.798999905586243</v>
      </c>
      <c r="K789" s="4" t="n">
        <v>0.7355000376701355</v>
      </c>
      <c r="L789" s="4" t="n">
        <v>0.1476999968290329</v>
      </c>
      <c r="M789" t="inlineStr">
        <is>
          <t>주재형</t>
        </is>
      </c>
      <c r="N789" t="inlineStr">
        <is>
          <t>02-6094-9006</t>
        </is>
      </c>
      <c r="O789" t="inlineStr">
        <is>
          <t>02-6094-2359</t>
        </is>
      </c>
      <c r="P789" s="3">
        <f>HYPERLINK("https://2359.co.kr", "https://2359.co.kr")</f>
        <v/>
      </c>
      <c r="Q789" t="inlineStr">
        <is>
          <t>4658101281</t>
        </is>
      </c>
      <c r="R789" t="inlineStr">
        <is>
          <t>1101117105409</t>
        </is>
      </c>
      <c r="S789" t="inlineStr">
        <is>
          <t>대상아님</t>
        </is>
      </c>
      <c r="T789" t="inlineStr">
        <is>
          <t>일반법인</t>
        </is>
      </c>
      <c r="U789" t="inlineStr">
        <is>
          <t>중소기업</t>
        </is>
      </c>
      <c r="V789" t="inlineStr">
        <is>
          <t>외부감사대상</t>
        </is>
      </c>
      <c r="W789" s="6" t="inlineStr">
        <is>
          <t>2019-05-14</t>
        </is>
      </c>
      <c r="X789" t="inlineStr">
        <is>
          <t>KRI:10C1079700</t>
        </is>
      </c>
      <c r="Y789" t="inlineStr">
        <is>
          <t>건강기능식품 제조업</t>
        </is>
      </c>
      <c r="Z789" t="inlineStr">
        <is>
          <t>건강기능식품,화장품 제조/전자상거래,건강보조식품,식품 소매</t>
        </is>
      </c>
      <c r="AA789" t="inlineStr">
        <is>
          <t>서울 강남구 논현동 38-3번지</t>
        </is>
      </c>
      <c r="AB789" t="inlineStr">
        <is>
          <t>서울 강남구 학동로23길 18</t>
        </is>
      </c>
    </row>
    <row r="790" ht="19.2" customHeight="1" s="1">
      <c r="A790" t="inlineStr">
        <is>
          <t>NICE:J45852</t>
        </is>
      </c>
      <c r="B790" t="inlineStr">
        <is>
          <t>디스코하이테크코리아</t>
        </is>
      </c>
      <c r="C790" s="5" t="n">
        <v>51449564000</v>
      </c>
      <c r="D790" s="5" t="n">
        <v>17123137000</v>
      </c>
      <c r="E790" s="5" t="n">
        <v>34326427000</v>
      </c>
      <c r="F790" s="5" t="n">
        <v>88999894000</v>
      </c>
      <c r="G790" s="5" t="n">
        <v>19236213000</v>
      </c>
      <c r="H790" s="5" t="n">
        <v>48495222000</v>
      </c>
      <c r="I790" s="5" t="n">
        <v>1640187000</v>
      </c>
      <c r="J790" s="4" t="n">
        <v>2.470599889755249</v>
      </c>
      <c r="K790" s="4" t="n">
        <v>0.4988000094890594</v>
      </c>
      <c r="L790" s="4" t="n">
        <v>0.2161000072956085</v>
      </c>
      <c r="M790" t="inlineStr">
        <is>
          <t>와타나베하야토/요시나가노보루</t>
        </is>
      </c>
      <c r="N790" t="inlineStr">
        <is>
          <t>031-8038-8240</t>
        </is>
      </c>
      <c r="O790" t="inlineStr">
        <is>
          <t>031-8038-8241</t>
        </is>
      </c>
      <c r="P790" s="3">
        <f>HYPERLINK("http://www.disco.co.jp", "http://www.disco.co.jp")</f>
        <v/>
      </c>
      <c r="Q790" t="inlineStr">
        <is>
          <t>2648101505</t>
        </is>
      </c>
      <c r="R790" t="inlineStr">
        <is>
          <t>1101114930312</t>
        </is>
      </c>
      <c r="S790" t="inlineStr">
        <is>
          <t>대상아님</t>
        </is>
      </c>
      <c r="T790" t="inlineStr">
        <is>
          <t>일반법인</t>
        </is>
      </c>
      <c r="U790" t="inlineStr">
        <is>
          <t>중견기업</t>
        </is>
      </c>
      <c r="V790" t="inlineStr">
        <is>
          <t>외부감사대상</t>
        </is>
      </c>
      <c r="W790" s="6" t="inlineStr">
        <is>
          <t>2012-08-01</t>
        </is>
      </c>
      <c r="X790" t="inlineStr">
        <is>
          <t>KRI:10G4659500</t>
        </is>
      </c>
      <c r="Y790" t="inlineStr">
        <is>
          <t>전기용 기계ㆍ장비 및 관련 기자재 도매업</t>
        </is>
      </c>
      <c r="Z790" t="inlineStr">
        <is>
          <t>반도체,전자부품,제조장치 도매</t>
        </is>
      </c>
      <c r="AA790" t="inlineStr">
        <is>
          <t>경기 성남시 분당구 삼평동 612-2번지</t>
        </is>
      </c>
      <c r="AB790" t="inlineStr">
        <is>
          <t>경기 성남시 분당구 판교로255번길 28</t>
        </is>
      </c>
    </row>
    <row r="791" ht="19.2" customHeight="1" s="1">
      <c r="A791" t="inlineStr">
        <is>
          <t>NICE:995051</t>
        </is>
      </c>
      <c r="B791" t="inlineStr">
        <is>
          <t>용우</t>
        </is>
      </c>
      <c r="C791" s="5" t="n">
        <v>36129607000</v>
      </c>
      <c r="D791" s="5" t="n">
        <v>26428317000</v>
      </c>
      <c r="E791" s="5" t="n">
        <v>9701290000</v>
      </c>
      <c r="F791" s="5" t="n">
        <v>27743645000</v>
      </c>
      <c r="G791" s="5" t="n">
        <v>3578199000</v>
      </c>
      <c r="H791" s="5" t="n">
        <v>20454720000</v>
      </c>
      <c r="I791" s="5" t="n">
        <v>2941111000</v>
      </c>
      <c r="J791" s="4" t="n">
        <v>0.2880999743938446</v>
      </c>
      <c r="K791" s="4" t="n">
        <v>2.724200010299683</v>
      </c>
      <c r="L791" s="4" t="n">
        <v>0.1289999932050705</v>
      </c>
      <c r="M791" t="inlineStr">
        <is>
          <t>장종태</t>
        </is>
      </c>
      <c r="N791" t="inlineStr">
        <is>
          <t>055-912-3700</t>
        </is>
      </c>
      <c r="O791" t="inlineStr">
        <is>
          <t>055-912-3701</t>
        </is>
      </c>
      <c r="P791" s="3" t="n"/>
      <c r="Q791" t="inlineStr">
        <is>
          <t>6158160231</t>
        </is>
      </c>
      <c r="R791" t="inlineStr">
        <is>
          <t>1955110104417</t>
        </is>
      </c>
      <c r="S791" t="inlineStr">
        <is>
          <t>대상아님</t>
        </is>
      </c>
      <c r="T791" t="inlineStr">
        <is>
          <t>일반법인</t>
        </is>
      </c>
      <c r="U791" t="inlineStr">
        <is>
          <t>중소기업</t>
        </is>
      </c>
      <c r="V791" t="inlineStr">
        <is>
          <t>외부감사대상</t>
        </is>
      </c>
      <c r="W791" s="6" t="inlineStr">
        <is>
          <t>1998-06-01</t>
        </is>
      </c>
      <c r="X791" t="inlineStr">
        <is>
          <t>KRI:10C2811200</t>
        </is>
      </c>
      <c r="Y791" t="inlineStr">
        <is>
          <t>변압기 제조업</t>
        </is>
      </c>
      <c r="Z791" t="inlineStr">
        <is>
          <t>변압기,변압기절연물,선박구성부분품 제조/보관,창고</t>
        </is>
      </c>
      <c r="AA791" t="inlineStr">
        <is>
          <t>경남 양산시 매곡동 1119번지</t>
        </is>
      </c>
      <c r="AB791" t="inlineStr">
        <is>
          <t>경남 양산시 그린공단3길 30</t>
        </is>
      </c>
    </row>
    <row r="792" ht="19.2" customHeight="1" s="1">
      <c r="A792" t="inlineStr">
        <is>
          <t>NICE:J08669</t>
        </is>
      </c>
      <c r="B792" t="inlineStr">
        <is>
          <t>스마트삼육</t>
        </is>
      </c>
      <c r="C792" s="5" t="n">
        <v>32204750000</v>
      </c>
      <c r="D792" s="5" t="n">
        <v>14077894000</v>
      </c>
      <c r="E792" s="5" t="n">
        <v>18126856000</v>
      </c>
      <c r="F792" s="5" t="n">
        <v>61329419000</v>
      </c>
      <c r="G792" s="5" t="n">
        <v>16049892000</v>
      </c>
      <c r="H792" s="5" t="n">
        <v>89008905000</v>
      </c>
      <c r="I792" s="5" t="n">
        <v>26519195000</v>
      </c>
      <c r="J792" s="4" t="n">
        <v>1.96619987487793</v>
      </c>
      <c r="K792" s="4" t="n">
        <v>0.7766000032424927</v>
      </c>
      <c r="L792" s="4" t="n">
        <v>0.2617000043392181</v>
      </c>
      <c r="M792" t="inlineStr">
        <is>
          <t>강철</t>
        </is>
      </c>
      <c r="N792" t="inlineStr">
        <is>
          <t>02-521-2310</t>
        </is>
      </c>
      <c r="O792" t="inlineStr">
        <is>
          <t>02-861-8449</t>
        </is>
      </c>
      <c r="P792" s="3">
        <f>HYPERLINK("http://www.smart36.co.kr", "http://www.smart36.co.kr")</f>
        <v/>
      </c>
      <c r="Q792" t="inlineStr">
        <is>
          <t>1078792743</t>
        </is>
      </c>
      <c r="R792" t="inlineStr">
        <is>
          <t>1101115102316</t>
        </is>
      </c>
      <c r="S792" t="inlineStr">
        <is>
          <t>대상아님</t>
        </is>
      </c>
      <c r="T792" t="inlineStr">
        <is>
          <t>일반법인</t>
        </is>
      </c>
      <c r="U792" t="inlineStr">
        <is>
          <t>중소기업</t>
        </is>
      </c>
      <c r="V792" t="inlineStr">
        <is>
          <t>외부감사대상</t>
        </is>
      </c>
      <c r="W792" s="6" t="inlineStr">
        <is>
          <t>2013-04-01</t>
        </is>
      </c>
      <c r="X792" t="inlineStr">
        <is>
          <t>KRI:10G4652100</t>
        </is>
      </c>
      <c r="Y792" t="inlineStr">
        <is>
          <t>가전제품 및 부품 도매업</t>
        </is>
      </c>
      <c r="Z792" t="inlineStr">
        <is>
          <t>전자제품,가정용품,생활용품,잡화 도소매,무역,전자상거래</t>
        </is>
      </c>
      <c r="AA792" t="inlineStr">
        <is>
          <t>서울 금천구 가산동 60-3번지 대륭포스트타워5차 506호</t>
        </is>
      </c>
      <c r="AB792" t="inlineStr">
        <is>
          <t>서울 금천구 디지털로9길 68, 506호 (가산동,대륭포스트타워5차)</t>
        </is>
      </c>
    </row>
    <row r="793" ht="19.2" customHeight="1" s="1">
      <c r="A793" t="inlineStr">
        <is>
          <t>NICE:OM2388</t>
        </is>
      </c>
      <c r="B793" t="inlineStr">
        <is>
          <t>서진팜</t>
        </is>
      </c>
      <c r="C793" s="5" t="n">
        <v>30048433000</v>
      </c>
      <c r="D793" s="5" t="n">
        <v>15851407000</v>
      </c>
      <c r="E793" s="5" t="n">
        <v>14197026000</v>
      </c>
      <c r="F793" s="5" t="n">
        <v>23922239000</v>
      </c>
      <c r="G793" s="5" t="n">
        <v>3899670000</v>
      </c>
      <c r="H793" s="5" t="n">
        <v>22926411000</v>
      </c>
      <c r="I793" s="5" t="n">
        <v>4475116000</v>
      </c>
      <c r="J793" s="4" t="n">
        <v>0.8592999577522278</v>
      </c>
      <c r="K793" s="4" t="n">
        <v>1.116500020027161</v>
      </c>
      <c r="L793" s="4" t="n">
        <v>0.1629999876022339</v>
      </c>
      <c r="M793" t="inlineStr">
        <is>
          <t>권순호</t>
        </is>
      </c>
      <c r="P793" s="3" t="n"/>
      <c r="Q793" t="inlineStr">
        <is>
          <t>3158702143</t>
        </is>
      </c>
      <c r="R793" t="inlineStr">
        <is>
          <t>1711110049510</t>
        </is>
      </c>
      <c r="S793" t="inlineStr">
        <is>
          <t>대상아님</t>
        </is>
      </c>
      <c r="T793" t="inlineStr">
        <is>
          <t>일반법인</t>
        </is>
      </c>
      <c r="U793" t="inlineStr">
        <is>
          <t>중소기업</t>
        </is>
      </c>
      <c r="V793" t="inlineStr">
        <is>
          <t>외부감사대상</t>
        </is>
      </c>
      <c r="W793" s="6" t="inlineStr">
        <is>
          <t>2021-06-25</t>
        </is>
      </c>
      <c r="X793" t="inlineStr">
        <is>
          <t>KRI:10G4644100</t>
        </is>
      </c>
      <c r="Y793" t="inlineStr">
        <is>
          <t>의약품 도매업</t>
        </is>
      </c>
      <c r="Z793" t="inlineStr">
        <is>
          <t>의약품 도매업</t>
        </is>
      </c>
      <c r="AA793" t="inlineStr">
        <is>
          <t>경북 안동시 용상동 1517-255번지 성곡하우스 2층 202호</t>
        </is>
      </c>
      <c r="AB793" t="inlineStr">
        <is>
          <t>경북 안동시 중평길 107-22, 2층 202호 (용상동,성곡하우스)</t>
        </is>
      </c>
    </row>
    <row r="794" ht="19.2" customHeight="1" s="1">
      <c r="A794" t="inlineStr">
        <is>
          <t>NICE:M38690</t>
        </is>
      </c>
      <c r="B794" t="inlineStr">
        <is>
          <t>에스지씨그린파워</t>
        </is>
      </c>
      <c r="C794" s="5" t="n">
        <v>357128087000</v>
      </c>
      <c r="D794" s="5" t="n">
        <v>245017235000</v>
      </c>
      <c r="E794" s="5" t="n">
        <v>112110851000</v>
      </c>
      <c r="F794" s="5" t="n">
        <v>181064359000</v>
      </c>
      <c r="G794" s="5" t="n">
        <v>18514554000</v>
      </c>
      <c r="H794" s="5" t="n">
        <v>194126061000</v>
      </c>
      <c r="I794" s="5" t="n">
        <v>53911871000</v>
      </c>
      <c r="J794" s="4" t="n">
        <v>1.046299934387207</v>
      </c>
      <c r="K794" s="4" t="n">
        <v>2.185499906539917</v>
      </c>
      <c r="L794" s="4" t="n">
        <v>0.1022999957203865</v>
      </c>
      <c r="M794" t="inlineStr">
        <is>
          <t>박준영</t>
        </is>
      </c>
      <c r="N794" t="inlineStr">
        <is>
          <t>063-460-7200</t>
        </is>
      </c>
      <c r="O794" t="inlineStr">
        <is>
          <t>063-469-7200</t>
        </is>
      </c>
      <c r="P794" s="3">
        <f>HYPERLINK("http://www.sgcgreenpower.co.kr", "http://www.sgcgreenpower.co.kr")</f>
        <v/>
      </c>
      <c r="Q794" t="inlineStr">
        <is>
          <t>4018156346</t>
        </is>
      </c>
      <c r="R794" t="inlineStr">
        <is>
          <t>2111110042698</t>
        </is>
      </c>
      <c r="S794" t="inlineStr">
        <is>
          <t>대상아님</t>
        </is>
      </c>
      <c r="T794" t="inlineStr">
        <is>
          <t>일반법인</t>
        </is>
      </c>
      <c r="U794" t="inlineStr">
        <is>
          <t>대기업</t>
        </is>
      </c>
      <c r="V794" t="inlineStr">
        <is>
          <t>외부감사대상</t>
        </is>
      </c>
      <c r="W794" s="6" t="inlineStr">
        <is>
          <t>2014-12-04</t>
        </is>
      </c>
      <c r="X794" t="inlineStr">
        <is>
          <t>KRI:10D3511300</t>
        </is>
      </c>
      <c r="Y794" t="inlineStr">
        <is>
          <t>화력 발전업</t>
        </is>
      </c>
      <c r="Z794" t="inlineStr">
        <is>
          <t>화력 발전,전기/건축자재 도소매</t>
        </is>
      </c>
      <c r="AA794" t="inlineStr">
        <is>
          <t>전북 군산시 비응도동 36-23번지</t>
        </is>
      </c>
      <c r="AB794" t="inlineStr">
        <is>
          <t>전북 군산시 외항로 1331</t>
        </is>
      </c>
    </row>
    <row r="795" ht="19.2" customHeight="1" s="1">
      <c r="A795" t="inlineStr">
        <is>
          <t>NICE:ME7700</t>
        </is>
      </c>
      <c r="B795" t="inlineStr">
        <is>
          <t>부산신항웅동개발</t>
        </is>
      </c>
      <c r="C795" s="5" t="n">
        <v>120307649000</v>
      </c>
      <c r="D795" s="5" t="n">
        <v>72173110000</v>
      </c>
      <c r="E795" s="5" t="n">
        <v>48134538000</v>
      </c>
      <c r="F795" s="5" t="n">
        <v>65504997000</v>
      </c>
      <c r="G795" s="5" t="n">
        <v>7955187000</v>
      </c>
      <c r="H795" s="5" t="n">
        <v>47222364000</v>
      </c>
      <c r="I795" s="5" t="n">
        <v>10461680000</v>
      </c>
      <c r="J795" s="4" t="n">
        <v>1.680599927902222</v>
      </c>
      <c r="K795" s="4" t="n">
        <v>1.499400019645691</v>
      </c>
      <c r="L795" s="4" t="n">
        <v>0.121399998664856</v>
      </c>
      <c r="M795" t="inlineStr">
        <is>
          <t>김석환</t>
        </is>
      </c>
      <c r="N795" t="inlineStr">
        <is>
          <t>055-551-1160</t>
        </is>
      </c>
      <c r="O795" t="inlineStr">
        <is>
          <t>055-551-1161</t>
        </is>
      </c>
      <c r="P795" s="3">
        <f>HYPERLINK("http://www.부산신항웅동개발.com", "http://www.부산신항웅동개발.com")</f>
        <v/>
      </c>
      <c r="Q795" t="inlineStr">
        <is>
          <t>4628602082</t>
        </is>
      </c>
      <c r="R795" t="inlineStr">
        <is>
          <t>1942110330762</t>
        </is>
      </c>
      <c r="S795" t="inlineStr">
        <is>
          <t>대상아님</t>
        </is>
      </c>
      <c r="T795" t="inlineStr">
        <is>
          <t>일반법인</t>
        </is>
      </c>
      <c r="U795" t="inlineStr">
        <is>
          <t>대기업</t>
        </is>
      </c>
      <c r="V795" t="inlineStr">
        <is>
          <t>외부감사대상</t>
        </is>
      </c>
      <c r="W795" s="6" t="inlineStr">
        <is>
          <t>2021-02-26</t>
        </is>
      </c>
      <c r="X795" t="inlineStr">
        <is>
          <t>KRI:10L6821200</t>
        </is>
      </c>
      <c r="Y795" t="inlineStr">
        <is>
          <t>비주거용 부동산 관리업</t>
        </is>
      </c>
      <c r="Z795" t="inlineStr">
        <is>
          <t>부동산 관리,개발,공급</t>
        </is>
      </c>
      <c r="AA795" t="inlineStr">
        <is>
          <t>경남 창원시 진해구 용원동 1343-5번지 신항에비뉴타워 4층</t>
        </is>
      </c>
      <c r="AB795" t="inlineStr">
        <is>
          <t>경남 창원시 진해구 신항4로 47-14, 4층 (용원동,신항에비뉴타워)</t>
        </is>
      </c>
    </row>
    <row r="796" s="1">
      <c r="A796" t="inlineStr">
        <is>
          <t>NICE:990183</t>
        </is>
      </c>
      <c r="B796" t="inlineStr">
        <is>
          <t>가야개발</t>
        </is>
      </c>
      <c r="C796" s="5" t="n">
        <v>245861496000</v>
      </c>
      <c r="D796" s="5" t="n">
        <v>134846045000</v>
      </c>
      <c r="E796" s="5" t="n">
        <v>111015451000</v>
      </c>
      <c r="F796" s="5" t="n">
        <v>41317710000</v>
      </c>
      <c r="G796" s="5" t="n">
        <v>6587540000</v>
      </c>
      <c r="H796" s="5" t="n">
        <v>41936946000</v>
      </c>
      <c r="I796" s="5" t="n">
        <v>8105915000</v>
      </c>
      <c r="J796" s="4" t="n">
        <v>0.0198999997228384</v>
      </c>
      <c r="K796" s="4" t="n">
        <v>1.214699983596802</v>
      </c>
      <c r="L796" s="4" t="n">
        <v>0.1593999862670898</v>
      </c>
      <c r="M796" t="inlineStr">
        <is>
          <t>김영섭/이명근</t>
        </is>
      </c>
      <c r="N796" t="inlineStr">
        <is>
          <t>055-337-0095</t>
        </is>
      </c>
      <c r="O796" t="inlineStr">
        <is>
          <t>055-337-0318</t>
        </is>
      </c>
      <c r="Q796" t="inlineStr">
        <is>
          <t>6228100022</t>
        </is>
      </c>
      <c r="R796" t="inlineStr">
        <is>
          <t>1846110000913</t>
        </is>
      </c>
      <c r="S796" t="inlineStr">
        <is>
          <t>대상아님</t>
        </is>
      </c>
      <c r="T796" t="inlineStr">
        <is>
          <t>일반법인</t>
        </is>
      </c>
      <c r="U796" t="inlineStr">
        <is>
          <t>중소기업</t>
        </is>
      </c>
      <c r="V796" t="inlineStr">
        <is>
          <t>외부감사대상</t>
        </is>
      </c>
      <c r="W796" s="6" t="inlineStr">
        <is>
          <t>1984-02-18</t>
        </is>
      </c>
      <c r="X796" t="inlineStr">
        <is>
          <t>KRI:10R9112100</t>
        </is>
      </c>
      <c r="Y796" t="inlineStr">
        <is>
          <t>골프장 운영업</t>
        </is>
      </c>
      <c r="Z796" t="inlineStr">
        <is>
          <t>골프장,유원지,오락,문화시설 운영/한식음식점/부동산 임대</t>
        </is>
      </c>
      <c r="AA796" t="inlineStr">
        <is>
          <t>경남 김해시 삼방동 산1번지</t>
        </is>
      </c>
      <c r="AB796" t="inlineStr">
        <is>
          <t>경남 김해시 인제로 502</t>
        </is>
      </c>
    </row>
    <row r="797" ht="19.2" customHeight="1" s="1">
      <c r="A797" t="inlineStr">
        <is>
          <t>NICE:367472</t>
        </is>
      </c>
      <c r="B797" t="inlineStr">
        <is>
          <t>세주인터내셔날유한책임회사</t>
        </is>
      </c>
      <c r="C797" s="5" t="n">
        <v>22161134000</v>
      </c>
      <c r="D797" s="5" t="n">
        <v>3568492000</v>
      </c>
      <c r="E797" s="5" t="n">
        <v>18592643000</v>
      </c>
      <c r="F797" s="5" t="n">
        <v>34791041000</v>
      </c>
      <c r="G797" s="5" t="n">
        <v>3604416000</v>
      </c>
      <c r="H797" s="5" t="n">
        <v>37093171000</v>
      </c>
      <c r="I797" s="5" t="n">
        <v>3077677000</v>
      </c>
      <c r="J797" s="4" t="n">
        <v>5.172899723052979</v>
      </c>
      <c r="K797" s="4" t="n">
        <v>0.1918999999761581</v>
      </c>
      <c r="L797" s="4" t="n">
        <v>0.1035999953746796</v>
      </c>
      <c r="M797" t="inlineStr">
        <is>
          <t>강창호</t>
        </is>
      </c>
      <c r="N797" t="inlineStr">
        <is>
          <t>051-465-7587</t>
        </is>
      </c>
      <c r="O797" t="inlineStr">
        <is>
          <t>051-465-7561</t>
        </is>
      </c>
      <c r="P797" s="3">
        <f>HYPERLINK("http://www.sejoo.com", "http://www.sejoo.com")</f>
        <v/>
      </c>
      <c r="Q797" t="inlineStr">
        <is>
          <t>6178125400</t>
        </is>
      </c>
      <c r="R797" t="inlineStr">
        <is>
          <t>1801150001793</t>
        </is>
      </c>
      <c r="S797" t="inlineStr">
        <is>
          <t>대상아님</t>
        </is>
      </c>
      <c r="T797" t="inlineStr">
        <is>
          <t>일반법인</t>
        </is>
      </c>
      <c r="U797" t="inlineStr">
        <is>
          <t>중소기업</t>
        </is>
      </c>
      <c r="V797" t="inlineStr">
        <is>
          <t>외부감사비대상</t>
        </is>
      </c>
      <c r="W797" s="6" t="inlineStr">
        <is>
          <t>1999-10-23</t>
        </is>
      </c>
      <c r="X797" t="inlineStr">
        <is>
          <t>KRI:10H5299200</t>
        </is>
      </c>
      <c r="Y797" t="inlineStr">
        <is>
          <t>화물운송 중개, 대리 및 관련 서비스업</t>
        </is>
      </c>
      <c r="Z797" t="inlineStr">
        <is>
          <t>복합운송주선</t>
        </is>
      </c>
      <c r="AA797" t="inlineStr">
        <is>
          <t>부산 해운대구 재송동 1208-2번지 센텀스카이비즈 A동 1405호</t>
        </is>
      </c>
      <c r="AB797" t="inlineStr">
        <is>
          <t>부산 해운대구 센텀중앙로 97, A동 1405호 (재송동,센텀스카이비즈)</t>
        </is>
      </c>
    </row>
    <row r="798" ht="19.2" customHeight="1" s="1">
      <c r="A798" t="inlineStr">
        <is>
          <t>NICE:T46942</t>
        </is>
      </c>
      <c r="B798" t="inlineStr">
        <is>
          <t>케이티에스해운</t>
        </is>
      </c>
      <c r="C798" s="5" t="n">
        <v>46169272000</v>
      </c>
      <c r="D798" s="5" t="n">
        <v>27869314000</v>
      </c>
      <c r="E798" s="5" t="n">
        <v>18299958000</v>
      </c>
      <c r="F798" s="5" t="n">
        <v>40150158000</v>
      </c>
      <c r="G798" s="5" t="n">
        <v>5645461000</v>
      </c>
      <c r="H798" s="5" t="n">
        <v>37683675000</v>
      </c>
      <c r="I798" s="5" t="n">
        <v>2745791000</v>
      </c>
      <c r="J798" s="4" t="n">
        <v>0.5770999789237976</v>
      </c>
      <c r="K798" s="4" t="n">
        <v>1.522899866104126</v>
      </c>
      <c r="L798" s="4" t="n">
        <v>0.1405999958515167</v>
      </c>
      <c r="M798" t="inlineStr">
        <is>
          <t>조경국</t>
        </is>
      </c>
      <c r="N798" t="inlineStr">
        <is>
          <t>02-711-6901</t>
        </is>
      </c>
      <c r="O798" t="inlineStr">
        <is>
          <t>02-711-6903</t>
        </is>
      </c>
      <c r="P798" s="3" t="n"/>
      <c r="Q798" t="inlineStr">
        <is>
          <t>1058668537</t>
        </is>
      </c>
      <c r="R798" t="inlineStr">
        <is>
          <t>1101113034660</t>
        </is>
      </c>
      <c r="S798" t="inlineStr">
        <is>
          <t>대상아님</t>
        </is>
      </c>
      <c r="T798" t="inlineStr">
        <is>
          <t>일반법인</t>
        </is>
      </c>
      <c r="U798" t="inlineStr">
        <is>
          <t>중소기업</t>
        </is>
      </c>
      <c r="V798" t="inlineStr">
        <is>
          <t>외부감사대상</t>
        </is>
      </c>
      <c r="W798" s="6" t="inlineStr">
        <is>
          <t>2004-06-22</t>
        </is>
      </c>
      <c r="X798" t="inlineStr">
        <is>
          <t>KRI:10H5012200</t>
        </is>
      </c>
      <c r="Y798" t="inlineStr">
        <is>
          <t>내항 화물 운송업</t>
        </is>
      </c>
      <c r="Z798" t="inlineStr">
        <is>
          <t>내항화물 운송</t>
        </is>
      </c>
      <c r="AA798" t="inlineStr">
        <is>
          <t>부산 영도구 남항동3가 141-170번지 케이티에스빌딩 402호</t>
        </is>
      </c>
      <c r="AB798" t="inlineStr">
        <is>
          <t>부산 영도구 남항서로 48, 402호 (남항동3가,케이티에스빌딩)</t>
        </is>
      </c>
    </row>
    <row r="799" s="1">
      <c r="A799" t="inlineStr">
        <is>
          <t>NICE:066182</t>
        </is>
      </c>
      <c r="B799" t="inlineStr">
        <is>
          <t>무림파워텍</t>
        </is>
      </c>
      <c r="C799" s="5" t="n">
        <v>134195570000</v>
      </c>
      <c r="D799" s="5" t="n">
        <v>19699922000</v>
      </c>
      <c r="E799" s="5" t="n">
        <v>114495648000</v>
      </c>
      <c r="F799" s="5" t="n">
        <v>57079710000</v>
      </c>
      <c r="G799" s="5" t="n">
        <v>6329787000</v>
      </c>
      <c r="H799" s="5" t="n">
        <v>61013449000</v>
      </c>
      <c r="I799" s="5" t="n">
        <v>4957444000</v>
      </c>
      <c r="J799" s="4" t="n">
        <v>3.662399768829346</v>
      </c>
      <c r="K799" s="4" t="n">
        <v>0.1720999926328659</v>
      </c>
      <c r="L799" s="4" t="n">
        <v>0.1108999997377396</v>
      </c>
      <c r="M799" t="inlineStr">
        <is>
          <t>임용수</t>
        </is>
      </c>
      <c r="N799" t="inlineStr">
        <is>
          <t>055-760-1100</t>
        </is>
      </c>
      <c r="O799" t="inlineStr">
        <is>
          <t>055-760-1114</t>
        </is>
      </c>
      <c r="P799">
        <f>HYPERLINK("http://www.moorimpowertech.co.kr", "http://www.moorimpowertech.co.kr")</f>
        <v/>
      </c>
      <c r="Q799" t="inlineStr">
        <is>
          <t>6138110695</t>
        </is>
      </c>
      <c r="R799" t="inlineStr">
        <is>
          <t>1911110010575</t>
        </is>
      </c>
      <c r="S799" t="inlineStr">
        <is>
          <t>대상아님</t>
        </is>
      </c>
      <c r="T799" t="inlineStr">
        <is>
          <t>일반법인</t>
        </is>
      </c>
      <c r="U799" t="inlineStr">
        <is>
          <t>중견기업</t>
        </is>
      </c>
      <c r="V799" t="inlineStr">
        <is>
          <t>외부감사대상</t>
        </is>
      </c>
      <c r="W799" s="6" t="inlineStr">
        <is>
          <t>1995-03-30</t>
        </is>
      </c>
      <c r="X799" t="inlineStr">
        <is>
          <t>KRI:10D3530000</t>
        </is>
      </c>
      <c r="Y799" t="inlineStr">
        <is>
          <t>증기, 냉ㆍ온수 및 공기조절 공급업</t>
        </is>
      </c>
      <c r="Z799" t="inlineStr">
        <is>
          <t>증기 공급/화력발전(증기터빈 이용)</t>
        </is>
      </c>
      <c r="AA799" t="inlineStr">
        <is>
          <t>경남 진주시 상대동 41-6번지</t>
        </is>
      </c>
      <c r="AB799" t="inlineStr">
        <is>
          <t>경남 진주시 남강로1317번길 24</t>
        </is>
      </c>
    </row>
    <row r="800" ht="19.2" customHeight="1" s="1">
      <c r="A800" t="inlineStr">
        <is>
          <t>NICE:220796</t>
        </is>
      </c>
      <c r="B800" t="inlineStr">
        <is>
          <t>대흥엠앤티</t>
        </is>
      </c>
      <c r="C800" s="5" t="n">
        <v>67299214000</v>
      </c>
      <c r="D800" s="5" t="n">
        <v>30438147000</v>
      </c>
      <c r="E800" s="5" t="n">
        <v>36861067000</v>
      </c>
      <c r="F800" s="5" t="n">
        <v>135020739000</v>
      </c>
      <c r="G800" s="5" t="n">
        <v>15945922000</v>
      </c>
      <c r="H800" s="5" t="n">
        <v>93508956000</v>
      </c>
      <c r="I800" s="5" t="n">
        <v>6344139000</v>
      </c>
      <c r="J800" s="4" t="n">
        <v>1.575599908828735</v>
      </c>
      <c r="K800" s="4" t="n">
        <v>0.8258000016212463</v>
      </c>
      <c r="L800" s="4" t="n">
        <v>0.1181000024080276</v>
      </c>
      <c r="M800" t="inlineStr">
        <is>
          <t>한재현</t>
        </is>
      </c>
      <c r="N800" t="inlineStr">
        <is>
          <t>031-323-2167</t>
        </is>
      </c>
      <c r="O800" t="inlineStr">
        <is>
          <t>031-323-2199</t>
        </is>
      </c>
      <c r="P800" s="3">
        <f>HYPERLINK("http://www.dhmnt.co.kr", "http://www.dhmnt.co.kr")</f>
        <v/>
      </c>
      <c r="Q800" t="inlineStr">
        <is>
          <t>1358130283</t>
        </is>
      </c>
      <c r="R800" t="inlineStr">
        <is>
          <t>1345110031952</t>
        </is>
      </c>
      <c r="S800" t="inlineStr">
        <is>
          <t>대상아님</t>
        </is>
      </c>
      <c r="T800" t="inlineStr">
        <is>
          <t>일반법인</t>
        </is>
      </c>
      <c r="U800" t="inlineStr">
        <is>
          <t>중소기업</t>
        </is>
      </c>
      <c r="V800" t="inlineStr">
        <is>
          <t>외부감사대상</t>
        </is>
      </c>
      <c r="W800" s="6" t="inlineStr">
        <is>
          <t>1999-02-05</t>
        </is>
      </c>
      <c r="X800" t="inlineStr">
        <is>
          <t>KRI:10E3832100</t>
        </is>
      </c>
      <c r="Y800" t="inlineStr">
        <is>
          <t>비금속류 해체 및 선별업</t>
        </is>
      </c>
      <c r="Z800" t="inlineStr">
        <is>
          <t>비철금속가공처리 제조</t>
        </is>
      </c>
      <c r="AA800" t="inlineStr">
        <is>
          <t>경기 용인시 처인구 이동읍 서리 411번지</t>
        </is>
      </c>
      <c r="AB800" t="inlineStr">
        <is>
          <t>경기 용인시 처인구 이동읍 서리로 129</t>
        </is>
      </c>
    </row>
    <row r="801" ht="19.2" customHeight="1" s="1">
      <c r="A801" t="inlineStr">
        <is>
          <t>NICE:H32563</t>
        </is>
      </c>
      <c r="B801" t="inlineStr">
        <is>
          <t>엠에이치티</t>
        </is>
      </c>
      <c r="C801" s="5" t="n">
        <v>46471522000</v>
      </c>
      <c r="D801" s="5" t="n">
        <v>30979196000</v>
      </c>
      <c r="E801" s="5" t="n">
        <v>15492326000</v>
      </c>
      <c r="F801" s="5" t="n">
        <v>32651265000</v>
      </c>
      <c r="G801" s="5" t="n">
        <v>3698654000</v>
      </c>
      <c r="H801" s="5" t="n">
        <v>43653412000</v>
      </c>
      <c r="I801" s="5" t="n">
        <v>5507793000</v>
      </c>
      <c r="J801" s="4" t="n">
        <v>1.553999900817871</v>
      </c>
      <c r="K801" s="4" t="n">
        <v>1.999600052833557</v>
      </c>
      <c r="L801" s="4" t="n">
        <v>0.1132999956607819</v>
      </c>
      <c r="M801" t="inlineStr">
        <is>
          <t>김기원</t>
        </is>
      </c>
      <c r="N801" t="inlineStr">
        <is>
          <t>070-7123-8787</t>
        </is>
      </c>
      <c r="O801" t="inlineStr">
        <is>
          <t>02-890-7236</t>
        </is>
      </c>
      <c r="P801" s="3" t="n"/>
      <c r="Q801" t="inlineStr">
        <is>
          <t>1138647611</t>
        </is>
      </c>
      <c r="R801" t="inlineStr">
        <is>
          <t>1101114566662</t>
        </is>
      </c>
      <c r="S801" t="inlineStr">
        <is>
          <t>대상아님</t>
        </is>
      </c>
      <c r="T801" t="inlineStr">
        <is>
          <t>일반법인</t>
        </is>
      </c>
      <c r="U801" t="inlineStr">
        <is>
          <t>중소기업</t>
        </is>
      </c>
      <c r="V801" t="inlineStr">
        <is>
          <t>외부감사대상</t>
        </is>
      </c>
      <c r="W801" s="6" t="inlineStr">
        <is>
          <t>2011-03-29</t>
        </is>
      </c>
      <c r="X801" t="inlineStr">
        <is>
          <t>KRI:10C1419900</t>
        </is>
      </c>
      <c r="Y801" t="inlineStr">
        <is>
          <t>그 외 기타 봉제의복 제조업</t>
        </is>
      </c>
      <c r="Z801" t="inlineStr">
        <is>
          <t>봉제의복 제조,도소매,수출입</t>
        </is>
      </c>
      <c r="AA801" t="inlineStr">
        <is>
          <t>서울 구로구 구로동 184-1번지 우림이비즈센타2차 1307호</t>
        </is>
      </c>
      <c r="AB801" t="inlineStr">
        <is>
          <t>서울 구로구 디지털로33길 12, 1307호 (구로동,우림이비즈센타2차)</t>
        </is>
      </c>
    </row>
    <row r="802" ht="19.2" customHeight="1" s="1">
      <c r="A802" t="inlineStr">
        <is>
          <t>NICE:IS7286</t>
        </is>
      </c>
      <c r="B802" t="inlineStr">
        <is>
          <t>와이엔케이바이오코스</t>
        </is>
      </c>
      <c r="C802" s="5" t="n">
        <v>45416019000</v>
      </c>
      <c r="D802" s="5" t="n">
        <v>6852130000</v>
      </c>
      <c r="E802" s="5" t="n">
        <v>38563889000</v>
      </c>
      <c r="F802" s="5" t="n">
        <v>20924502000</v>
      </c>
      <c r="G802" s="5" t="n">
        <v>8585186000</v>
      </c>
      <c r="H802" s="5" t="n">
        <v>17102536000</v>
      </c>
      <c r="I802" s="5" t="n">
        <v>7782445000</v>
      </c>
      <c r="J802" s="4" t="n">
        <v>4.41569995880127</v>
      </c>
      <c r="K802" s="4" t="n">
        <v>0.1776999980211258</v>
      </c>
      <c r="L802" s="4" t="n">
        <v>0.4102999866008759</v>
      </c>
      <c r="M802" t="inlineStr">
        <is>
          <t>정소윤</t>
        </is>
      </c>
      <c r="N802" t="inlineStr">
        <is>
          <t>031-671-5277</t>
        </is>
      </c>
      <c r="O802" t="inlineStr">
        <is>
          <t>031-671-2799</t>
        </is>
      </c>
      <c r="P802" s="3">
        <f>HYPERLINK("http://www.ynkbc.com", "http://www.ynkbc.com")</f>
        <v/>
      </c>
      <c r="Q802" t="inlineStr">
        <is>
          <t>7048100800</t>
        </is>
      </c>
      <c r="R802" t="inlineStr">
        <is>
          <t>1101116471744</t>
        </is>
      </c>
      <c r="S802" t="inlineStr">
        <is>
          <t>대상아님</t>
        </is>
      </c>
      <c r="T802" t="inlineStr">
        <is>
          <t>일반법인</t>
        </is>
      </c>
      <c r="U802" t="inlineStr">
        <is>
          <t>중소기업</t>
        </is>
      </c>
      <c r="V802" t="inlineStr">
        <is>
          <t>외부감사대상</t>
        </is>
      </c>
      <c r="W802" s="6" t="inlineStr">
        <is>
          <t>2017-07-26</t>
        </is>
      </c>
      <c r="X802" t="inlineStr">
        <is>
          <t>KRI:10C2130000</t>
        </is>
      </c>
      <c r="Y802" t="inlineStr">
        <is>
          <t>의료용품 및 기타 의약 관련제품 제조업</t>
        </is>
      </c>
      <c r="Z802" t="inlineStr">
        <is>
          <t>의료용품,의약관련제품 제조/화장품,의약외품 도소매,통신판매/비주거용건물 임대(자기땅)</t>
        </is>
      </c>
      <c r="AA802" t="inlineStr">
        <is>
          <t>경기 안성시 서운면 신능리 223-2번지</t>
        </is>
      </c>
      <c r="AB802" t="inlineStr">
        <is>
          <t>경기 안성시 서운면 제3공단3길 40</t>
        </is>
      </c>
    </row>
    <row r="803" ht="19.2" customHeight="1" s="1">
      <c r="A803" t="inlineStr">
        <is>
          <t>NICE:804102</t>
        </is>
      </c>
      <c r="B803" t="inlineStr">
        <is>
          <t>켐가스코리아</t>
        </is>
      </c>
      <c r="C803" s="5" t="n">
        <v>42748260000</v>
      </c>
      <c r="D803" s="5" t="n">
        <v>14626977000</v>
      </c>
      <c r="E803" s="5" t="n">
        <v>28121283000</v>
      </c>
      <c r="F803" s="5" t="n">
        <v>26002056000</v>
      </c>
      <c r="G803" s="5" t="n">
        <v>5313204000</v>
      </c>
      <c r="H803" s="5" t="n">
        <v>21783074000</v>
      </c>
      <c r="I803" s="5" t="n">
        <v>3436839000</v>
      </c>
      <c r="J803" s="4" t="n">
        <v>2.189199924468994</v>
      </c>
      <c r="K803" s="4" t="n">
        <v>0.5200999975204468</v>
      </c>
      <c r="L803" s="4" t="n">
        <v>0.2043000012636185</v>
      </c>
      <c r="M803" t="inlineStr">
        <is>
          <t>어준</t>
        </is>
      </c>
      <c r="N803" t="inlineStr">
        <is>
          <t>043-873-3591</t>
        </is>
      </c>
      <c r="O803" t="inlineStr">
        <is>
          <t>043-878-3596</t>
        </is>
      </c>
      <c r="P803" s="3">
        <f>HYPERLINK("http://www.chemgas.co.kr", "http://www.chemgas.co.kr")</f>
        <v/>
      </c>
      <c r="Q803" t="inlineStr">
        <is>
          <t>3038143270</t>
        </is>
      </c>
      <c r="R803" t="inlineStr">
        <is>
          <t>1545110031172</t>
        </is>
      </c>
      <c r="S803" t="inlineStr">
        <is>
          <t>대상아님</t>
        </is>
      </c>
      <c r="T803" t="inlineStr">
        <is>
          <t>일반법인</t>
        </is>
      </c>
      <c r="U803" t="inlineStr">
        <is>
          <t>대기업</t>
        </is>
      </c>
      <c r="V803" t="inlineStr">
        <is>
          <t>외부감사대상</t>
        </is>
      </c>
      <c r="W803" s="6" t="inlineStr">
        <is>
          <t>2005-08-05</t>
        </is>
      </c>
      <c r="X803" t="inlineStr">
        <is>
          <t>KRI:10C2012900</t>
        </is>
      </c>
      <c r="Y803" t="inlineStr">
        <is>
          <t>기타 기초 무기 화학물질 제조업</t>
        </is>
      </c>
      <c r="Z803" t="inlineStr">
        <is>
          <t>산업용가스 제조/무역(산업용가스기기)/산업시스템 엔지니어링</t>
        </is>
      </c>
      <c r="AA803" t="inlineStr">
        <is>
          <t>충북 음성군 원남면 상당리 732번지</t>
        </is>
      </c>
      <c r="AB803" t="inlineStr">
        <is>
          <t>충북 음성군 원남면 원남산단로 226</t>
        </is>
      </c>
    </row>
    <row r="804" ht="19.2" customHeight="1" s="1">
      <c r="A804" t="inlineStr">
        <is>
          <t>NICE:M28691</t>
        </is>
      </c>
      <c r="B804" t="inlineStr">
        <is>
          <t>샤프도앤코코리아</t>
        </is>
      </c>
      <c r="C804" s="5" t="n">
        <v>35624548000</v>
      </c>
      <c r="D804" s="5" t="n">
        <v>18471769000</v>
      </c>
      <c r="E804" s="5" t="n">
        <v>17152779000</v>
      </c>
      <c r="F804" s="5" t="n">
        <v>39111249000</v>
      </c>
      <c r="G804" s="5" t="n">
        <v>6928842000</v>
      </c>
      <c r="H804" s="5" t="n">
        <v>37017564000</v>
      </c>
      <c r="I804" s="5" t="n">
        <v>7238388000</v>
      </c>
      <c r="J804" s="4" t="n">
        <v>1.270799994468689</v>
      </c>
      <c r="K804" s="4" t="n">
        <v>1.076900005340576</v>
      </c>
      <c r="L804" s="4" t="n">
        <v>0.1771999895572662</v>
      </c>
      <c r="M804" t="inlineStr">
        <is>
          <t>백순석</t>
        </is>
      </c>
      <c r="N804" t="inlineStr">
        <is>
          <t>032-453-3611</t>
        </is>
      </c>
      <c r="P804" s="3" t="n"/>
      <c r="Q804" t="inlineStr">
        <is>
          <t>1218638016</t>
        </is>
      </c>
      <c r="R804" t="inlineStr">
        <is>
          <t>1201140007571</t>
        </is>
      </c>
      <c r="S804" t="inlineStr">
        <is>
          <t>대상아님</t>
        </is>
      </c>
      <c r="T804" t="inlineStr">
        <is>
          <t>일반법인</t>
        </is>
      </c>
      <c r="U804" t="inlineStr">
        <is>
          <t>중견기업</t>
        </is>
      </c>
      <c r="V804" t="inlineStr">
        <is>
          <t>외부감사대상</t>
        </is>
      </c>
      <c r="W804" s="6" t="inlineStr">
        <is>
          <t>2014-10-28</t>
        </is>
      </c>
      <c r="X804" t="inlineStr">
        <is>
          <t>KRI:10C1075100</t>
        </is>
      </c>
      <c r="Y804" t="inlineStr">
        <is>
          <t>도시락류 제조업</t>
        </is>
      </c>
      <c r="Z804" t="inlineStr">
        <is>
          <t>도시락류 제조/프랜차이즈</t>
        </is>
      </c>
      <c r="AA804" t="inlineStr">
        <is>
          <t>인천 중구 운서동 2840-13번지</t>
        </is>
      </c>
      <c r="AB804" t="inlineStr">
        <is>
          <t>인천 중구 공항동로465번길 84</t>
        </is>
      </c>
    </row>
    <row r="805" ht="19.2" customHeight="1" s="1">
      <c r="A805" t="inlineStr">
        <is>
          <t>NICE:E80944</t>
        </is>
      </c>
      <c r="B805" t="inlineStr">
        <is>
          <t>케이알</t>
        </is>
      </c>
      <c r="C805" s="5" t="n">
        <v>25279483000</v>
      </c>
      <c r="D805" s="5" t="n">
        <v>4564769000</v>
      </c>
      <c r="E805" s="5" t="n">
        <v>20714714000</v>
      </c>
      <c r="F805" s="5" t="n">
        <v>22025423000</v>
      </c>
      <c r="G805" s="5" t="n">
        <v>4501418000</v>
      </c>
      <c r="H805" s="5" t="n">
        <v>18076591000</v>
      </c>
      <c r="I805" s="5" t="n">
        <v>2401347000</v>
      </c>
      <c r="J805" s="4" t="n">
        <v>2.964899778366089</v>
      </c>
      <c r="K805" s="4" t="n">
        <v>0.2204000055789948</v>
      </c>
      <c r="L805" s="4" t="n">
        <v>0.2044000029563904</v>
      </c>
      <c r="M805" t="inlineStr">
        <is>
          <t>변재삼</t>
        </is>
      </c>
      <c r="N805" t="inlineStr">
        <is>
          <t>032-684-5204</t>
        </is>
      </c>
      <c r="O805" t="inlineStr">
        <is>
          <t>032-684-5205</t>
        </is>
      </c>
      <c r="P805" s="3">
        <f>HYPERLINK("http://www.krpkg.co.kr/ww-ko/", "http://www.krpkg.co.kr/ww-ko/")</f>
        <v/>
      </c>
      <c r="Q805" t="inlineStr">
        <is>
          <t>1308672487</t>
        </is>
      </c>
      <c r="R805" t="inlineStr">
        <is>
          <t>1211110237652</t>
        </is>
      </c>
      <c r="S805" t="inlineStr">
        <is>
          <t>대상아님</t>
        </is>
      </c>
      <c r="T805" t="inlineStr">
        <is>
          <t>일반법인</t>
        </is>
      </c>
      <c r="U805" t="inlineStr">
        <is>
          <t>중소기업</t>
        </is>
      </c>
      <c r="V805" t="inlineStr">
        <is>
          <t>외부감사대상</t>
        </is>
      </c>
      <c r="W805" s="6" t="inlineStr">
        <is>
          <t>2012-07-20</t>
        </is>
      </c>
      <c r="X805" t="inlineStr">
        <is>
          <t>KRI:10C2229900</t>
        </is>
      </c>
      <c r="Y805" t="inlineStr">
        <is>
          <t>그 외 기타 플라스틱 제품 제조업</t>
        </is>
      </c>
      <c r="Z805" t="inlineStr">
        <is>
          <t>플라스틱용기(화장품용기),주형,금형 제조,도소매,통신판매</t>
        </is>
      </c>
      <c r="AA805" t="inlineStr">
        <is>
          <t>경기 부천시 오정구 오정동 772-14번지</t>
        </is>
      </c>
      <c r="AB805" t="inlineStr">
        <is>
          <t>경기 부천시 오정구 산업로8번길 42-14</t>
        </is>
      </c>
    </row>
    <row r="806" ht="19.2" customHeight="1" s="1">
      <c r="A806" t="inlineStr">
        <is>
          <t>NICE:221601</t>
        </is>
      </c>
      <c r="B806" t="inlineStr">
        <is>
          <t>제이엠지텍</t>
        </is>
      </c>
      <c r="C806" s="5" t="n">
        <v>24996938000</v>
      </c>
      <c r="D806" s="5" t="n">
        <v>1375327000</v>
      </c>
      <c r="E806" s="5" t="n">
        <v>23621611000</v>
      </c>
      <c r="F806" s="5" t="n">
        <v>29805673000</v>
      </c>
      <c r="G806" s="5" t="n">
        <v>4027862000</v>
      </c>
      <c r="H806" s="5" t="n">
        <v>24999049000</v>
      </c>
      <c r="I806" s="5" t="n">
        <v>2519745000</v>
      </c>
      <c r="J806" s="4" t="n">
        <v>8.416799545288086</v>
      </c>
      <c r="K806" s="4" t="n">
        <v>0.05820000171661377</v>
      </c>
      <c r="L806" s="4" t="n">
        <v>0.1350999921560287</v>
      </c>
      <c r="M806" t="inlineStr">
        <is>
          <t>김진구/홍재무</t>
        </is>
      </c>
      <c r="N806" t="inlineStr">
        <is>
          <t>02-542-4352</t>
        </is>
      </c>
      <c r="O806" t="inlineStr">
        <is>
          <t>02-542-4347</t>
        </is>
      </c>
      <c r="P806" s="3">
        <f>HYPERLINK("http://www.jmgt.kr", "http://www.jmgt.kr")</f>
        <v/>
      </c>
      <c r="Q806" t="inlineStr">
        <is>
          <t>2118670982</t>
        </is>
      </c>
      <c r="R806" t="inlineStr">
        <is>
          <t>1101112143347</t>
        </is>
      </c>
      <c r="S806" t="inlineStr">
        <is>
          <t>대상아님</t>
        </is>
      </c>
      <c r="T806" t="inlineStr">
        <is>
          <t>일반법인</t>
        </is>
      </c>
      <c r="U806" t="inlineStr">
        <is>
          <t>중소기업</t>
        </is>
      </c>
      <c r="V806" t="inlineStr">
        <is>
          <t>외부감사대상</t>
        </is>
      </c>
      <c r="W806" s="6" t="inlineStr">
        <is>
          <t>2001-01-04</t>
        </is>
      </c>
      <c r="X806" t="inlineStr">
        <is>
          <t>KRI:10M7291900</t>
        </is>
      </c>
      <c r="Y806" t="inlineStr">
        <is>
          <t>기타 기술 시험, 검사 및 분석업</t>
        </is>
      </c>
      <c r="Z806" t="inlineStr">
        <is>
          <t>기술 검사(조선,해양 분야 공정별 전문검사),소프트웨어 개발,공급,안전 점검,진단/통신 판매/주택 임대</t>
        </is>
      </c>
      <c r="AA806" t="inlineStr">
        <is>
          <t>서울 강남구 신사동 654-15번지</t>
        </is>
      </c>
      <c r="AB806" t="inlineStr">
        <is>
          <t>서울 강남구 도산대로51길 20</t>
        </is>
      </c>
    </row>
    <row r="807" ht="19.2" customHeight="1" s="1">
      <c r="A807" t="inlineStr">
        <is>
          <t>NICE:IP3984</t>
        </is>
      </c>
      <c r="B807" t="inlineStr">
        <is>
          <t>더블에이치인터내셔널</t>
        </is>
      </c>
      <c r="C807" s="5" t="n">
        <v>22445772000</v>
      </c>
      <c r="D807" s="5" t="n">
        <v>14300948000</v>
      </c>
      <c r="E807" s="5" t="n">
        <v>8144824000</v>
      </c>
      <c r="F807" s="5" t="n">
        <v>29372053000</v>
      </c>
      <c r="G807" s="5" t="n">
        <v>6408971000</v>
      </c>
      <c r="H807" s="5" t="n">
        <v>131286792000</v>
      </c>
      <c r="I807" s="5" t="n">
        <v>23195318000</v>
      </c>
      <c r="J807" s="4" t="n">
        <v>1.47160005569458</v>
      </c>
      <c r="K807" s="4" t="n">
        <v>1.755800008773804</v>
      </c>
      <c r="L807" s="4" t="n">
        <v>0.2181999981403351</v>
      </c>
      <c r="M807" t="inlineStr">
        <is>
          <t>문병수/장인상</t>
        </is>
      </c>
      <c r="N807" t="inlineStr">
        <is>
          <t>02-6365-8022</t>
        </is>
      </c>
      <c r="O807" t="inlineStr">
        <is>
          <t>070-4789-4230</t>
        </is>
      </c>
      <c r="P807" s="3" t="n"/>
      <c r="Q807" t="inlineStr">
        <is>
          <t>7158700665</t>
        </is>
      </c>
      <c r="R807" t="inlineStr">
        <is>
          <t>1101116373213</t>
        </is>
      </c>
      <c r="S807" t="inlineStr">
        <is>
          <t>대상아님</t>
        </is>
      </c>
      <c r="T807" t="inlineStr">
        <is>
          <t>일반법인</t>
        </is>
      </c>
      <c r="U807" t="inlineStr">
        <is>
          <t>중소기업</t>
        </is>
      </c>
      <c r="V807" t="inlineStr">
        <is>
          <t>외부감사대상</t>
        </is>
      </c>
      <c r="W807" s="6" t="inlineStr">
        <is>
          <t>2017-04-12</t>
        </is>
      </c>
      <c r="X807" t="inlineStr">
        <is>
          <t>KRI:10G4659900</t>
        </is>
      </c>
      <c r="Y807" t="inlineStr">
        <is>
          <t>그 외 기타 기계 및 장비 도매업</t>
        </is>
      </c>
      <c r="Z807" t="inlineStr">
        <is>
          <t>발전기용 엔진부품 도소매,수출입</t>
        </is>
      </c>
      <c r="AA807" t="inlineStr">
        <is>
          <t>서울 영등포구 양평동5가 1-1번지 선유도역1차아이에스비즈타워 703호</t>
        </is>
      </c>
      <c r="AB807" t="inlineStr">
        <is>
          <t>서울 영등포구 양평로21길 26, 703호 (양평동5가,선유도역1차아이에스비즈타워)</t>
        </is>
      </c>
    </row>
    <row r="808" ht="19.2" customHeight="1" s="1">
      <c r="A808" t="inlineStr">
        <is>
          <t>NICE:JR5378</t>
        </is>
      </c>
      <c r="B808" t="inlineStr">
        <is>
          <t>케이에스패션</t>
        </is>
      </c>
      <c r="C808" s="5" t="n">
        <v>16850767000</v>
      </c>
      <c r="D808" s="5" t="n">
        <v>10814932000</v>
      </c>
      <c r="E808" s="5" t="n">
        <v>6035835000</v>
      </c>
      <c r="F808" s="5" t="n">
        <v>40384734000</v>
      </c>
      <c r="G808" s="5" t="n">
        <v>5388089000</v>
      </c>
      <c r="H808" s="5" t="n">
        <v>21217442000</v>
      </c>
      <c r="I808" s="5" t="n">
        <v>2640580000</v>
      </c>
      <c r="J808" s="4" t="n">
        <v>1.552799940109253</v>
      </c>
      <c r="K808" s="4" t="n">
        <v>1.791799902915955</v>
      </c>
      <c r="L808" s="4" t="n">
        <v>0.1333999931812286</v>
      </c>
      <c r="M808" t="inlineStr">
        <is>
          <t>김경배</t>
        </is>
      </c>
      <c r="N808" t="inlineStr">
        <is>
          <t>02-550-1414</t>
        </is>
      </c>
      <c r="O808" t="inlineStr">
        <is>
          <t>02-566-6867</t>
        </is>
      </c>
      <c r="P808" s="3" t="n"/>
      <c r="Q808" t="inlineStr">
        <is>
          <t>4578701486</t>
        </is>
      </c>
      <c r="R808" t="inlineStr">
        <is>
          <t>1101117174024</t>
        </is>
      </c>
      <c r="S808" t="inlineStr">
        <is>
          <t>대상아님</t>
        </is>
      </c>
      <c r="T808" t="inlineStr">
        <is>
          <t>일반법인</t>
        </is>
      </c>
      <c r="U808" t="inlineStr">
        <is>
          <t>중소기업</t>
        </is>
      </c>
      <c r="V808" t="inlineStr">
        <is>
          <t>외부감사대상</t>
        </is>
      </c>
      <c r="W808" s="6" t="inlineStr">
        <is>
          <t>2019-07-17</t>
        </is>
      </c>
      <c r="X808" t="inlineStr">
        <is>
          <t>KRI:10C1419900</t>
        </is>
      </c>
      <c r="Y808" t="inlineStr">
        <is>
          <t>그 외 기타 봉제의복 제조업</t>
        </is>
      </c>
      <c r="Z808" t="inlineStr">
        <is>
          <t>섬유.의류 제조,판매</t>
        </is>
      </c>
      <c r="AA808" t="inlineStr">
        <is>
          <t>서울 강남구 대치동 960번지 1층</t>
        </is>
      </c>
      <c r="AB808" t="inlineStr">
        <is>
          <t>서울 강남구 삼성로 408, 1층</t>
        </is>
      </c>
    </row>
    <row r="809" ht="19.2" customHeight="1" s="1">
      <c r="A809" t="inlineStr">
        <is>
          <t>NICE:213693</t>
        </is>
      </c>
      <c r="B809" t="inlineStr">
        <is>
          <t>평택항만</t>
        </is>
      </c>
      <c r="C809" s="5" t="n">
        <v>13270161000</v>
      </c>
      <c r="D809" s="5" t="n">
        <v>6355768000</v>
      </c>
      <c r="E809" s="5" t="n">
        <v>6914393000</v>
      </c>
      <c r="F809" s="5" t="n">
        <v>32236213000</v>
      </c>
      <c r="G809" s="5" t="n">
        <v>4140644000</v>
      </c>
      <c r="H809" s="5" t="n">
        <v>32076043000</v>
      </c>
      <c r="I809" s="5" t="n">
        <v>3312886000</v>
      </c>
      <c r="J809" s="4" t="n">
        <v>1.783800005912781</v>
      </c>
      <c r="K809" s="4" t="n">
        <v>0.9191999435424805</v>
      </c>
      <c r="L809" s="4" t="n">
        <v>0.1283999979496002</v>
      </c>
      <c r="M809" t="inlineStr">
        <is>
          <t>이강선</t>
        </is>
      </c>
      <c r="N809" t="inlineStr">
        <is>
          <t>031-612-0921</t>
        </is>
      </c>
      <c r="O809" t="inlineStr">
        <is>
          <t>031-612-0919</t>
        </is>
      </c>
      <c r="P809" s="3">
        <f>HYPERLINK("http://www.ptoc.co.kr", "http://www.ptoc.co.kr")</f>
        <v/>
      </c>
      <c r="Q809" t="inlineStr">
        <is>
          <t>1258127331</t>
        </is>
      </c>
      <c r="R809" t="inlineStr">
        <is>
          <t>1313110026984</t>
        </is>
      </c>
      <c r="S809" t="inlineStr">
        <is>
          <t>대상아님</t>
        </is>
      </c>
      <c r="T809" t="inlineStr">
        <is>
          <t>일반법인</t>
        </is>
      </c>
      <c r="U809" t="inlineStr">
        <is>
          <t>중소기업</t>
        </is>
      </c>
      <c r="V809" t="inlineStr">
        <is>
          <t>외부감사대상</t>
        </is>
      </c>
      <c r="W809" s="6" t="inlineStr">
        <is>
          <t>1999-01-21</t>
        </is>
      </c>
      <c r="X809" t="inlineStr">
        <is>
          <t>KRI:10H5294200</t>
        </is>
      </c>
      <c r="Y809" t="inlineStr">
        <is>
          <t>수상 화물 취급업</t>
        </is>
      </c>
      <c r="Z809" t="inlineStr">
        <is>
          <t>하역，운송</t>
        </is>
      </c>
      <c r="AA809" t="inlineStr">
        <is>
          <t>경기 평택시 포승읍 만호리 564번지</t>
        </is>
      </c>
      <c r="AB809" t="inlineStr">
        <is>
          <t>경기 평택시 포승읍 평택항만길 145</t>
        </is>
      </c>
    </row>
    <row r="810" ht="19.2" customHeight="1" s="1">
      <c r="A810" t="inlineStr">
        <is>
          <t>NICE:119289</t>
        </is>
      </c>
      <c r="B810" t="inlineStr">
        <is>
          <t>세화엔스텍</t>
        </is>
      </c>
      <c r="C810" s="5" t="n">
        <v>36435062000</v>
      </c>
      <c r="D810" s="5" t="n">
        <v>3157486000</v>
      </c>
      <c r="E810" s="5" t="n">
        <v>33277576000</v>
      </c>
      <c r="F810" s="5" t="n">
        <v>21149169000</v>
      </c>
      <c r="G810" s="5" t="n">
        <v>2632830000</v>
      </c>
      <c r="H810" s="5" t="n">
        <v>28533222000</v>
      </c>
      <c r="I810" s="5" t="n">
        <v>1509868000</v>
      </c>
      <c r="J810" s="4" t="n">
        <v>9.13379955291748</v>
      </c>
      <c r="K810" s="4" t="n">
        <v>0.09489999711513519</v>
      </c>
      <c r="L810" s="4" t="n">
        <v>0.124499998986721</v>
      </c>
      <c r="M810" t="inlineStr">
        <is>
          <t>고동균</t>
        </is>
      </c>
      <c r="N810" t="inlineStr">
        <is>
          <t>032-571-4221</t>
        </is>
      </c>
      <c r="O810" t="inlineStr">
        <is>
          <t>032-571-4217</t>
        </is>
      </c>
      <c r="P810" s="3">
        <f>HYPERLINK("http://www.sehwaetc.com", "http://www.sehwaetc.com")</f>
        <v/>
      </c>
      <c r="Q810" t="inlineStr">
        <is>
          <t>1098118000</t>
        </is>
      </c>
      <c r="R810" t="inlineStr">
        <is>
          <t>1101110569016</t>
        </is>
      </c>
      <c r="S810" t="inlineStr">
        <is>
          <t>대상아님</t>
        </is>
      </c>
      <c r="T810" t="inlineStr">
        <is>
          <t>일반법인</t>
        </is>
      </c>
      <c r="U810" t="inlineStr">
        <is>
          <t>중소기업</t>
        </is>
      </c>
      <c r="V810" t="inlineStr">
        <is>
          <t>외부감사대상</t>
        </is>
      </c>
      <c r="W810" s="6" t="inlineStr">
        <is>
          <t>1988-04-01</t>
        </is>
      </c>
      <c r="X810" t="inlineStr">
        <is>
          <t>KRI:10E3822000</t>
        </is>
      </c>
      <c r="Y810" t="inlineStr">
        <is>
          <t>지정 폐기물 처리업</t>
        </is>
      </c>
      <c r="Z810" t="inlineStr">
        <is>
          <t>지정폐기물,폐수수탁 처리/환경오염방지시설설계시공사/재생처리/환경오염 측정대행</t>
        </is>
      </c>
      <c r="AA810" t="inlineStr">
        <is>
          <t>경기 부천시 원미구 상동 548-4번지 굿모닝오피스텔 707호</t>
        </is>
      </c>
      <c r="AB810" t="inlineStr">
        <is>
          <t>경기 부천시 원미구 길주로 64, 707호 (상동,굿모닝오피스텔)</t>
        </is>
      </c>
    </row>
    <row r="811" s="1">
      <c r="A811" t="inlineStr">
        <is>
          <t>NICE:174678</t>
        </is>
      </c>
      <c r="B811" t="inlineStr">
        <is>
          <t>서용엔지니어링</t>
        </is>
      </c>
      <c r="C811" s="5" t="n">
        <v>33169038000</v>
      </c>
      <c r="D811" s="5" t="n">
        <v>4138001000</v>
      </c>
      <c r="E811" s="5" t="n">
        <v>29031038000</v>
      </c>
      <c r="F811" s="5" t="n">
        <v>23847274000</v>
      </c>
      <c r="G811" s="5" t="n">
        <v>7084672000</v>
      </c>
      <c r="H811" s="5" t="n">
        <v>16078417000</v>
      </c>
      <c r="I811" s="5" t="n">
        <v>2574381000</v>
      </c>
      <c r="J811" s="4" t="n">
        <v>5.584799766540527</v>
      </c>
      <c r="K811" s="4" t="n">
        <v>0.1424999982118607</v>
      </c>
      <c r="L811" s="4" t="n">
        <v>0.2970999777317047</v>
      </c>
      <c r="M811" t="inlineStr">
        <is>
          <t>박철한</t>
        </is>
      </c>
      <c r="N811" t="inlineStr">
        <is>
          <t>051-831-6171</t>
        </is>
      </c>
      <c r="O811" t="inlineStr">
        <is>
          <t>051-831-6175</t>
        </is>
      </c>
      <c r="P811">
        <f>HYPERLINK("http://www.seoyong.co.kr", "http://www.seoyong.co.kr")</f>
        <v/>
      </c>
      <c r="Q811" t="inlineStr">
        <is>
          <t>6058136001</t>
        </is>
      </c>
      <c r="R811" t="inlineStr">
        <is>
          <t>1801110312974</t>
        </is>
      </c>
      <c r="S811" t="inlineStr">
        <is>
          <t>대상아님</t>
        </is>
      </c>
      <c r="T811" t="inlineStr">
        <is>
          <t>일반법인</t>
        </is>
      </c>
      <c r="U811" t="inlineStr">
        <is>
          <t>중소기업</t>
        </is>
      </c>
      <c r="V811" t="inlineStr">
        <is>
          <t>외부감사대상</t>
        </is>
      </c>
      <c r="W811" s="6" t="inlineStr">
        <is>
          <t>2000-02-09</t>
        </is>
      </c>
      <c r="X811" t="inlineStr">
        <is>
          <t>KRI:10M7212900</t>
        </is>
      </c>
      <c r="Y811" t="inlineStr">
        <is>
          <t>기타 엔지니어링 서비스업</t>
        </is>
      </c>
      <c r="Z811" t="inlineStr">
        <is>
          <t>엔지니어링(상수도관망,누수탐사용역)</t>
        </is>
      </c>
      <c r="AA811" t="inlineStr">
        <is>
          <t>경기 용인시 수지구 상현동 1220번지 광교우미뉴브 제에이-1023호</t>
        </is>
      </c>
      <c r="AB811" t="inlineStr">
        <is>
          <t>경기 용인시 수지구 광교중앙로 338, 제에이-1023호 (상현동,광교우미뉴브)</t>
        </is>
      </c>
    </row>
    <row r="812" ht="19.2" customHeight="1" s="1">
      <c r="A812" t="inlineStr">
        <is>
          <t>NICE:I96813</t>
        </is>
      </c>
      <c r="B812" t="inlineStr">
        <is>
          <t>코크렙청진19호위탁관리부동산투자회사</t>
        </is>
      </c>
      <c r="C812" s="5" t="n">
        <v>512750502000</v>
      </c>
      <c r="D812" s="5" t="n">
        <v>33628947000</v>
      </c>
      <c r="E812" s="5" t="n">
        <v>479121555000</v>
      </c>
      <c r="F812" s="5" t="n">
        <v>25835839000</v>
      </c>
      <c r="G812" s="5" t="n">
        <v>17135957000</v>
      </c>
      <c r="H812" s="5" t="n">
        <v>25023422000</v>
      </c>
      <c r="I812" s="5" t="n">
        <v>16931809000</v>
      </c>
      <c r="J812" s="4" t="n">
        <v>7.677599906921387</v>
      </c>
      <c r="K812" s="4" t="n">
        <v>0.07019999623298645</v>
      </c>
      <c r="L812" s="4" t="n">
        <v>0.6632999777793884</v>
      </c>
      <c r="M812" t="inlineStr">
        <is>
          <t>최동현</t>
        </is>
      </c>
      <c r="N812" t="inlineStr">
        <is>
          <t>02-787-0000</t>
        </is>
      </c>
      <c r="O812" t="inlineStr">
        <is>
          <t>02-2088-6622</t>
        </is>
      </c>
      <c r="P812" s="3" t="n"/>
      <c r="Q812" t="inlineStr">
        <is>
          <t>2208827431</t>
        </is>
      </c>
      <c r="R812" t="inlineStr">
        <is>
          <t>1101114725565</t>
        </is>
      </c>
      <c r="S812" t="inlineStr">
        <is>
          <t>대상아님</t>
        </is>
      </c>
      <c r="T812" t="inlineStr">
        <is>
          <t>일반법인</t>
        </is>
      </c>
      <c r="U812" t="inlineStr">
        <is>
          <t>중소기업</t>
        </is>
      </c>
      <c r="V812" t="inlineStr">
        <is>
          <t>외부감사대상</t>
        </is>
      </c>
      <c r="W812" s="6" t="inlineStr">
        <is>
          <t>2011-11-09</t>
        </is>
      </c>
      <c r="X812" t="inlineStr">
        <is>
          <t>KRI:10L6811200</t>
        </is>
      </c>
      <c r="Y812" t="inlineStr">
        <is>
          <t>비주거용 건물 임대업</t>
        </is>
      </c>
      <c r="Z812" t="inlineStr">
        <is>
          <t>부동산 임대,관리,취득,개량,처분,개발</t>
        </is>
      </c>
      <c r="AA812" t="inlineStr">
        <is>
          <t>서울 강남구 삼성동 144-17번지 골든타워 (주)코람코자산신탁 내</t>
        </is>
      </c>
      <c r="AB812" t="inlineStr">
        <is>
          <t>서울 강남구 삼성로 511, (주)코람코자산신탁 내 (삼성동,골든타워)</t>
        </is>
      </c>
    </row>
    <row r="813" ht="19.2" customHeight="1" s="1">
      <c r="A813" t="inlineStr">
        <is>
          <t>NICE:479715</t>
        </is>
      </c>
      <c r="B813" t="inlineStr">
        <is>
          <t>영진앵글</t>
        </is>
      </c>
      <c r="C813" s="5" t="n">
        <v>133594632000</v>
      </c>
      <c r="D813" s="5" t="n">
        <v>48779173000</v>
      </c>
      <c r="E813" s="5" t="n">
        <v>84815459000</v>
      </c>
      <c r="F813" s="5" t="n">
        <v>127993301000</v>
      </c>
      <c r="G813" s="5" t="n">
        <v>33291357000</v>
      </c>
      <c r="H813" s="5" t="n">
        <v>104717926000</v>
      </c>
      <c r="I813" s="5" t="n">
        <v>28099559000</v>
      </c>
      <c r="J813" s="4" t="n">
        <v>2.296499967575073</v>
      </c>
      <c r="K813" s="4" t="n">
        <v>0.5750999450683594</v>
      </c>
      <c r="L813" s="4" t="n">
        <v>0.2601000070571899</v>
      </c>
      <c r="M813" t="inlineStr">
        <is>
          <t>김동수</t>
        </is>
      </c>
      <c r="N813" t="inlineStr">
        <is>
          <t>02-424-7799</t>
        </is>
      </c>
      <c r="O813" t="inlineStr">
        <is>
          <t>02-424-9467</t>
        </is>
      </c>
      <c r="P813" s="3">
        <f>HYPERLINK("http://www.영진앵글.com", "http://www.영진앵글.com")</f>
        <v/>
      </c>
      <c r="Q813" t="inlineStr">
        <is>
          <t>2158676538</t>
        </is>
      </c>
      <c r="R813" t="inlineStr">
        <is>
          <t>1101113313618</t>
        </is>
      </c>
      <c r="S813" t="inlineStr">
        <is>
          <t>대상아님</t>
        </is>
      </c>
      <c r="T813" t="inlineStr">
        <is>
          <t>일반법인</t>
        </is>
      </c>
      <c r="U813" t="inlineStr">
        <is>
          <t>중소기업</t>
        </is>
      </c>
      <c r="V813" t="inlineStr">
        <is>
          <t>외부감사대상</t>
        </is>
      </c>
      <c r="W813" s="6" t="inlineStr">
        <is>
          <t>1998-12-01</t>
        </is>
      </c>
      <c r="X813" t="inlineStr">
        <is>
          <t>KRI:10G4672100</t>
        </is>
      </c>
      <c r="Y813" t="inlineStr">
        <is>
          <t>1차 금속제품 도매업</t>
        </is>
      </c>
      <c r="Z813" t="inlineStr">
        <is>
          <t>조립식앵글(상품진열용),중경량랙 도소매/설치공사</t>
        </is>
      </c>
      <c r="AA813" t="inlineStr">
        <is>
          <t>경기 하남시 미사동 304-2번지</t>
        </is>
      </c>
      <c r="AB813" t="inlineStr">
        <is>
          <t>경기 하남시 미사동로 46</t>
        </is>
      </c>
    </row>
    <row r="814" ht="19.2" customHeight="1" s="1">
      <c r="A814" t="inlineStr">
        <is>
          <t>NICE:371107</t>
        </is>
      </c>
      <c r="B814" t="inlineStr">
        <is>
          <t>마산아이포트</t>
        </is>
      </c>
      <c r="C814" s="5" t="n">
        <v>131692562000</v>
      </c>
      <c r="D814" s="5" t="n">
        <v>119934604000</v>
      </c>
      <c r="E814" s="5" t="n">
        <v>11757959000</v>
      </c>
      <c r="F814" s="5" t="n">
        <v>37416555000</v>
      </c>
      <c r="G814" s="5" t="n">
        <v>6335491000</v>
      </c>
      <c r="H814" s="5" t="n">
        <v>36926466000</v>
      </c>
      <c r="I814" s="5" t="n">
        <v>6576604000</v>
      </c>
      <c r="J814" s="4" t="n">
        <v>1.939599990844727</v>
      </c>
      <c r="K814" s="4" t="n">
        <v>10.2003002166748</v>
      </c>
      <c r="L814" s="4" t="n">
        <v>0.1693000048398972</v>
      </c>
      <c r="M814" t="inlineStr">
        <is>
          <t>우상범</t>
        </is>
      </c>
      <c r="N814" t="inlineStr">
        <is>
          <t>055-240-4600</t>
        </is>
      </c>
      <c r="O814" t="inlineStr">
        <is>
          <t>055-240-4601</t>
        </is>
      </c>
      <c r="P814" s="3">
        <f>HYPERLINK("http://www.mgnp.co.kr/", "http://www.mgnp.co.kr/")</f>
        <v/>
      </c>
      <c r="Q814" t="inlineStr">
        <is>
          <t>6088156006</t>
        </is>
      </c>
      <c r="R814" t="inlineStr">
        <is>
          <t>1901110054102</t>
        </is>
      </c>
      <c r="S814" t="inlineStr">
        <is>
          <t>대상아님</t>
        </is>
      </c>
      <c r="T814" t="inlineStr">
        <is>
          <t>일반법인</t>
        </is>
      </c>
      <c r="U814" t="inlineStr">
        <is>
          <t>중소기업</t>
        </is>
      </c>
      <c r="V814" t="inlineStr">
        <is>
          <t>외부감사대상</t>
        </is>
      </c>
      <c r="W814" s="6" t="inlineStr">
        <is>
          <t>2004-05-25</t>
        </is>
      </c>
      <c r="X814" t="inlineStr">
        <is>
          <t>KRI:10H5294200</t>
        </is>
      </c>
      <c r="Y814" t="inlineStr">
        <is>
          <t>수상 화물 취급업</t>
        </is>
      </c>
      <c r="Z814" t="inlineStr">
        <is>
          <t>수상화물 취급,부대,계량 증명/부동산 전대</t>
        </is>
      </c>
      <c r="AA814" t="inlineStr">
        <is>
          <t>경남 창원시 마산합포구 가포동 612번지</t>
        </is>
      </c>
      <c r="AB814" t="inlineStr">
        <is>
          <t>경남 창원시 마산합포구 드림베이대로 201</t>
        </is>
      </c>
    </row>
    <row r="815" ht="19.2" customHeight="1" s="1">
      <c r="A815" t="inlineStr">
        <is>
          <t>NICE:M17029</t>
        </is>
      </c>
      <c r="B815" t="inlineStr">
        <is>
          <t>올데이프레쉬</t>
        </is>
      </c>
      <c r="C815" s="5" t="n">
        <v>121629515000</v>
      </c>
      <c r="D815" s="5" t="n">
        <v>53853960000</v>
      </c>
      <c r="E815" s="5" t="n">
        <v>67775555000</v>
      </c>
      <c r="F815" s="5" t="n">
        <v>209910421000</v>
      </c>
      <c r="G815" s="5" t="n">
        <v>73523358000</v>
      </c>
      <c r="H815" s="5" t="n">
        <v>53991772000</v>
      </c>
      <c r="I815" s="5" t="n">
        <v>13745041000</v>
      </c>
      <c r="J815" s="4" t="n">
        <v>2.199699878692627</v>
      </c>
      <c r="K815" s="4" t="n">
        <v>0.7945999503135681</v>
      </c>
      <c r="L815" s="4" t="n">
        <v>0.3502999842166901</v>
      </c>
      <c r="M815" t="inlineStr">
        <is>
          <t>전진형</t>
        </is>
      </c>
      <c r="N815" t="inlineStr">
        <is>
          <t>02-6427-0203</t>
        </is>
      </c>
      <c r="O815" t="inlineStr">
        <is>
          <t>02-6091-1010</t>
        </is>
      </c>
      <c r="P815" s="3">
        <f>HYPERLINK("https://샤브올데이.com", "https://샤브올데이.com")</f>
        <v/>
      </c>
      <c r="Q815" t="inlineStr">
        <is>
          <t>2158795283</t>
        </is>
      </c>
      <c r="R815" t="inlineStr">
        <is>
          <t>1101115514991</t>
        </is>
      </c>
      <c r="S815" t="inlineStr">
        <is>
          <t>대상아님</t>
        </is>
      </c>
      <c r="T815" t="inlineStr">
        <is>
          <t>일반법인</t>
        </is>
      </c>
      <c r="U815" t="inlineStr">
        <is>
          <t>중소기업</t>
        </is>
      </c>
      <c r="V815" t="inlineStr">
        <is>
          <t>외부감사대상</t>
        </is>
      </c>
      <c r="W815" s="6" t="inlineStr">
        <is>
          <t>2014-09-17</t>
        </is>
      </c>
      <c r="X815" t="inlineStr">
        <is>
          <t>KRI:10M7153100</t>
        </is>
      </c>
      <c r="Y815" t="inlineStr">
        <is>
          <t>경영 컨설팅업</t>
        </is>
      </c>
      <c r="Z815" t="inlineStr">
        <is>
          <t>프랜차이즈가맹,가맹점 관리/주방가전 집기 도소매</t>
        </is>
      </c>
      <c r="AA815" t="inlineStr">
        <is>
          <t>서울 송파구 가락동 114번지 몬로스타 5층</t>
        </is>
      </c>
      <c r="AB815" t="inlineStr">
        <is>
          <t>서울 송파구 중대로12길 10, 5층 (가락동,몬로스타)</t>
        </is>
      </c>
    </row>
    <row r="816" s="1">
      <c r="A816" t="inlineStr">
        <is>
          <t>NICE:150769</t>
        </is>
      </c>
      <c r="B816" t="inlineStr">
        <is>
          <t>지성큐앤텍</t>
        </is>
      </c>
      <c r="C816" s="5" t="n">
        <v>101312666000</v>
      </c>
      <c r="D816" s="5" t="n">
        <v>74705024000</v>
      </c>
      <c r="E816" s="5" t="n">
        <v>26607642000</v>
      </c>
      <c r="F816" s="5" t="n">
        <v>88125491000</v>
      </c>
      <c r="G816" s="5" t="n">
        <v>9108229000</v>
      </c>
      <c r="H816" s="5" t="n">
        <v>58106925000</v>
      </c>
      <c r="I816" s="5" t="n">
        <v>4095657000</v>
      </c>
      <c r="J816" s="4" t="n">
        <v>0.944100022315979</v>
      </c>
      <c r="K816" s="4" t="n">
        <v>2.807699918746948</v>
      </c>
      <c r="L816" s="4" t="n">
        <v>0.1033999994397163</v>
      </c>
      <c r="M816" t="inlineStr">
        <is>
          <t>박희석/최외규</t>
        </is>
      </c>
      <c r="N816" t="inlineStr">
        <is>
          <t>055-285-2446</t>
        </is>
      </c>
      <c r="O816" t="inlineStr">
        <is>
          <t>055-285-5916</t>
        </is>
      </c>
      <c r="P816">
        <f>HYPERLINK("http://www.jisungqt.com", "http://www.jisungqt.com")</f>
        <v/>
      </c>
      <c r="Q816" t="inlineStr">
        <is>
          <t>6098127445</t>
        </is>
      </c>
      <c r="R816" t="inlineStr">
        <is>
          <t>1942110023490</t>
        </is>
      </c>
      <c r="S816" t="inlineStr">
        <is>
          <t>대상아님</t>
        </is>
      </c>
      <c r="T816" t="inlineStr">
        <is>
          <t>일반법인</t>
        </is>
      </c>
      <c r="U816" t="inlineStr">
        <is>
          <t>중소기업</t>
        </is>
      </c>
      <c r="V816" t="inlineStr">
        <is>
          <t>외부감사대상</t>
        </is>
      </c>
      <c r="W816" s="6" t="inlineStr">
        <is>
          <t>1993-03-01</t>
        </is>
      </c>
      <c r="X816" t="inlineStr">
        <is>
          <t>KRI:10C3191000</t>
        </is>
      </c>
      <c r="Y816" t="inlineStr">
        <is>
          <t>전투용 차량 제조업</t>
        </is>
      </c>
      <c r="Z816" t="inlineStr">
        <is>
          <t>자동차부품,압력용기 제조/가스시설시공</t>
        </is>
      </c>
      <c r="AA816" t="inlineStr">
        <is>
          <t>경남 창원시 성산구 남산동 604-44번지</t>
        </is>
      </c>
      <c r="AB816" t="inlineStr">
        <is>
          <t>경남 창원시 성산구 성주로81번길 6</t>
        </is>
      </c>
    </row>
    <row r="817" ht="19.2" customHeight="1" s="1">
      <c r="A817" t="inlineStr">
        <is>
          <t>NICE:C16217</t>
        </is>
      </c>
      <c r="B817" t="inlineStr">
        <is>
          <t>시노다이나믹스</t>
        </is>
      </c>
      <c r="C817" s="5" t="n">
        <v>61117153000</v>
      </c>
      <c r="D817" s="5" t="n">
        <v>36866133000</v>
      </c>
      <c r="E817" s="5" t="n">
        <v>24251020000</v>
      </c>
      <c r="F817" s="5" t="n">
        <v>27569741000</v>
      </c>
      <c r="G817" s="5" t="n">
        <v>6641065000</v>
      </c>
      <c r="H817" s="5" t="n">
        <v>11479442000</v>
      </c>
      <c r="I817" s="5" t="n">
        <v>3794740000</v>
      </c>
      <c r="J817" s="4" t="n">
        <v>1.285500049591064</v>
      </c>
      <c r="K817" s="4" t="n">
        <v>1.52020001411438</v>
      </c>
      <c r="L817" s="4" t="n">
        <v>0.240899994969368</v>
      </c>
      <c r="M817" t="inlineStr">
        <is>
          <t>이대우/이진희</t>
        </is>
      </c>
      <c r="P817" s="3">
        <f>HYPERLINK("https://synotex.com", "https://synotex.com")</f>
        <v/>
      </c>
      <c r="Q817" t="inlineStr">
        <is>
          <t>2118802872</t>
        </is>
      </c>
      <c r="R817" t="inlineStr">
        <is>
          <t>1101113755042</t>
        </is>
      </c>
      <c r="S817" t="inlineStr">
        <is>
          <t>대상아님</t>
        </is>
      </c>
      <c r="T817" t="inlineStr">
        <is>
          <t>일반법인</t>
        </is>
      </c>
      <c r="U817" t="inlineStr">
        <is>
          <t>중소기업</t>
        </is>
      </c>
      <c r="V817" t="inlineStr">
        <is>
          <t>외부감사대상</t>
        </is>
      </c>
      <c r="W817" s="6" t="inlineStr">
        <is>
          <t>2007-09-14</t>
        </is>
      </c>
      <c r="X817" t="inlineStr">
        <is>
          <t>KRI:10G4679900</t>
        </is>
      </c>
      <c r="Y817" t="inlineStr">
        <is>
          <t>그 외 기타 상품 전문 도매업</t>
        </is>
      </c>
      <c r="Z817" t="inlineStr">
        <is>
          <t>군납물자,항공기용부품,마스크,필터 도소매/전자제품,전장품 제조/지주사업</t>
        </is>
      </c>
      <c r="AA817" t="inlineStr">
        <is>
          <t>서울 강남구 삼성동 157-8번지 LG트윈텔1차 17층 1710호</t>
        </is>
      </c>
      <c r="AB817" t="inlineStr">
        <is>
          <t>서울 강남구 삼성로96길 6, 17층 1710호 (삼성동,LG트윈텔1차)</t>
        </is>
      </c>
    </row>
    <row r="818" ht="19.2" customHeight="1" s="1">
      <c r="A818" t="inlineStr">
        <is>
          <t>NICE:HS8236</t>
        </is>
      </c>
      <c r="B818" t="inlineStr">
        <is>
          <t>시즐</t>
        </is>
      </c>
      <c r="C818" s="5" t="n">
        <v>54873405000</v>
      </c>
      <c r="D818" s="5" t="n">
        <v>12013116000</v>
      </c>
      <c r="E818" s="5" t="n">
        <v>42860288000</v>
      </c>
      <c r="F818" s="5" t="n">
        <v>38237240000</v>
      </c>
      <c r="G818" s="5" t="n">
        <v>4898586000</v>
      </c>
      <c r="H818" s="5" t="n">
        <v>27122659000</v>
      </c>
      <c r="I818" s="5" t="n">
        <v>1505525000</v>
      </c>
      <c r="J818" s="4" t="n">
        <v>4.515699863433838</v>
      </c>
      <c r="K818" s="4" t="n">
        <v>0.2802999913692474</v>
      </c>
      <c r="L818" s="4" t="n">
        <v>0.1281000077724457</v>
      </c>
      <c r="M818" t="inlineStr">
        <is>
          <t>이지현</t>
        </is>
      </c>
      <c r="N818" t="inlineStr">
        <is>
          <t>032-458-5520</t>
        </is>
      </c>
      <c r="O818" t="inlineStr">
        <is>
          <t>032-458-5521</t>
        </is>
      </c>
      <c r="P818" s="3">
        <f>HYPERLINK("http://sizl.co.kr", "http://sizl.co.kr")</f>
        <v/>
      </c>
      <c r="Q818" t="inlineStr">
        <is>
          <t>2048800482</t>
        </is>
      </c>
      <c r="R818" t="inlineStr">
        <is>
          <t>1101116140480</t>
        </is>
      </c>
      <c r="S818" t="inlineStr">
        <is>
          <t>대상아님</t>
        </is>
      </c>
      <c r="T818" t="inlineStr">
        <is>
          <t>일반법인</t>
        </is>
      </c>
      <c r="U818" t="inlineStr">
        <is>
          <t>중소기업</t>
        </is>
      </c>
      <c r="V818" t="inlineStr">
        <is>
          <t>외부감사대상</t>
        </is>
      </c>
      <c r="W818" s="6" t="inlineStr">
        <is>
          <t>2016-08-04</t>
        </is>
      </c>
      <c r="X818" t="inlineStr">
        <is>
          <t>KRI:10J6201000</t>
        </is>
      </c>
      <c r="Y818" t="inlineStr">
        <is>
          <t>컴퓨터 프로그래밍 서비스업</t>
        </is>
      </c>
      <c r="Z818" t="inlineStr">
        <is>
          <t>인지소프트웨어 개발,공급(자연어처리 알고리즘 외),하드웨어 플랫폼 기획,설계</t>
        </is>
      </c>
      <c r="AA818" t="inlineStr">
        <is>
          <t>경기 안양시 동안구 호계동 555-37번지 호계금정역 에스케이브이1센터 3층 319호</t>
        </is>
      </c>
      <c r="AB818" t="inlineStr">
        <is>
          <t>경기 안양시 동안구 엘에스로 142, 3층 319호 (호계동,호계금정역 에스케이브이1센터)</t>
        </is>
      </c>
    </row>
    <row r="819" ht="19.2" customHeight="1" s="1">
      <c r="A819" t="inlineStr">
        <is>
          <t>NICE:F85343</t>
        </is>
      </c>
      <c r="B819" t="inlineStr">
        <is>
          <t>인트란스</t>
        </is>
      </c>
      <c r="C819" s="5" t="n">
        <v>24857260000</v>
      </c>
      <c r="D819" s="5" t="n">
        <v>14533154000</v>
      </c>
      <c r="E819" s="5" t="n">
        <v>10324106000</v>
      </c>
      <c r="F819" s="5" t="n">
        <v>21735704000</v>
      </c>
      <c r="G819" s="5" t="n">
        <v>5792600000</v>
      </c>
      <c r="H819" s="5" t="n">
        <v>12558120000</v>
      </c>
      <c r="I819" s="5" t="n">
        <v>1850589000</v>
      </c>
      <c r="J819" s="4" t="n">
        <v>2.252700090408325</v>
      </c>
      <c r="K819" s="4" t="n">
        <v>1.407700061798096</v>
      </c>
      <c r="L819" s="4" t="n">
        <v>0.2664999961853027</v>
      </c>
      <c r="M819" t="inlineStr">
        <is>
          <t>박성일</t>
        </is>
      </c>
      <c r="N819" t="inlineStr">
        <is>
          <t>02-757-3381</t>
        </is>
      </c>
      <c r="O819" t="inlineStr">
        <is>
          <t>02-723-7722</t>
        </is>
      </c>
      <c r="P819" s="3" t="n"/>
      <c r="Q819" t="inlineStr">
        <is>
          <t>6218182206</t>
        </is>
      </c>
      <c r="R819" t="inlineStr">
        <is>
          <t>1801110693952</t>
        </is>
      </c>
      <c r="S819" t="inlineStr">
        <is>
          <t>대상아님</t>
        </is>
      </c>
      <c r="T819" t="inlineStr">
        <is>
          <t>일반법인</t>
        </is>
      </c>
      <c r="U819" t="inlineStr">
        <is>
          <t>중소기업</t>
        </is>
      </c>
      <c r="V819" t="inlineStr">
        <is>
          <t>외부감사대상</t>
        </is>
      </c>
      <c r="W819" s="6" t="inlineStr">
        <is>
          <t>2009-11-16</t>
        </is>
      </c>
      <c r="X819" t="inlineStr">
        <is>
          <t>KRI:10H5012200</t>
        </is>
      </c>
      <c r="Y819" t="inlineStr">
        <is>
          <t>내항 화물 운송업</t>
        </is>
      </c>
      <c r="Z819" t="inlineStr">
        <is>
          <t>내항 화물 운송업</t>
        </is>
      </c>
      <c r="AA819" t="inlineStr">
        <is>
          <t>서울 성북구 성북동 15-218번지 1층</t>
        </is>
      </c>
      <c r="AB819" t="inlineStr">
        <is>
          <t>서울 성북구 대사관로 141-24, 1층</t>
        </is>
      </c>
    </row>
    <row r="820" ht="19.2" customHeight="1" s="1">
      <c r="A820" t="inlineStr">
        <is>
          <t>NICE:T46518</t>
        </is>
      </c>
      <c r="B820" t="inlineStr">
        <is>
          <t>창성종합건설</t>
        </is>
      </c>
      <c r="C820" s="5" t="n">
        <v>21904778000</v>
      </c>
      <c r="D820" s="5" t="n">
        <v>7549248000</v>
      </c>
      <c r="E820" s="5" t="n">
        <v>14355530000</v>
      </c>
      <c r="F820" s="5" t="n">
        <v>34380295000</v>
      </c>
      <c r="G820" s="5" t="n">
        <v>4204123000</v>
      </c>
      <c r="H820" s="5" t="n">
        <v>31788346000</v>
      </c>
      <c r="I820" s="5" t="n">
        <v>3826388000</v>
      </c>
      <c r="J820" s="4" t="n">
        <v>2.223699808120728</v>
      </c>
      <c r="K820" s="4" t="n">
        <v>0.5259000062942505</v>
      </c>
      <c r="L820" s="4" t="n">
        <v>0.1222999915480614</v>
      </c>
      <c r="M820" t="inlineStr">
        <is>
          <t>이한철</t>
        </is>
      </c>
      <c r="N820" t="inlineStr">
        <is>
          <t>031-323-0491</t>
        </is>
      </c>
      <c r="O820" t="inlineStr">
        <is>
          <t>031-624-4484</t>
        </is>
      </c>
      <c r="P820" s="3">
        <f>HYPERLINK("http://www.cscst.co.kr", "http://www.cscst.co.kr")</f>
        <v/>
      </c>
      <c r="Q820" t="inlineStr">
        <is>
          <t>1348635693</t>
        </is>
      </c>
      <c r="R820" t="inlineStr">
        <is>
          <t>1314110190878</t>
        </is>
      </c>
      <c r="S820" t="inlineStr">
        <is>
          <t>대상아님</t>
        </is>
      </c>
      <c r="T820" t="inlineStr">
        <is>
          <t>일반법인</t>
        </is>
      </c>
      <c r="U820" t="inlineStr">
        <is>
          <t>중소기업</t>
        </is>
      </c>
      <c r="V820" t="inlineStr">
        <is>
          <t>외부감사대상</t>
        </is>
      </c>
      <c r="W820" s="6" t="inlineStr">
        <is>
          <t>2006-12-28</t>
        </is>
      </c>
      <c r="X820" t="inlineStr">
        <is>
          <t>KRI:10F4212100</t>
        </is>
      </c>
      <c r="Y820" t="inlineStr">
        <is>
          <t>토공사업</t>
        </is>
      </c>
      <c r="Z820" t="inlineStr">
        <is>
          <t>토건공사,LED 제조,건축공사,토목공사,철근콘크리트공사업,상하수도설비공사업,시설물유지관리업,비주거용 건물 임대업(점포, 자기땅)</t>
        </is>
      </c>
      <c r="AA820" t="inlineStr">
        <is>
          <t>경기 용인시 처인구 유방동 699-2번지 4층</t>
        </is>
      </c>
      <c r="AB820" t="inlineStr">
        <is>
          <t>경기 용인시 처인구 성산로 327-19, 4층</t>
        </is>
      </c>
    </row>
    <row r="821" ht="19.2" customHeight="1" s="1">
      <c r="A821" t="inlineStr">
        <is>
          <t>NICE:G96366</t>
        </is>
      </c>
      <c r="B821" t="inlineStr">
        <is>
          <t>케이시스</t>
        </is>
      </c>
      <c r="C821" s="5" t="n">
        <v>20487104000</v>
      </c>
      <c r="D821" s="5" t="n">
        <v>3879128000</v>
      </c>
      <c r="E821" s="5" t="n">
        <v>16607975000</v>
      </c>
      <c r="F821" s="5" t="n">
        <v>25331744000</v>
      </c>
      <c r="G821" s="5" t="n">
        <v>4865566000</v>
      </c>
      <c r="H821" s="5" t="n">
        <v>25050576000</v>
      </c>
      <c r="I821" s="5" t="n">
        <v>6506224000</v>
      </c>
      <c r="J821" s="4" t="n">
        <v>4.263400077819824</v>
      </c>
      <c r="K821" s="4" t="n">
        <v>0.2336000055074692</v>
      </c>
      <c r="L821" s="4" t="n">
        <v>0.1920999884605408</v>
      </c>
      <c r="M821" t="inlineStr">
        <is>
          <t>천병민</t>
        </is>
      </c>
      <c r="N821" t="inlineStr">
        <is>
          <t>051-642-7800</t>
        </is>
      </c>
      <c r="O821" t="inlineStr">
        <is>
          <t>051-642-7200</t>
        </is>
      </c>
      <c r="P821" s="3">
        <f>HYPERLINK("http://www.ksys.co.kr", "http://www.ksys.co.kr")</f>
        <v/>
      </c>
      <c r="Q821" t="inlineStr">
        <is>
          <t>6178151266</t>
        </is>
      </c>
      <c r="R821" t="inlineStr">
        <is>
          <t>1801110480622</t>
        </is>
      </c>
      <c r="S821" t="inlineStr">
        <is>
          <t>대상아님</t>
        </is>
      </c>
      <c r="T821" t="inlineStr">
        <is>
          <t>일반법인</t>
        </is>
      </c>
      <c r="U821" t="inlineStr">
        <is>
          <t>중소기업</t>
        </is>
      </c>
      <c r="V821" t="inlineStr">
        <is>
          <t>외부감사대상</t>
        </is>
      </c>
      <c r="W821" s="6" t="inlineStr">
        <is>
          <t>2004-03-30</t>
        </is>
      </c>
      <c r="X821" t="inlineStr">
        <is>
          <t>KRI:10C2842300</t>
        </is>
      </c>
      <c r="Y821" t="inlineStr">
        <is>
          <t>전시 및 광고용 조명장치 제조업</t>
        </is>
      </c>
      <c r="Z821" t="inlineStr">
        <is>
          <t>LED전광판,영상디스플레이장치 제조/정보통신기기,영상,음향기기 도소매/정보통신공사,전기공사</t>
        </is>
      </c>
      <c r="AA821" t="inlineStr">
        <is>
          <t>부산 부산진구 전포동 327-27번지</t>
        </is>
      </c>
      <c r="AB821" t="inlineStr">
        <is>
          <t>부산 부산진구 진남로356번길 17</t>
        </is>
      </c>
    </row>
    <row r="822" ht="19.2" customHeight="1" s="1">
      <c r="A822" t="inlineStr">
        <is>
          <t>NICE:C98079</t>
        </is>
      </c>
      <c r="B822" t="inlineStr">
        <is>
          <t>금호티앤엘</t>
        </is>
      </c>
      <c r="C822" s="5" t="n">
        <v>189149941000</v>
      </c>
      <c r="D822" s="5" t="n">
        <v>50408188000</v>
      </c>
      <c r="E822" s="5" t="n">
        <v>138741753000</v>
      </c>
      <c r="F822" s="5" t="n">
        <v>98476743000</v>
      </c>
      <c r="G822" s="5" t="n">
        <v>15174940000</v>
      </c>
      <c r="H822" s="5" t="n">
        <v>95151616000</v>
      </c>
      <c r="I822" s="5" t="n">
        <v>15612617000</v>
      </c>
      <c r="J822" s="4" t="n">
        <v>2.005899906158447</v>
      </c>
      <c r="K822" s="4" t="n">
        <v>0.3632999956607819</v>
      </c>
      <c r="L822" s="4" t="n">
        <v>0.1541000008583069</v>
      </c>
      <c r="M822" t="inlineStr">
        <is>
          <t>송유선</t>
        </is>
      </c>
      <c r="N822" t="inlineStr">
        <is>
          <t>061-808-3311</t>
        </is>
      </c>
      <c r="O822" t="inlineStr">
        <is>
          <t>061-808-3329</t>
        </is>
      </c>
      <c r="P822" s="3">
        <f>HYPERLINK("http://www.ktnl.co.kr", "http://www.ktnl.co.kr")</f>
        <v/>
      </c>
      <c r="Q822" t="inlineStr">
        <is>
          <t>4178138794</t>
        </is>
      </c>
      <c r="R822" t="inlineStr">
        <is>
          <t>2062110039707</t>
        </is>
      </c>
      <c r="S822" t="inlineStr">
        <is>
          <t>대상아님</t>
        </is>
      </c>
      <c r="T822" t="inlineStr">
        <is>
          <t>일반법인</t>
        </is>
      </c>
      <c r="U822" t="inlineStr">
        <is>
          <t>중견기업</t>
        </is>
      </c>
      <c r="V822" t="inlineStr">
        <is>
          <t>외부감사대상</t>
        </is>
      </c>
      <c r="W822" s="6" t="inlineStr">
        <is>
          <t>2009-09-22</t>
        </is>
      </c>
      <c r="X822" t="inlineStr">
        <is>
          <t>KRI:10H5294200</t>
        </is>
      </c>
      <c r="Y822" t="inlineStr">
        <is>
          <t>수상 화물 취급업</t>
        </is>
      </c>
      <c r="Z822" t="inlineStr">
        <is>
          <t>수상 화물 취급(유연탄 하역,보관,이송)</t>
        </is>
      </c>
      <c r="AA822" t="inlineStr">
        <is>
          <t>전남 여수시 낙포동 1354번지</t>
        </is>
      </c>
      <c r="AB822" t="inlineStr">
        <is>
          <t>전남 여수시 여수산단로 1469-100</t>
        </is>
      </c>
    </row>
    <row r="823" ht="19.2" customHeight="1" s="1">
      <c r="A823" t="inlineStr">
        <is>
          <t>NICE:494237</t>
        </is>
      </c>
      <c r="B823" t="inlineStr">
        <is>
          <t>한메가</t>
        </is>
      </c>
      <c r="C823" s="5" t="n">
        <v>158876566000</v>
      </c>
      <c r="D823" s="5" t="n">
        <v>15549988000</v>
      </c>
      <c r="E823" s="5" t="n">
        <v>143326578000</v>
      </c>
      <c r="F823" s="5" t="n">
        <v>109809076000</v>
      </c>
      <c r="G823" s="5" t="n">
        <v>26313554000</v>
      </c>
      <c r="H823" s="5" t="n">
        <v>113795681000</v>
      </c>
      <c r="I823" s="5" t="n">
        <v>27464108000</v>
      </c>
      <c r="J823" s="4" t="n">
        <v>7.875900268554688</v>
      </c>
      <c r="K823" s="4" t="n">
        <v>0.1085000038146973</v>
      </c>
      <c r="L823" s="4" t="n">
        <v>0.2395999878644943</v>
      </c>
      <c r="M823" t="inlineStr">
        <is>
          <t>강주승</t>
        </is>
      </c>
      <c r="N823" t="inlineStr">
        <is>
          <t>02-2027-8592</t>
        </is>
      </c>
      <c r="O823" t="inlineStr">
        <is>
          <t>02-2027-8575</t>
        </is>
      </c>
      <c r="P823" s="3">
        <f>HYPERLINK("http://www.hanmega.com", "http://www.hanmega.com")</f>
        <v/>
      </c>
      <c r="Q823" t="inlineStr">
        <is>
          <t>1198192045</t>
        </is>
      </c>
      <c r="R823" t="inlineStr">
        <is>
          <t>1101113516379</t>
        </is>
      </c>
      <c r="S823" t="inlineStr">
        <is>
          <t>대상아님</t>
        </is>
      </c>
      <c r="T823" t="inlineStr">
        <is>
          <t>일반법인</t>
        </is>
      </c>
      <c r="U823" t="inlineStr">
        <is>
          <t>중소기업</t>
        </is>
      </c>
      <c r="V823" t="inlineStr">
        <is>
          <t>외부감사대상</t>
        </is>
      </c>
      <c r="W823" s="6" t="inlineStr">
        <is>
          <t>2006-08-28</t>
        </is>
      </c>
      <c r="X823" t="inlineStr">
        <is>
          <t>KRI:10C2918000</t>
        </is>
      </c>
      <c r="Y823" t="inlineStr">
        <is>
          <t>사무용 기계 및 장비 제조업</t>
        </is>
      </c>
      <c r="Z823" t="inlineStr">
        <is>
          <t>사무계산,회계용기기,컴퓨터부품 제조,도소매/부동산 임대</t>
        </is>
      </c>
      <c r="AA823" t="inlineStr">
        <is>
          <t>서울 금천구 가산동 448번지 대륭테크노타운3차 2층</t>
        </is>
      </c>
      <c r="AB823" t="inlineStr">
        <is>
          <t>서울 금천구 가산디지털2로 115, 2층 (가산동,대륭테크노타운3차)</t>
        </is>
      </c>
    </row>
    <row r="824" s="1">
      <c r="A824" t="inlineStr">
        <is>
          <t>NICE:ME0820</t>
        </is>
      </c>
      <c r="B824" t="inlineStr">
        <is>
          <t>다이와로얄코리아</t>
        </is>
      </c>
      <c r="C824" s="5" t="n">
        <v>120820350000</v>
      </c>
      <c r="D824" s="5" t="n">
        <v>109259450000</v>
      </c>
      <c r="E824" s="5" t="n">
        <v>11560900000</v>
      </c>
      <c r="F824" s="5" t="n">
        <v>26531282000</v>
      </c>
      <c r="G824" s="5" t="n">
        <v>11216074000</v>
      </c>
      <c r="H824" s="5" t="n">
        <v>24354480000</v>
      </c>
      <c r="I824" s="5" t="n">
        <v>9747544000</v>
      </c>
      <c r="J824" s="4" t="n">
        <v>1.400799989700317</v>
      </c>
      <c r="K824" s="4" t="n">
        <v>9.450799942016602</v>
      </c>
      <c r="L824" s="4" t="n">
        <v>0.4226999878883362</v>
      </c>
      <c r="M824" t="inlineStr">
        <is>
          <t>타카츠카쿠니미츠</t>
        </is>
      </c>
      <c r="N824" t="inlineStr">
        <is>
          <t>02-3702-0300</t>
        </is>
      </c>
      <c r="O824" t="inlineStr">
        <is>
          <t>02-3702-0301</t>
        </is>
      </c>
      <c r="Q824" t="inlineStr">
        <is>
          <t>3258802055</t>
        </is>
      </c>
      <c r="R824" t="inlineStr">
        <is>
          <t>1101117779238</t>
        </is>
      </c>
      <c r="S824" t="inlineStr">
        <is>
          <t>대상아님</t>
        </is>
      </c>
      <c r="T824" t="inlineStr">
        <is>
          <t>일반법인</t>
        </is>
      </c>
      <c r="U824" t="inlineStr">
        <is>
          <t>중소기업</t>
        </is>
      </c>
      <c r="V824" t="inlineStr">
        <is>
          <t>외부감사대상</t>
        </is>
      </c>
      <c r="W824" s="6" t="inlineStr">
        <is>
          <t>2021-02-05</t>
        </is>
      </c>
      <c r="X824" t="inlineStr">
        <is>
          <t>KRI:10I5510100</t>
        </is>
      </c>
      <c r="Y824" t="inlineStr">
        <is>
          <t>호텔업</t>
        </is>
      </c>
      <c r="Z824" t="inlineStr">
        <is>
          <t>관광호텔/관광기념품,편의점,제과점 도소매</t>
        </is>
      </c>
      <c r="AA824" t="inlineStr">
        <is>
          <t>서울 마포구 도화동 573번지 3층</t>
        </is>
      </c>
      <c r="AB824" t="inlineStr">
        <is>
          <t>서울 마포구 마포대로 67, 3층</t>
        </is>
      </c>
    </row>
    <row r="825" ht="19.2" customHeight="1" s="1">
      <c r="A825" t="inlineStr">
        <is>
          <t>NICE:112853</t>
        </is>
      </c>
      <c r="B825" t="inlineStr">
        <is>
          <t>워터스코리아</t>
        </is>
      </c>
      <c r="C825" s="5" t="n">
        <v>81977680000</v>
      </c>
      <c r="D825" s="5" t="n">
        <v>62764711000</v>
      </c>
      <c r="E825" s="5" t="n">
        <v>19212968000</v>
      </c>
      <c r="F825" s="5" t="n">
        <v>128626427000</v>
      </c>
      <c r="G825" s="5" t="n">
        <v>18271601000</v>
      </c>
      <c r="H825" s="5" t="n">
        <v>126741527000</v>
      </c>
      <c r="I825" s="5" t="n">
        <v>20928102000</v>
      </c>
      <c r="J825" s="4" t="n">
        <v>1.226999998092651</v>
      </c>
      <c r="K825" s="4" t="n">
        <v>3.266799926757812</v>
      </c>
      <c r="L825" s="4" t="n">
        <v>0.142099991440773</v>
      </c>
      <c r="M825" t="inlineStr">
        <is>
          <t>장타오</t>
        </is>
      </c>
      <c r="N825" t="inlineStr">
        <is>
          <t>02-6300-4800</t>
        </is>
      </c>
      <c r="O825" t="inlineStr">
        <is>
          <t>02-6300-9250</t>
        </is>
      </c>
      <c r="P825" s="3">
        <f>HYPERLINK("http://www.waters.com", "http://www.waters.com")</f>
        <v/>
      </c>
      <c r="Q825" t="inlineStr">
        <is>
          <t>1188119944</t>
        </is>
      </c>
      <c r="R825" t="inlineStr">
        <is>
          <t>1101140029014</t>
        </is>
      </c>
      <c r="S825" t="inlineStr">
        <is>
          <t>대상아님</t>
        </is>
      </c>
      <c r="T825" t="inlineStr">
        <is>
          <t>일반법인</t>
        </is>
      </c>
      <c r="U825" t="inlineStr">
        <is>
          <t>중견기업</t>
        </is>
      </c>
      <c r="V825" t="inlineStr">
        <is>
          <t>외부감사대상</t>
        </is>
      </c>
      <c r="W825" s="6" t="inlineStr">
        <is>
          <t>1999-02-26</t>
        </is>
      </c>
      <c r="X825" t="inlineStr">
        <is>
          <t>KRI:10G4659300</t>
        </is>
      </c>
      <c r="Y825" t="inlineStr">
        <is>
          <t>정밀기기 및 과학기기 도매업</t>
        </is>
      </c>
      <c r="Z825" t="inlineStr">
        <is>
          <t>과학기기 도매,통신판매/과학기기 임대,A/S,학술연구용역,오파</t>
        </is>
      </c>
      <c r="AA825" t="inlineStr">
        <is>
          <t>경기 광명시 일직동 512-3번지 유플래닛타워 22층</t>
        </is>
      </c>
      <c r="AB825" t="inlineStr">
        <is>
          <t>경기 광명시 신기로 20, 22층 (일직동,유플래닛타워)</t>
        </is>
      </c>
    </row>
    <row r="826" ht="19.2" customHeight="1" s="1">
      <c r="A826" t="inlineStr">
        <is>
          <t>NICE:401801</t>
        </is>
      </c>
      <c r="B826" t="inlineStr">
        <is>
          <t>흥국산업</t>
        </is>
      </c>
      <c r="C826" s="5" t="n">
        <v>78110809000</v>
      </c>
      <c r="D826" s="5" t="n">
        <v>6074427000</v>
      </c>
      <c r="E826" s="5" t="n">
        <v>72036382000</v>
      </c>
      <c r="F826" s="5" t="n">
        <v>55385892000</v>
      </c>
      <c r="G826" s="5" t="n">
        <v>5838545000</v>
      </c>
      <c r="H826" s="5" t="n">
        <v>66162378000</v>
      </c>
      <c r="I826" s="5" t="n">
        <v>11830260000</v>
      </c>
      <c r="J826" s="4" t="n">
        <v>5.587699890136719</v>
      </c>
      <c r="K826" s="4" t="n">
        <v>0.08430000394582748</v>
      </c>
      <c r="L826" s="4" t="n">
        <v>0.1053999960422516</v>
      </c>
      <c r="M826" t="inlineStr">
        <is>
          <t>고종남</t>
        </is>
      </c>
      <c r="N826" t="inlineStr">
        <is>
          <t>1899-8001</t>
        </is>
      </c>
      <c r="O826" t="inlineStr">
        <is>
          <t>02-427-2840</t>
        </is>
      </c>
      <c r="P826" s="3">
        <f>HYPERLINK("http://www.hkone.co.kr", "http://www.hkone.co.kr")</f>
        <v/>
      </c>
      <c r="Q826" t="inlineStr">
        <is>
          <t>1018161162</t>
        </is>
      </c>
      <c r="R826" t="inlineStr">
        <is>
          <t>1101112033853</t>
        </is>
      </c>
      <c r="S826" t="inlineStr">
        <is>
          <t>대상아님</t>
        </is>
      </c>
      <c r="T826" t="inlineStr">
        <is>
          <t>일반법인</t>
        </is>
      </c>
      <c r="U826" t="inlineStr">
        <is>
          <t>중소기업</t>
        </is>
      </c>
      <c r="V826" t="inlineStr">
        <is>
          <t>외부감사대상</t>
        </is>
      </c>
      <c r="W826" s="6" t="inlineStr">
        <is>
          <t>2000-07-25</t>
        </is>
      </c>
      <c r="X826" t="inlineStr">
        <is>
          <t>KRI:10C2332200</t>
        </is>
      </c>
      <c r="Y826" t="inlineStr">
        <is>
          <t>레미콘 제조업</t>
        </is>
      </c>
      <c r="Z826" t="inlineStr">
        <is>
          <t>레미콘 제조</t>
        </is>
      </c>
      <c r="AA826" t="inlineStr">
        <is>
          <t>경기 하남시 초이동 628번지</t>
        </is>
      </c>
      <c r="AB826" t="inlineStr">
        <is>
          <t>경기 하남시 초광산단로 20</t>
        </is>
      </c>
    </row>
    <row r="827" ht="19.2" customHeight="1" s="1">
      <c r="A827" t="inlineStr">
        <is>
          <t>NICE:160251</t>
        </is>
      </c>
      <c r="B827" t="inlineStr">
        <is>
          <t>제일메디칼코퍼레이션</t>
        </is>
      </c>
      <c r="C827" s="5" t="n">
        <v>56803666000</v>
      </c>
      <c r="D827" s="5" t="n">
        <v>12157936000</v>
      </c>
      <c r="E827" s="5" t="n">
        <v>44645730000</v>
      </c>
      <c r="F827" s="5" t="n">
        <v>49021335000</v>
      </c>
      <c r="G827" s="5" t="n">
        <v>12300625000</v>
      </c>
      <c r="H827" s="5" t="n">
        <v>44701833000</v>
      </c>
      <c r="I827" s="5" t="n">
        <v>11080916000</v>
      </c>
      <c r="J827" s="4" t="n">
        <v>6.757299423217773</v>
      </c>
      <c r="K827" s="4" t="n">
        <v>0.2722999751567841</v>
      </c>
      <c r="L827" s="4" t="n">
        <v>0.250900000333786</v>
      </c>
      <c r="M827" t="inlineStr">
        <is>
          <t>박재일/박성진</t>
        </is>
      </c>
      <c r="N827" t="inlineStr">
        <is>
          <t>02-850-3500</t>
        </is>
      </c>
      <c r="O827" t="inlineStr">
        <is>
          <t>02-850-3535</t>
        </is>
      </c>
      <c r="P827" s="3">
        <f>HYPERLINK("http://www.jeilmed.co.kr", "http://www.jeilmed.co.kr")</f>
        <v/>
      </c>
      <c r="Q827" t="inlineStr">
        <is>
          <t>1138165759</t>
        </is>
      </c>
      <c r="R827" t="inlineStr">
        <is>
          <t>1101112018615</t>
        </is>
      </c>
      <c r="S827" t="inlineStr">
        <is>
          <t>대상아님</t>
        </is>
      </c>
      <c r="T827" t="inlineStr">
        <is>
          <t>일반법인</t>
        </is>
      </c>
      <c r="U827" t="inlineStr">
        <is>
          <t>중소기업</t>
        </is>
      </c>
      <c r="V827" t="inlineStr">
        <is>
          <t>외부감사대상</t>
        </is>
      </c>
      <c r="W827" s="6" t="inlineStr">
        <is>
          <t>2000-07-06</t>
        </is>
      </c>
      <c r="X827" t="inlineStr">
        <is>
          <t>KRI:10C2719100</t>
        </is>
      </c>
      <c r="Y827" t="inlineStr">
        <is>
          <t>치과용 기기 제조업</t>
        </is>
      </c>
      <c r="Z827" t="inlineStr">
        <is>
          <t>의료기기(치과용) 제조/무역,통신판매/부동산 임대</t>
        </is>
      </c>
      <c r="AA827" t="inlineStr">
        <is>
          <t>서울 구로구 구로동 811번지 코 702호,703호,704호,705호, 706호,804호,805호,807호,812호</t>
        </is>
      </c>
      <c r="AB827" t="inlineStr">
        <is>
          <t>서울 구로구 디지털로34길 55, 702호,703호,704호,705호, 706호,804호,805호,807호,812호 (구로동,코)</t>
        </is>
      </c>
    </row>
    <row r="828" ht="19.2" customHeight="1" s="1">
      <c r="A828" t="inlineStr">
        <is>
          <t>NICE:630578</t>
        </is>
      </c>
      <c r="B828" t="inlineStr">
        <is>
          <t>코리아나호텔</t>
        </is>
      </c>
      <c r="C828" s="5" t="n">
        <v>119421506000</v>
      </c>
      <c r="D828" s="5" t="n">
        <v>21816669000</v>
      </c>
      <c r="E828" s="5" t="n">
        <v>97604838000</v>
      </c>
      <c r="F828" s="5" t="n">
        <v>31244587000</v>
      </c>
      <c r="G828" s="5" t="n">
        <v>8621492000</v>
      </c>
      <c r="H828" s="5" t="n">
        <v>92294536000</v>
      </c>
      <c r="I828" s="5" t="n">
        <v>5666171000</v>
      </c>
      <c r="J828" s="4" t="n">
        <v>0.8989999890327454</v>
      </c>
      <c r="K828" s="4" t="n">
        <v>0.2234999984502792</v>
      </c>
      <c r="L828" s="4" t="n">
        <v>0.2759000062942505</v>
      </c>
      <c r="M828" t="inlineStr">
        <is>
          <t>방성오/방지오</t>
        </is>
      </c>
      <c r="N828" t="inlineStr">
        <is>
          <t>02-2171-7808</t>
        </is>
      </c>
      <c r="O828" t="inlineStr">
        <is>
          <t>02-722-6694</t>
        </is>
      </c>
      <c r="P828" s="3">
        <f>HYPERLINK("http://www.koreanahotel.com", "http://www.koreanahotel.com")</f>
        <v/>
      </c>
      <c r="Q828" t="inlineStr">
        <is>
          <t>1048125812</t>
        </is>
      </c>
      <c r="R828" t="inlineStr">
        <is>
          <t>1101110165369</t>
        </is>
      </c>
      <c r="S828" t="inlineStr">
        <is>
          <t>대상아님</t>
        </is>
      </c>
      <c r="T828" t="inlineStr">
        <is>
          <t>일반법인</t>
        </is>
      </c>
      <c r="U828" t="inlineStr">
        <is>
          <t>중소기업</t>
        </is>
      </c>
      <c r="V828" t="inlineStr">
        <is>
          <t>외부감사대상</t>
        </is>
      </c>
      <c r="W828" s="6" t="inlineStr">
        <is>
          <t>1974-05-23</t>
        </is>
      </c>
      <c r="X828" t="inlineStr">
        <is>
          <t>KRI:10I5510100</t>
        </is>
      </c>
      <c r="Y828" t="inlineStr">
        <is>
          <t>호텔업</t>
        </is>
      </c>
      <c r="Z828" t="inlineStr">
        <is>
          <t>호텔 운영/오피스텔 임대</t>
        </is>
      </c>
      <c r="AA828" t="inlineStr">
        <is>
          <t>서울 중구 태평로1가 61-1번지</t>
        </is>
      </c>
      <c r="AB828" t="inlineStr">
        <is>
          <t>서울 중구 세종대로 135</t>
        </is>
      </c>
    </row>
    <row r="829" ht="19.2" customHeight="1" s="1">
      <c r="A829" t="inlineStr">
        <is>
          <t>NICE:387371</t>
        </is>
      </c>
      <c r="B829" t="inlineStr">
        <is>
          <t>파카하니핀커넥터</t>
        </is>
      </c>
      <c r="C829" s="5" t="n">
        <v>63203392000</v>
      </c>
      <c r="D829" s="5" t="n">
        <v>27133868000</v>
      </c>
      <c r="E829" s="5" t="n">
        <v>36069524000</v>
      </c>
      <c r="F829" s="5" t="n">
        <v>135292734000</v>
      </c>
      <c r="G829" s="5" t="n">
        <v>20695329000</v>
      </c>
      <c r="H829" s="5" t="n">
        <v>147911288000</v>
      </c>
      <c r="I829" s="5" t="n">
        <v>18672806000</v>
      </c>
      <c r="J829" s="4" t="n">
        <v>1.744499921798706</v>
      </c>
      <c r="K829" s="4" t="n">
        <v>0.7523000240325928</v>
      </c>
      <c r="L829" s="4" t="n">
        <v>0.1529999971389771</v>
      </c>
      <c r="M829" t="inlineStr">
        <is>
          <t>이승훈</t>
        </is>
      </c>
      <c r="N829" t="inlineStr">
        <is>
          <t>055-371-3300</t>
        </is>
      </c>
      <c r="O829" t="inlineStr">
        <is>
          <t>055-389-0111</t>
        </is>
      </c>
      <c r="P829" s="3">
        <f>HYPERLINK("http://www.parker.com", "http://www.parker.com")</f>
        <v/>
      </c>
      <c r="Q829" t="inlineStr">
        <is>
          <t>6218105795</t>
        </is>
      </c>
      <c r="R829" t="inlineStr">
        <is>
          <t>1845110001682</t>
        </is>
      </c>
      <c r="S829" t="inlineStr">
        <is>
          <t>대상아님</t>
        </is>
      </c>
      <c r="T829" t="inlineStr">
        <is>
          <t>일반법인</t>
        </is>
      </c>
      <c r="U829" t="inlineStr">
        <is>
          <t>중견기업</t>
        </is>
      </c>
      <c r="V829" t="inlineStr">
        <is>
          <t>외부감사대상</t>
        </is>
      </c>
      <c r="W829" s="6" t="inlineStr">
        <is>
          <t>1986-04-18</t>
        </is>
      </c>
      <c r="X829" t="inlineStr">
        <is>
          <t>KRI:10C2219200</t>
        </is>
      </c>
      <c r="Y829" t="inlineStr">
        <is>
          <t>산업용 그 외 비경화 고무제품 제조업</t>
        </is>
      </c>
      <c r="Z829" t="inlineStr">
        <is>
          <t>산업용비경화고무제품(유압호스,호스피팅,어셈블리,어댑터,튜브피팅),조선,해양구조물부품 제조</t>
        </is>
      </c>
      <c r="AA829" t="inlineStr">
        <is>
          <t>경남 양산시 유산동 475번지</t>
        </is>
      </c>
      <c r="AB829" t="inlineStr">
        <is>
          <t>경남 양산시 유산공단4길 77</t>
        </is>
      </c>
    </row>
    <row r="830" s="1">
      <c r="A830" t="inlineStr">
        <is>
          <t>NICE:469213</t>
        </is>
      </c>
      <c r="B830" t="inlineStr">
        <is>
          <t>엔텍월드</t>
        </is>
      </c>
      <c r="C830" s="5" t="n">
        <v>56899591000</v>
      </c>
      <c r="D830" s="5" t="n">
        <v>33204440000</v>
      </c>
      <c r="E830" s="5" t="n">
        <v>23695151000</v>
      </c>
      <c r="F830" s="5" t="n">
        <v>60523976000</v>
      </c>
      <c r="G830" s="5" t="n">
        <v>8021368000</v>
      </c>
      <c r="H830" s="5" t="n">
        <v>52474291000</v>
      </c>
      <c r="I830" s="5" t="n">
        <v>5097906000</v>
      </c>
      <c r="J830" s="4" t="n">
        <v>0.4425999820232391</v>
      </c>
      <c r="K830" s="4" t="n">
        <v>1.401300072669983</v>
      </c>
      <c r="L830" s="4" t="n">
        <v>0.1324999928474426</v>
      </c>
      <c r="M830" t="inlineStr">
        <is>
          <t>안병립</t>
        </is>
      </c>
      <c r="N830" t="inlineStr">
        <is>
          <t>02-6670-5230-8</t>
        </is>
      </c>
      <c r="O830" t="inlineStr">
        <is>
          <t>02-6670-5239</t>
        </is>
      </c>
      <c r="P830">
        <f>HYPERLINK("http://www.entechworld.net", "http://www.entechworld.net")</f>
        <v/>
      </c>
      <c r="Q830" t="inlineStr">
        <is>
          <t>1198181214</t>
        </is>
      </c>
      <c r="R830" t="inlineStr">
        <is>
          <t>1101113242396</t>
        </is>
      </c>
      <c r="S830" t="inlineStr">
        <is>
          <t>대상아님</t>
        </is>
      </c>
      <c r="T830" t="inlineStr">
        <is>
          <t>일반법인</t>
        </is>
      </c>
      <c r="U830" t="inlineStr">
        <is>
          <t>중소기업</t>
        </is>
      </c>
      <c r="V830" t="inlineStr">
        <is>
          <t>외부감사대상</t>
        </is>
      </c>
      <c r="W830" s="6" t="inlineStr">
        <is>
          <t>2005-06-03</t>
        </is>
      </c>
      <c r="X830" t="inlineStr">
        <is>
          <t>KRI:10F4231100</t>
        </is>
      </c>
      <c r="Y830" t="inlineStr">
        <is>
          <t>일반전기 공사업</t>
        </is>
      </c>
      <c r="Z830" t="inlineStr">
        <is>
          <t>전기공사,통신공사/배전반,자동제어시스템,전동기류,전기회로 제조/석재(건축자재) 도소매</t>
        </is>
      </c>
      <c r="AA830" t="inlineStr">
        <is>
          <t>서울 금천구 가산동 470-5번지 에이스테크노타워10차 1201호 ,1209호</t>
        </is>
      </c>
      <c r="AB830" t="inlineStr">
        <is>
          <t>서울 금천구 가산디지털1로 196, 1201호 ,1209호 (가산동,에이스테크노타워10차)</t>
        </is>
      </c>
    </row>
    <row r="831" ht="19.2" customHeight="1" s="1">
      <c r="A831" t="inlineStr">
        <is>
          <t>NICE:HO4515</t>
        </is>
      </c>
      <c r="B831" t="inlineStr">
        <is>
          <t>모노글로트홀딩스</t>
        </is>
      </c>
      <c r="C831" s="5" t="n">
        <v>39551014000</v>
      </c>
      <c r="D831" s="5" t="n">
        <v>35667037000</v>
      </c>
      <c r="E831" s="5" t="n">
        <v>3883977000</v>
      </c>
      <c r="F831" s="5" t="n">
        <v>24924250000</v>
      </c>
      <c r="G831" s="5" t="n">
        <v>2759041000</v>
      </c>
      <c r="H831" s="5" t="n">
        <v>29015044000</v>
      </c>
      <c r="I831" s="5" t="n">
        <v>2193826000</v>
      </c>
      <c r="J831" s="4" t="n">
        <v>0.4145999848842621</v>
      </c>
      <c r="K831" s="4" t="n">
        <v>9.183099746704102</v>
      </c>
      <c r="L831" s="4" t="n">
        <v>0.1106999963521957</v>
      </c>
      <c r="M831" t="inlineStr">
        <is>
          <t>유양희</t>
        </is>
      </c>
      <c r="N831" t="inlineStr">
        <is>
          <t>02-548-4399</t>
        </is>
      </c>
      <c r="O831" t="inlineStr">
        <is>
          <t>02-332-4399</t>
        </is>
      </c>
      <c r="P831" s="3">
        <f>HYPERLINK("http://monoglot.co.kr", "http://monoglot.co.kr")</f>
        <v/>
      </c>
      <c r="Q831" t="inlineStr">
        <is>
          <t>1028144680</t>
        </is>
      </c>
      <c r="R831" t="inlineStr">
        <is>
          <t>1101116004610</t>
        </is>
      </c>
      <c r="S831" t="inlineStr">
        <is>
          <t>대상아님</t>
        </is>
      </c>
      <c r="T831" t="inlineStr">
        <is>
          <t>일반법인</t>
        </is>
      </c>
      <c r="U831" t="inlineStr">
        <is>
          <t>중소기업</t>
        </is>
      </c>
      <c r="V831" t="inlineStr">
        <is>
          <t>외부감사대상</t>
        </is>
      </c>
      <c r="W831" s="6" t="inlineStr">
        <is>
          <t>2016-03-18</t>
        </is>
      </c>
      <c r="X831" t="inlineStr">
        <is>
          <t>KRI:10G4644300</t>
        </is>
      </c>
      <c r="Y831" t="inlineStr">
        <is>
          <t>화장품 및 화장용품 도매업</t>
        </is>
      </c>
      <c r="Z831" t="inlineStr">
        <is>
          <t>화장품,의류,잡화,건강보조식품,가정용직물제품 도소매,무역,전자상거래/화장품 제조/서양식 음식점,비알콜 음료점</t>
        </is>
      </c>
      <c r="AA831" t="inlineStr">
        <is>
          <t>서울 마포구 동교동 166-10번지</t>
        </is>
      </c>
      <c r="AB831" t="inlineStr">
        <is>
          <t>서울 마포구 홍익로6길 67</t>
        </is>
      </c>
    </row>
    <row r="832" ht="19.2" customHeight="1" s="1">
      <c r="A832" t="inlineStr">
        <is>
          <t>NICE:C15171</t>
        </is>
      </c>
      <c r="B832" t="inlineStr">
        <is>
          <t>보람엔지니어링건축사사무소</t>
        </is>
      </c>
      <c r="C832" s="5" t="n">
        <v>17731532000</v>
      </c>
      <c r="D832" s="5" t="n">
        <v>5968819000</v>
      </c>
      <c r="E832" s="5" t="n">
        <v>11762714000</v>
      </c>
      <c r="F832" s="5" t="n">
        <v>33611913000</v>
      </c>
      <c r="G832" s="5" t="n">
        <v>4105116000</v>
      </c>
      <c r="H832" s="5" t="n">
        <v>30959679000</v>
      </c>
      <c r="I832" s="5" t="n">
        <v>3459164000</v>
      </c>
      <c r="J832" s="4" t="n">
        <v>2.291799783706665</v>
      </c>
      <c r="K832" s="4" t="n">
        <v>0.5073999762535095</v>
      </c>
      <c r="L832" s="4" t="n">
        <v>0.1220999956130981</v>
      </c>
      <c r="M832" t="inlineStr">
        <is>
          <t>김현석</t>
        </is>
      </c>
      <c r="N832" t="inlineStr">
        <is>
          <t>054-463-8010</t>
        </is>
      </c>
      <c r="O832" t="inlineStr">
        <is>
          <t>054-463-8018</t>
        </is>
      </c>
      <c r="P832" s="3">
        <f>HYPERLINK("http://www.kgenc.co.kr", "http://www.kgenc.co.kr")</f>
        <v/>
      </c>
      <c r="Q832" t="inlineStr">
        <is>
          <t>1278193254</t>
        </is>
      </c>
      <c r="R832" t="inlineStr">
        <is>
          <t>2801110069615</t>
        </is>
      </c>
      <c r="S832" t="inlineStr">
        <is>
          <t>대상아님</t>
        </is>
      </c>
      <c r="T832" t="inlineStr">
        <is>
          <t>일반법인</t>
        </is>
      </c>
      <c r="U832" t="inlineStr">
        <is>
          <t>중소기업</t>
        </is>
      </c>
      <c r="V832" t="inlineStr">
        <is>
          <t>외부감사대상</t>
        </is>
      </c>
      <c r="W832" s="6" t="inlineStr">
        <is>
          <t>2005-05-30</t>
        </is>
      </c>
      <c r="X832" t="inlineStr">
        <is>
          <t>KRI:10M7212900</t>
        </is>
      </c>
      <c r="Y832" t="inlineStr">
        <is>
          <t>기타 엔지니어링 서비스업</t>
        </is>
      </c>
      <c r="Z832" t="inlineStr">
        <is>
          <t>종합엔지니어링</t>
        </is>
      </c>
      <c r="AA832" t="inlineStr">
        <is>
          <t>경북 포항시 북구 죽도동 615-1번지 테라스퀘어빌딩 6층 602호</t>
        </is>
      </c>
      <c r="AB832" t="inlineStr">
        <is>
          <t>경북 포항시 북구 중흥로 232, 6층 602호 (죽도동,테라스퀘어빌딩)</t>
        </is>
      </c>
    </row>
    <row r="833" s="1">
      <c r="A833" t="inlineStr">
        <is>
          <t>NICE:126628</t>
        </is>
      </c>
      <c r="B833" t="inlineStr">
        <is>
          <t>티맥스소프트</t>
        </is>
      </c>
      <c r="C833" s="5" t="n">
        <v>435610829000</v>
      </c>
      <c r="D833" s="5" t="n">
        <v>149582282000</v>
      </c>
      <c r="E833" s="5" t="n">
        <v>286028547000</v>
      </c>
      <c r="F833" s="5" t="n">
        <v>141656501000</v>
      </c>
      <c r="G833" s="5" t="n">
        <v>50777453000</v>
      </c>
      <c r="H833" s="5" t="n">
        <v>141178463000</v>
      </c>
      <c r="I833" s="5" t="n">
        <v>43862944000</v>
      </c>
      <c r="J833" s="4" t="n">
        <v>1.209499955177307</v>
      </c>
      <c r="K833" s="4" t="n">
        <v>0.5230000019073486</v>
      </c>
      <c r="L833" s="4" t="n">
        <v>0.3584999740123749</v>
      </c>
      <c r="M833" t="inlineStr">
        <is>
          <t>이형용</t>
        </is>
      </c>
      <c r="N833" t="inlineStr">
        <is>
          <t>031-8018-1000</t>
        </is>
      </c>
      <c r="O833" t="inlineStr">
        <is>
          <t>031-8018-1115</t>
        </is>
      </c>
      <c r="P833">
        <f>HYPERLINK("http://www.tmaxsoft.com", "http://www.tmaxsoft.com")</f>
        <v/>
      </c>
      <c r="Q833" t="inlineStr">
        <is>
          <t>2208145181</t>
        </is>
      </c>
      <c r="R833" t="inlineStr">
        <is>
          <t>1101111422148</t>
        </is>
      </c>
      <c r="S833" t="inlineStr">
        <is>
          <t>제3시장</t>
        </is>
      </c>
      <c r="T833" t="inlineStr">
        <is>
          <t>일반법인</t>
        </is>
      </c>
      <c r="U833" t="inlineStr">
        <is>
          <t>중견기업</t>
        </is>
      </c>
      <c r="V833" t="inlineStr">
        <is>
          <t>외부감사대상</t>
        </is>
      </c>
      <c r="W833" s="6" t="inlineStr">
        <is>
          <t>1997-06-03</t>
        </is>
      </c>
      <c r="X833" t="inlineStr">
        <is>
          <t>KRI:10J5822100</t>
        </is>
      </c>
      <c r="Y833" t="inlineStr">
        <is>
          <t>시스템 소프트웨어 개발 및 공급업</t>
        </is>
      </c>
      <c r="Z833" t="inlineStr">
        <is>
          <t>컴퓨터소프트웨어 개발,자문,공급/컴퓨터,주변기기,소프트웨어 도소매,전자상거래/평생교육시설 운영</t>
        </is>
      </c>
      <c r="AA833" t="inlineStr">
        <is>
          <t>경기 성남시 분당구 금곡동 196번지</t>
        </is>
      </c>
      <c r="AB833" t="inlineStr">
        <is>
          <t>경기 성남시 분당구 정자일로 45</t>
        </is>
      </c>
    </row>
    <row r="834" s="1">
      <c r="A834" t="inlineStr">
        <is>
          <t>NICE:J01069</t>
        </is>
      </c>
      <c r="B834" t="inlineStr">
        <is>
          <t>동아제약</t>
        </is>
      </c>
      <c r="C834" s="5" t="n">
        <v>407866003000</v>
      </c>
      <c r="D834" s="5" t="n">
        <v>148527329000</v>
      </c>
      <c r="E834" s="5" t="n">
        <v>259338674000</v>
      </c>
      <c r="F834" s="5" t="n">
        <v>726282880000</v>
      </c>
      <c r="G834" s="5" t="n">
        <v>86872447000</v>
      </c>
      <c r="H834" s="5" t="n">
        <v>678687178000</v>
      </c>
      <c r="I834" s="5" t="n">
        <v>85200138000</v>
      </c>
      <c r="J834" s="4" t="n">
        <v>1.638299942016602</v>
      </c>
      <c r="K834" s="4" t="n">
        <v>0.5726999640464783</v>
      </c>
      <c r="L834" s="4" t="n">
        <v>0.1195999979972839</v>
      </c>
      <c r="M834" t="inlineStr">
        <is>
          <t>백상환</t>
        </is>
      </c>
      <c r="N834" t="inlineStr">
        <is>
          <t>02-920-8112</t>
        </is>
      </c>
      <c r="O834" t="inlineStr">
        <is>
          <t>02-920-8038</t>
        </is>
      </c>
      <c r="P834">
        <f>HYPERLINK("http://www.dapharm.com", "http://www.dapharm.com")</f>
        <v/>
      </c>
      <c r="Q834" t="inlineStr">
        <is>
          <t>2048640118</t>
        </is>
      </c>
      <c r="R834" t="inlineStr">
        <is>
          <t>1101115079739</t>
        </is>
      </c>
      <c r="S834" t="inlineStr">
        <is>
          <t>대상아님</t>
        </is>
      </c>
      <c r="T834" t="inlineStr">
        <is>
          <t>일반법인</t>
        </is>
      </c>
      <c r="U834" t="inlineStr">
        <is>
          <t>중견기업</t>
        </is>
      </c>
      <c r="V834" t="inlineStr">
        <is>
          <t>외부감사대상</t>
        </is>
      </c>
      <c r="W834" s="6" t="inlineStr">
        <is>
          <t>2013-03-04</t>
        </is>
      </c>
      <c r="X834" t="inlineStr">
        <is>
          <t>KRI:10C2121000</t>
        </is>
      </c>
      <c r="Y834" t="inlineStr">
        <is>
          <t>완제 의약품 제조업</t>
        </is>
      </c>
      <c r="Z834" t="inlineStr">
        <is>
          <t>의약부외품,양약 제조,도소매/전자상거래</t>
        </is>
      </c>
      <c r="AA834" t="inlineStr">
        <is>
          <t>서울 동대문구 용두동 249-1번지</t>
        </is>
      </c>
      <c r="AB834" t="inlineStr">
        <is>
          <t>서울 동대문구 천호대로 64</t>
        </is>
      </c>
    </row>
    <row r="835" s="1">
      <c r="A835" t="inlineStr">
        <is>
          <t>NICE:100975</t>
        </is>
      </c>
      <c r="B835" t="inlineStr">
        <is>
          <t>안산도시개발</t>
        </is>
      </c>
      <c r="C835" s="5" t="n">
        <v>377017212000</v>
      </c>
      <c r="D835" s="5" t="n">
        <v>159981811000</v>
      </c>
      <c r="E835" s="5" t="n">
        <v>217035401000</v>
      </c>
      <c r="F835" s="5" t="n">
        <v>126609736000</v>
      </c>
      <c r="G835" s="5" t="n">
        <v>33720808000</v>
      </c>
      <c r="H835" s="5" t="n">
        <v>117845704000</v>
      </c>
      <c r="I835" s="5" t="n">
        <v>24605519000</v>
      </c>
      <c r="J835" s="4" t="n">
        <v>0.6723000407218933</v>
      </c>
      <c r="K835" s="4" t="n">
        <v>0.7370999455451965</v>
      </c>
      <c r="L835" s="4" t="n">
        <v>0.2662999927997589</v>
      </c>
      <c r="M835" t="inlineStr">
        <is>
          <t>윤양노/안규철</t>
        </is>
      </c>
      <c r="N835" t="inlineStr">
        <is>
          <t>031-489-1211</t>
        </is>
      </c>
      <c r="O835" t="inlineStr">
        <is>
          <t>031-492-7600</t>
        </is>
      </c>
      <c r="P835">
        <f>HYPERLINK("http://www.asudi.co.kr", "http://www.asudi.co.kr")</f>
        <v/>
      </c>
      <c r="Q835" t="inlineStr">
        <is>
          <t>1348127219</t>
        </is>
      </c>
      <c r="R835" t="inlineStr">
        <is>
          <t>1350110047362</t>
        </is>
      </c>
      <c r="S835" t="inlineStr">
        <is>
          <t>대상아님</t>
        </is>
      </c>
      <c r="T835" t="inlineStr">
        <is>
          <t>일반법인</t>
        </is>
      </c>
      <c r="U835" t="inlineStr">
        <is>
          <t>중견기업</t>
        </is>
      </c>
      <c r="V835" t="inlineStr">
        <is>
          <t>외부감사대상</t>
        </is>
      </c>
      <c r="W835" s="6" t="inlineStr">
        <is>
          <t>1995-06-28</t>
        </is>
      </c>
      <c r="X835" t="inlineStr">
        <is>
          <t>KRI:10D3530000</t>
        </is>
      </c>
      <c r="Y835" t="inlineStr">
        <is>
          <t>증기, 냉ㆍ온수 및 공기조절 공급업</t>
        </is>
      </c>
      <c r="Z835" t="inlineStr">
        <is>
          <t>증기,온수,전기 공급/부동산 임대/예술,스포츠,여가 서비스</t>
        </is>
      </c>
      <c r="AA835" t="inlineStr">
        <is>
          <t>경기 안산시 단원구 초지동 672번지</t>
        </is>
      </c>
      <c r="AB835" t="inlineStr">
        <is>
          <t>경기 안산시 단원구 첨단로 670</t>
        </is>
      </c>
    </row>
    <row r="836" ht="19.2" customHeight="1" s="1">
      <c r="A836" t="inlineStr">
        <is>
          <t>NICE:HH2381</t>
        </is>
      </c>
      <c r="B836" t="inlineStr">
        <is>
          <t>당근마켓</t>
        </is>
      </c>
      <c r="C836" s="5" t="n">
        <v>211680630000</v>
      </c>
      <c r="D836" s="5" t="n">
        <v>51910018000</v>
      </c>
      <c r="E836" s="5" t="n">
        <v>159770613000</v>
      </c>
      <c r="F836" s="5" t="n">
        <v>269025730000</v>
      </c>
      <c r="G836" s="5" t="n">
        <v>67081312000</v>
      </c>
      <c r="H836" s="5" t="n">
        <v>189236507000</v>
      </c>
      <c r="I836" s="5" t="n">
        <v>2507501000</v>
      </c>
      <c r="J836" s="4" t="n">
        <v>3.042099952697754</v>
      </c>
      <c r="K836" s="4" t="n">
        <v>0.3249000012874603</v>
      </c>
      <c r="L836" s="4" t="n">
        <v>0.2493000030517578</v>
      </c>
      <c r="M836" t="inlineStr">
        <is>
          <t>김용현/황도연</t>
        </is>
      </c>
      <c r="N836" t="inlineStr">
        <is>
          <t>02-1544-9796</t>
        </is>
      </c>
      <c r="P836" s="3">
        <f>HYPERLINK("http://about.karrotmarket.com", "http://about.karrotmarket.com")</f>
        <v/>
      </c>
      <c r="Q836" t="inlineStr">
        <is>
          <t>3758700088</t>
        </is>
      </c>
      <c r="R836" t="inlineStr">
        <is>
          <t>1101115782150</t>
        </is>
      </c>
      <c r="S836" t="inlineStr">
        <is>
          <t>대상아님</t>
        </is>
      </c>
      <c r="T836" t="inlineStr">
        <is>
          <t>일반법인</t>
        </is>
      </c>
      <c r="U836" t="inlineStr">
        <is>
          <t>중소기업</t>
        </is>
      </c>
      <c r="V836" t="inlineStr">
        <is>
          <t>외부감사대상</t>
        </is>
      </c>
      <c r="W836" s="6" t="inlineStr">
        <is>
          <t>2015-07-15</t>
        </is>
      </c>
      <c r="X836" t="inlineStr">
        <is>
          <t>KRI:10J6312000</t>
        </is>
      </c>
      <c r="Y836" t="inlineStr">
        <is>
          <t>포털 및 기타 인터넷 정보매개 서비스업</t>
        </is>
      </c>
      <c r="Z836" t="inlineStr">
        <is>
          <t>모바일 인터넷서비스</t>
        </is>
      </c>
      <c r="AA836" t="inlineStr">
        <is>
          <t>서울 서초구 서초동 1303-22번지 7층 , 10층, 11층, 12층</t>
        </is>
      </c>
      <c r="AB836" t="inlineStr">
        <is>
          <t>서울 서초구 강남대로 465, 7층, 10층, 11층, 12층</t>
        </is>
      </c>
    </row>
    <row r="837" ht="19.2" customHeight="1" s="1">
      <c r="A837" t="inlineStr">
        <is>
          <t>NICE:196943</t>
        </is>
      </c>
      <c r="B837" t="inlineStr">
        <is>
          <t>테크로스홀딩스</t>
        </is>
      </c>
      <c r="C837" s="5" t="n">
        <v>193784334000</v>
      </c>
      <c r="D837" s="5" t="n">
        <v>5799026000</v>
      </c>
      <c r="E837" s="5" t="n">
        <v>187985309000</v>
      </c>
      <c r="F837" s="5" t="n">
        <v>27245095000</v>
      </c>
      <c r="G837" s="5" t="n">
        <v>25876742000</v>
      </c>
      <c r="H837" s="5" t="n">
        <v>750194744000</v>
      </c>
      <c r="I837" s="5" t="n">
        <v>20002410000</v>
      </c>
      <c r="J837" s="4" t="n">
        <v>0.6377999782562256</v>
      </c>
      <c r="K837" s="4" t="n">
        <v>0.03079999797046185</v>
      </c>
      <c r="L837" s="4" t="n">
        <v>0.9498000144958496</v>
      </c>
      <c r="M837" t="inlineStr">
        <is>
          <t>박규원/이중희</t>
        </is>
      </c>
      <c r="N837" t="inlineStr">
        <is>
          <t>02-6900-1807</t>
        </is>
      </c>
      <c r="O837" t="inlineStr">
        <is>
          <t>02-569-8982</t>
        </is>
      </c>
      <c r="P837" s="3">
        <f>HYPERLINK("http://www.techcross-holdings.com", "http://www.techcross-holdings.com")</f>
        <v/>
      </c>
      <c r="Q837" t="inlineStr">
        <is>
          <t>2068125312</t>
        </is>
      </c>
      <c r="R837" t="inlineStr">
        <is>
          <t>1101111963514</t>
        </is>
      </c>
      <c r="S837" t="inlineStr">
        <is>
          <t>대상아님</t>
        </is>
      </c>
      <c r="T837" t="inlineStr">
        <is>
          <t>일반법인</t>
        </is>
      </c>
      <c r="U837" t="inlineStr">
        <is>
          <t>중견기업</t>
        </is>
      </c>
      <c r="V837" t="inlineStr">
        <is>
          <t>외부감사대상</t>
        </is>
      </c>
      <c r="W837" s="6" t="inlineStr">
        <is>
          <t>2000-05-09</t>
        </is>
      </c>
      <c r="X837" t="inlineStr">
        <is>
          <t>KRI:10K6499200</t>
        </is>
      </c>
      <c r="Y837" t="inlineStr">
        <is>
          <t>지주회사</t>
        </is>
      </c>
      <c r="Z837" t="inlineStr">
        <is>
          <t>지주회사/환경전문공사/정밀기기,환경기자재 도매/소프트웨어 개발,공급/경영컨설팅</t>
        </is>
      </c>
      <c r="AA837" t="inlineStr">
        <is>
          <t>서울 강남구 삼성동 156-1번지 부방빌딩 1층</t>
        </is>
      </c>
      <c r="AB837" t="inlineStr">
        <is>
          <t>서울 강남구 삼성로 528, 1층 (삼성동,부방빌딩)</t>
        </is>
      </c>
    </row>
    <row r="838" ht="19.2" customHeight="1" s="1">
      <c r="A838" t="inlineStr">
        <is>
          <t>NICE:743976</t>
        </is>
      </c>
      <c r="B838" t="inlineStr">
        <is>
          <t>츄고쿠삼화페인트</t>
        </is>
      </c>
      <c r="C838" s="5" t="n">
        <v>104421434000</v>
      </c>
      <c r="D838" s="5" t="n">
        <v>46872020000</v>
      </c>
      <c r="E838" s="5" t="n">
        <v>57549414000</v>
      </c>
      <c r="F838" s="5" t="n">
        <v>204777814000</v>
      </c>
      <c r="G838" s="5" t="n">
        <v>30859160000</v>
      </c>
      <c r="H838" s="5" t="n">
        <v>197724968000</v>
      </c>
      <c r="I838" s="5" t="n">
        <v>22426293000</v>
      </c>
      <c r="J838" s="4" t="n">
        <v>1.948500037193298</v>
      </c>
      <c r="K838" s="4" t="n">
        <v>0.8144999742507935</v>
      </c>
      <c r="L838" s="4" t="n">
        <v>0.1506999880075455</v>
      </c>
      <c r="M838" t="inlineStr">
        <is>
          <t>유상욱</t>
        </is>
      </c>
      <c r="N838" t="inlineStr">
        <is>
          <t>055-340-0777</t>
        </is>
      </c>
      <c r="O838" t="inlineStr">
        <is>
          <t>051-366-1809</t>
        </is>
      </c>
      <c r="P838" s="3">
        <f>HYPERLINK("http://www.csp.co.kr", "http://www.csp.co.kr")</f>
        <v/>
      </c>
      <c r="Q838" t="inlineStr">
        <is>
          <t>6218111356</t>
        </is>
      </c>
      <c r="R838" t="inlineStr">
        <is>
          <t>1801110083088</t>
        </is>
      </c>
      <c r="S838" t="inlineStr">
        <is>
          <t>대상아님</t>
        </is>
      </c>
      <c r="T838" t="inlineStr">
        <is>
          <t>일반법인</t>
        </is>
      </c>
      <c r="U838" t="inlineStr">
        <is>
          <t>중견기업</t>
        </is>
      </c>
      <c r="V838" t="inlineStr">
        <is>
          <t>외부감사대상</t>
        </is>
      </c>
      <c r="W838" s="6" t="inlineStr">
        <is>
          <t>1988-10-07</t>
        </is>
      </c>
      <c r="X838" t="inlineStr">
        <is>
          <t>KRI:10C2041100</t>
        </is>
      </c>
      <c r="Y838" t="inlineStr">
        <is>
          <t>일반용 도료 및 관련제품 제조업</t>
        </is>
      </c>
      <c r="Z838" t="inlineStr">
        <is>
          <t>도료(선박용,공업용,컨테이너용,어망용),화공약품 제조,무역</t>
        </is>
      </c>
      <c r="AA838" t="inlineStr">
        <is>
          <t>경남 김해시 한림면 퇴래리 972번지</t>
        </is>
      </c>
      <c r="AB838" t="inlineStr">
        <is>
          <t>경남 김해시 한림면 김해대로927번길 322</t>
        </is>
      </c>
    </row>
    <row r="839" ht="19.2" customHeight="1" s="1">
      <c r="A839" t="inlineStr">
        <is>
          <t>NICE:EO2515</t>
        </is>
      </c>
      <c r="B839" t="inlineStr">
        <is>
          <t>블랙큐브</t>
        </is>
      </c>
      <c r="C839" s="5" t="n">
        <v>81528815000</v>
      </c>
      <c r="D839" s="5" t="n">
        <v>51391382000</v>
      </c>
      <c r="E839" s="5" t="n">
        <v>30137434000</v>
      </c>
      <c r="F839" s="5" t="n">
        <v>62169034000</v>
      </c>
      <c r="G839" s="5" t="n">
        <v>6524976000</v>
      </c>
      <c r="H839" s="5" t="n">
        <v>251660153000</v>
      </c>
      <c r="I839" s="5" t="n">
        <v>31665108000</v>
      </c>
      <c r="J839" s="4" t="n">
        <v>1.175300002098083</v>
      </c>
      <c r="K839" s="4" t="n">
        <v>1.705199956893921</v>
      </c>
      <c r="L839" s="4" t="n">
        <v>0.1049999967217445</v>
      </c>
      <c r="M839" t="inlineStr">
        <is>
          <t>김진숙</t>
        </is>
      </c>
      <c r="N839" t="inlineStr">
        <is>
          <t>031-315-1300</t>
        </is>
      </c>
      <c r="O839" t="inlineStr">
        <is>
          <t>031-315-1394</t>
        </is>
      </c>
      <c r="P839" s="3">
        <f>HYPERLINK("http://www.wblackcube.com", "http://www.wblackcube.com")</f>
        <v/>
      </c>
      <c r="Q839" t="inlineStr">
        <is>
          <t>5518800035</t>
        </is>
      </c>
      <c r="R839" t="inlineStr">
        <is>
          <t>1341110407002</t>
        </is>
      </c>
      <c r="S839" t="inlineStr">
        <is>
          <t>대상아님</t>
        </is>
      </c>
      <c r="T839" t="inlineStr">
        <is>
          <t>일반법인</t>
        </is>
      </c>
      <c r="U839" t="inlineStr">
        <is>
          <t>중소기업</t>
        </is>
      </c>
      <c r="V839" t="inlineStr">
        <is>
          <t>외부감사대상</t>
        </is>
      </c>
      <c r="W839" s="6" t="inlineStr">
        <is>
          <t>2015-03-19</t>
        </is>
      </c>
      <c r="X839" t="inlineStr">
        <is>
          <t>KRI:10G4643300</t>
        </is>
      </c>
      <c r="Y839" t="inlineStr">
        <is>
          <t>생활용 유리ㆍ요업ㆍ목재ㆍ금속 제품 및 날붙이 도매업</t>
        </is>
      </c>
      <c r="Z839" t="inlineStr">
        <is>
          <t>스텐레스 주방용품,생활용품 도소매,제조/무역,전자상거래</t>
        </is>
      </c>
      <c r="AA839" t="inlineStr">
        <is>
          <t>경기 시흥시 배곧동 216번지 아브뉴프랑센트럴옐로우 431호,532호,533호</t>
        </is>
      </c>
      <c r="AB839" t="inlineStr">
        <is>
          <t>경기 시흥시 서울대학로278번길 34, 아브뉴프랑센트럴옐로우 431호,532호,533호</t>
        </is>
      </c>
    </row>
    <row r="840" ht="19.2" customHeight="1" s="1">
      <c r="A840" t="inlineStr">
        <is>
          <t>NICE:451320</t>
        </is>
      </c>
      <c r="B840" t="inlineStr">
        <is>
          <t>일성하이스코</t>
        </is>
      </c>
      <c r="C840" s="5" t="n">
        <v>57404309000</v>
      </c>
      <c r="D840" s="5" t="n">
        <v>14634662000</v>
      </c>
      <c r="E840" s="5" t="n">
        <v>42769647000</v>
      </c>
      <c r="F840" s="5" t="n">
        <v>45032478000</v>
      </c>
      <c r="G840" s="5" t="n">
        <v>9058733000</v>
      </c>
      <c r="H840" s="5" t="n">
        <v>29386183000</v>
      </c>
      <c r="I840" s="5" t="n">
        <v>2777728000</v>
      </c>
      <c r="J840" s="4" t="n">
        <v>3.435999870300293</v>
      </c>
      <c r="K840" s="4" t="n">
        <v>0.3422000110149384</v>
      </c>
      <c r="L840" s="4" t="n">
        <v>0.201200008392334</v>
      </c>
      <c r="M840" t="inlineStr">
        <is>
          <t>장재혁</t>
        </is>
      </c>
      <c r="N840" t="inlineStr">
        <is>
          <t>052-231-7522</t>
        </is>
      </c>
      <c r="O840" t="inlineStr">
        <is>
          <t>052-237-0123</t>
        </is>
      </c>
      <c r="P840" s="3">
        <f>HYPERLINK("http://www.ilsung.com", "http://www.ilsung.com")</f>
        <v/>
      </c>
      <c r="Q840" t="inlineStr">
        <is>
          <t>6108105456</t>
        </is>
      </c>
      <c r="R840" t="inlineStr">
        <is>
          <t>1812110003611</t>
        </is>
      </c>
      <c r="S840" t="inlineStr">
        <is>
          <t>대상아님</t>
        </is>
      </c>
      <c r="T840" t="inlineStr">
        <is>
          <t>일반법인</t>
        </is>
      </c>
      <c r="U840" t="inlineStr">
        <is>
          <t>중소기업</t>
        </is>
      </c>
      <c r="V840" t="inlineStr">
        <is>
          <t>외부감사대상</t>
        </is>
      </c>
      <c r="W840" s="6" t="inlineStr">
        <is>
          <t>1984-03-03</t>
        </is>
      </c>
      <c r="X840" t="inlineStr">
        <is>
          <t>KRI:10C2917600</t>
        </is>
      </c>
      <c r="Y840" t="inlineStr">
        <is>
          <t>증류기, 열교환기 및 가스발생기 제조업</t>
        </is>
      </c>
      <c r="Z840" t="inlineStr">
        <is>
          <t>증기발생기,철구조물,중앙난방식보일러 제조/산업설비공사</t>
        </is>
      </c>
      <c r="AA840" t="inlineStr">
        <is>
          <t>울산 울주군 온산읍 원산리 917번지</t>
        </is>
      </c>
      <c r="AB840" t="inlineStr">
        <is>
          <t>울산 울주군 온산읍 대정로 74</t>
        </is>
      </c>
    </row>
    <row r="841" ht="19.2" customHeight="1" s="1">
      <c r="A841" t="inlineStr">
        <is>
          <t>NICE:269800</t>
        </is>
      </c>
      <c r="B841" t="inlineStr">
        <is>
          <t>신흥산업</t>
        </is>
      </c>
      <c r="C841" s="5" t="n">
        <v>39175601000</v>
      </c>
      <c r="D841" s="5" t="n">
        <v>10244481000</v>
      </c>
      <c r="E841" s="5" t="n">
        <v>28931120000</v>
      </c>
      <c r="F841" s="5" t="n">
        <v>24671006000</v>
      </c>
      <c r="G841" s="5" t="n">
        <v>2647513000</v>
      </c>
      <c r="H841" s="5" t="n">
        <v>28079634000</v>
      </c>
      <c r="I841" s="5" t="n">
        <v>3071208000</v>
      </c>
      <c r="J841" s="4" t="n">
        <v>2.490499973297119</v>
      </c>
      <c r="K841" s="4" t="n">
        <v>0.3540999889373779</v>
      </c>
      <c r="L841" s="4" t="n">
        <v>0.1072999909520149</v>
      </c>
      <c r="M841" t="inlineStr">
        <is>
          <t>전재문</t>
        </is>
      </c>
      <c r="N841" t="inlineStr">
        <is>
          <t>032-672-5583</t>
        </is>
      </c>
      <c r="O841" t="inlineStr">
        <is>
          <t>032-678-5956</t>
        </is>
      </c>
      <c r="P841" s="3">
        <f>HYPERLINK("http://www.sh-is.co.kr", "http://www.sh-is.co.kr")</f>
        <v/>
      </c>
      <c r="Q841" t="inlineStr">
        <is>
          <t>1368129886</t>
        </is>
      </c>
      <c r="R841" t="inlineStr">
        <is>
          <t>1244110035122</t>
        </is>
      </c>
      <c r="S841" t="inlineStr">
        <is>
          <t>대상아님</t>
        </is>
      </c>
      <c r="T841" t="inlineStr">
        <is>
          <t>일반법인</t>
        </is>
      </c>
      <c r="U841" t="inlineStr">
        <is>
          <t>중소기업</t>
        </is>
      </c>
      <c r="V841" t="inlineStr">
        <is>
          <t>외부감사대상</t>
        </is>
      </c>
      <c r="W841" s="6" t="inlineStr">
        <is>
          <t>1989-04-01</t>
        </is>
      </c>
      <c r="X841" t="inlineStr">
        <is>
          <t>KRI:10F4110000</t>
        </is>
      </c>
      <c r="Y841" t="inlineStr">
        <is>
          <t>건물 건설업</t>
        </is>
      </c>
      <c r="Z841" t="inlineStr">
        <is>
          <t>건축공사,소방시설공사,전기공사/철구조물,조립식건물,금형부품(스프링) 제조/부동산 임대</t>
        </is>
      </c>
      <c r="AA841" t="inlineStr">
        <is>
          <t>경기 김포시 양촌읍 유현리 233-6번지</t>
        </is>
      </c>
      <c r="AB841" t="inlineStr">
        <is>
          <t>경기 김포시 양촌읍 서현로 41-26</t>
        </is>
      </c>
    </row>
    <row r="842" ht="19.2" customHeight="1" s="1">
      <c r="A842" t="inlineStr">
        <is>
          <t>NICE:G81191</t>
        </is>
      </c>
      <c r="B842" t="inlineStr">
        <is>
          <t>발해건설</t>
        </is>
      </c>
      <c r="C842" s="5" t="n">
        <v>31694649000</v>
      </c>
      <c r="D842" s="5" t="n">
        <v>10715516000</v>
      </c>
      <c r="E842" s="5" t="n">
        <v>20979133000</v>
      </c>
      <c r="F842" s="5" t="n">
        <v>62760656000</v>
      </c>
      <c r="G842" s="5" t="n">
        <v>11945282000</v>
      </c>
      <c r="H842" s="5" t="n">
        <v>71120748000</v>
      </c>
      <c r="I842" s="5" t="n">
        <v>5158474000</v>
      </c>
      <c r="J842" s="4" t="n">
        <v>2.353899955749512</v>
      </c>
      <c r="K842" s="4" t="n">
        <v>0.5108000040054321</v>
      </c>
      <c r="L842" s="4" t="n">
        <v>0.1903000026941299</v>
      </c>
      <c r="M842" t="inlineStr">
        <is>
          <t>강일성</t>
        </is>
      </c>
      <c r="N842" t="inlineStr">
        <is>
          <t>02-2634-8279</t>
        </is>
      </c>
      <c r="O842" t="inlineStr">
        <is>
          <t>02-2634-8277</t>
        </is>
      </c>
      <c r="P842" s="3" t="n"/>
      <c r="Q842" t="inlineStr">
        <is>
          <t>4088182068</t>
        </is>
      </c>
      <c r="R842" t="inlineStr">
        <is>
          <t>2052110028800</t>
        </is>
      </c>
      <c r="S842" t="inlineStr">
        <is>
          <t>대상아님</t>
        </is>
      </c>
      <c r="T842" t="inlineStr">
        <is>
          <t>일반법인</t>
        </is>
      </c>
      <c r="U842" t="inlineStr">
        <is>
          <t>중소기업</t>
        </is>
      </c>
      <c r="V842" t="inlineStr">
        <is>
          <t>외부감사대상</t>
        </is>
      </c>
      <c r="W842" s="6" t="inlineStr">
        <is>
          <t>2009-05-19</t>
        </is>
      </c>
      <c r="X842" t="inlineStr">
        <is>
          <t>KRI:10F4213200</t>
        </is>
      </c>
      <c r="Y842" t="inlineStr">
        <is>
          <t>콘크리트 및 철근 공사업</t>
        </is>
      </c>
      <c r="Z842" t="inlineStr">
        <is>
          <t>철근콘크리트공사,비계구조물해체공사/건축 설계</t>
        </is>
      </c>
      <c r="AA842" t="inlineStr">
        <is>
          <t>서울 영등포구 양평동5가 42번지 선유도투웨니퍼스트밸리 1401호</t>
        </is>
      </c>
      <c r="AB842" t="inlineStr">
        <is>
          <t>서울 영등포구 양평로 157, 1401호 (양평동5가,선유도투웨니퍼스트밸리)</t>
        </is>
      </c>
    </row>
    <row r="843" ht="19.2" customHeight="1" s="1">
      <c r="A843" t="inlineStr">
        <is>
          <t>NICE:F33637</t>
        </is>
      </c>
      <c r="B843" t="inlineStr">
        <is>
          <t>리온</t>
        </is>
      </c>
      <c r="C843" s="5" t="n">
        <v>29700193000</v>
      </c>
      <c r="D843" s="5" t="n">
        <v>3260527000</v>
      </c>
      <c r="E843" s="5" t="n">
        <v>26439666000</v>
      </c>
      <c r="F843" s="5" t="n">
        <v>20491548000</v>
      </c>
      <c r="G843" s="5" t="n">
        <v>11152044000</v>
      </c>
      <c r="H843" s="5" t="n">
        <v>17649886000</v>
      </c>
      <c r="I843" s="5" t="n">
        <v>8970315000</v>
      </c>
      <c r="J843" s="4" t="n">
        <v>6.590099811553955</v>
      </c>
      <c r="K843" s="4" t="n">
        <v>0.1232999935746193</v>
      </c>
      <c r="L843" s="4" t="n">
        <v>0.5441999435424805</v>
      </c>
      <c r="M843" t="inlineStr">
        <is>
          <t>정구찬</t>
        </is>
      </c>
      <c r="N843" t="inlineStr">
        <is>
          <t>031-8059-6240</t>
        </is>
      </c>
      <c r="O843" t="inlineStr">
        <is>
          <t>031-8059-6242</t>
        </is>
      </c>
      <c r="P843" s="3">
        <f>HYPERLINK("http://www.rion.co.kr", "http://www.rion.co.kr")</f>
        <v/>
      </c>
      <c r="Q843" t="inlineStr">
        <is>
          <t>1358194481</t>
        </is>
      </c>
      <c r="R843" t="inlineStr">
        <is>
          <t>1358110146548</t>
        </is>
      </c>
      <c r="S843" t="inlineStr">
        <is>
          <t>대상아님</t>
        </is>
      </c>
      <c r="T843" t="inlineStr">
        <is>
          <t>일반법인</t>
        </is>
      </c>
      <c r="U843" t="inlineStr">
        <is>
          <t>중소기업</t>
        </is>
      </c>
      <c r="V843" t="inlineStr">
        <is>
          <t>외부감사대상</t>
        </is>
      </c>
      <c r="W843" s="6" t="inlineStr">
        <is>
          <t>2007-12-05</t>
        </is>
      </c>
      <c r="X843" t="inlineStr">
        <is>
          <t>KRI:10C2927100</t>
        </is>
      </c>
      <c r="Y843" t="inlineStr">
        <is>
          <t>반도체 제조용 기계 제조업</t>
        </is>
      </c>
      <c r="Z843" t="inlineStr">
        <is>
          <t>반도체장비부품,고무제품 제조,도매,무역(오퍼상)/부동산 임대</t>
        </is>
      </c>
      <c r="AA843" t="inlineStr">
        <is>
          <t>경기 화성시 만세구 양감면 요당리 103-3번지</t>
        </is>
      </c>
      <c r="AB843" t="inlineStr">
        <is>
          <t>경기 화성시 만세구 양감면 은행나무로62번길 18-18</t>
        </is>
      </c>
    </row>
    <row r="844" ht="19.2" customHeight="1" s="1">
      <c r="A844" t="inlineStr">
        <is>
          <t>NICE:M29912</t>
        </is>
      </c>
      <c r="B844" t="inlineStr">
        <is>
          <t>글랜에어코리아</t>
        </is>
      </c>
      <c r="C844" s="5" t="n">
        <v>25415024000</v>
      </c>
      <c r="D844" s="5" t="n">
        <v>3119098000</v>
      </c>
      <c r="E844" s="5" t="n">
        <v>22295926000</v>
      </c>
      <c r="F844" s="5" t="n">
        <v>47044225000</v>
      </c>
      <c r="G844" s="5" t="n">
        <v>10994960000</v>
      </c>
      <c r="H844" s="5" t="n">
        <v>34549271000</v>
      </c>
      <c r="I844" s="5" t="n">
        <v>7541382000</v>
      </c>
      <c r="J844" s="4" t="n">
        <v>7.999099731445312</v>
      </c>
      <c r="K844" s="4" t="n">
        <v>0.1398999989032745</v>
      </c>
      <c r="L844" s="4" t="n">
        <v>0.2337000072002411</v>
      </c>
      <c r="M844" t="inlineStr">
        <is>
          <t>배승원/가렛크로프트</t>
        </is>
      </c>
      <c r="N844" t="inlineStr">
        <is>
          <t>031-8068-1090</t>
        </is>
      </c>
      <c r="O844" t="inlineStr">
        <is>
          <t>0504-326-4549</t>
        </is>
      </c>
      <c r="P844" s="3">
        <f>HYPERLINK("http://www.glenair.com", "http://www.glenair.com")</f>
        <v/>
      </c>
      <c r="Q844" t="inlineStr">
        <is>
          <t>1238646171</t>
        </is>
      </c>
      <c r="R844" t="inlineStr">
        <is>
          <t>1341110396049</t>
        </is>
      </c>
      <c r="S844" t="inlineStr">
        <is>
          <t>대상아님</t>
        </is>
      </c>
      <c r="T844" t="inlineStr">
        <is>
          <t>일반법인</t>
        </is>
      </c>
      <c r="U844" t="inlineStr">
        <is>
          <t>중소기업</t>
        </is>
      </c>
      <c r="V844" t="inlineStr">
        <is>
          <t>외부감사대상</t>
        </is>
      </c>
      <c r="W844" s="6" t="inlineStr">
        <is>
          <t>2014-10-31</t>
        </is>
      </c>
      <c r="X844" t="inlineStr">
        <is>
          <t>KRI:10G4659500</t>
        </is>
      </c>
      <c r="Y844" t="inlineStr">
        <is>
          <t>전기용 기계ㆍ장비 및 관련 기자재 도매업</t>
        </is>
      </c>
      <c r="Z844" t="inlineStr">
        <is>
          <t>전자전기부품 도소매/전기커넥터 제조</t>
        </is>
      </c>
      <c r="AA844" t="inlineStr">
        <is>
          <t>경기 용인시 기흥구 공세동 707-1번지</t>
        </is>
      </c>
      <c r="AB844" t="inlineStr">
        <is>
          <t>경기 용인시 기흥구 탑실로58번길 6-21</t>
        </is>
      </c>
    </row>
    <row r="845" ht="19.2" customHeight="1" s="1">
      <c r="A845" t="inlineStr">
        <is>
          <t>NICE:OE5616</t>
        </is>
      </c>
      <c r="B845" t="inlineStr">
        <is>
          <t>픽톤</t>
        </is>
      </c>
      <c r="C845" s="5" t="n">
        <v>24765356000</v>
      </c>
      <c r="D845" s="5" t="n">
        <v>10951440000</v>
      </c>
      <c r="E845" s="5" t="n">
        <v>13813915000</v>
      </c>
      <c r="F845" s="5" t="n">
        <v>42445114000</v>
      </c>
      <c r="G845" s="5" t="n">
        <v>7728691000</v>
      </c>
      <c r="H845" s="5" t="n">
        <v>29286810000</v>
      </c>
      <c r="I845" s="5" t="n">
        <v>5505013000</v>
      </c>
      <c r="J845" s="4" t="n">
        <v>2.418399810791016</v>
      </c>
      <c r="K845" s="4" t="n">
        <v>0.7927999496459961</v>
      </c>
      <c r="L845" s="4" t="n">
        <v>0.1820999830961227</v>
      </c>
      <c r="M845" t="inlineStr">
        <is>
          <t>이병훈</t>
        </is>
      </c>
      <c r="P845" s="3" t="n"/>
      <c r="Q845" t="inlineStr">
        <is>
          <t>1968102410</t>
        </is>
      </c>
      <c r="R845" t="inlineStr">
        <is>
          <t>1101117883633</t>
        </is>
      </c>
      <c r="S845" t="inlineStr">
        <is>
          <t>대상아님</t>
        </is>
      </c>
      <c r="T845" t="inlineStr">
        <is>
          <t>일반법인</t>
        </is>
      </c>
      <c r="U845" t="inlineStr">
        <is>
          <t>중소기업</t>
        </is>
      </c>
      <c r="V845" t="inlineStr">
        <is>
          <t>외부감사대상</t>
        </is>
      </c>
      <c r="W845" s="6" t="inlineStr">
        <is>
          <t>2021-05-12</t>
        </is>
      </c>
      <c r="X845" t="inlineStr">
        <is>
          <t>KRI:10G4644300</t>
        </is>
      </c>
      <c r="Y845" t="inlineStr">
        <is>
          <t>화장품 및 화장용품 도매업</t>
        </is>
      </c>
      <c r="Z845" t="inlineStr">
        <is>
          <t>화장품</t>
        </is>
      </c>
      <c r="AA845" t="inlineStr">
        <is>
          <t>서울 마포구 성산동 63번지</t>
        </is>
      </c>
      <c r="AB845" t="inlineStr">
        <is>
          <t>서울 마포구 월드컵북로15길 45</t>
        </is>
      </c>
    </row>
    <row r="846" ht="19.2" customHeight="1" s="1">
      <c r="A846" t="inlineStr">
        <is>
          <t>NICE:037463</t>
        </is>
      </c>
      <c r="B846" t="inlineStr">
        <is>
          <t>대흥기전</t>
        </is>
      </c>
      <c r="C846" s="5" t="n">
        <v>18204913000</v>
      </c>
      <c r="D846" s="5" t="n">
        <v>3148139000</v>
      </c>
      <c r="E846" s="5" t="n">
        <v>15056774000</v>
      </c>
      <c r="F846" s="5" t="n">
        <v>35088480000</v>
      </c>
      <c r="G846" s="5" t="n">
        <v>3610235000</v>
      </c>
      <c r="H846" s="5" t="n">
        <v>45450996000</v>
      </c>
      <c r="I846" s="5" t="n">
        <v>5868538000</v>
      </c>
      <c r="J846" s="4" t="n">
        <v>6.509299755096436</v>
      </c>
      <c r="K846" s="4" t="n">
        <v>0.2090999931097031</v>
      </c>
      <c r="L846" s="4" t="n">
        <v>0.1028999984264374</v>
      </c>
      <c r="M846" t="inlineStr">
        <is>
          <t>서정기</t>
        </is>
      </c>
      <c r="N846" t="inlineStr">
        <is>
          <t>051-266-5995</t>
        </is>
      </c>
      <c r="O846" t="inlineStr">
        <is>
          <t>051-263-7007</t>
        </is>
      </c>
      <c r="P846" s="3">
        <f>HYPERLINK("http://www.demkor.co.kr", "http://www.demkor.co.kr")</f>
        <v/>
      </c>
      <c r="Q846" t="inlineStr">
        <is>
          <t>6068158629</t>
        </is>
      </c>
      <c r="R846" t="inlineStr">
        <is>
          <t>1801110190982</t>
        </is>
      </c>
      <c r="S846" t="inlineStr">
        <is>
          <t>대상아님</t>
        </is>
      </c>
      <c r="T846" t="inlineStr">
        <is>
          <t>일반법인</t>
        </is>
      </c>
      <c r="U846" t="inlineStr">
        <is>
          <t>중소기업</t>
        </is>
      </c>
      <c r="V846" t="inlineStr">
        <is>
          <t>외부감사대상</t>
        </is>
      </c>
      <c r="W846" s="6" t="inlineStr">
        <is>
          <t>1963-05-01</t>
        </is>
      </c>
      <c r="X846" t="inlineStr">
        <is>
          <t>KRI:10C2811100</t>
        </is>
      </c>
      <c r="Y846" t="inlineStr">
        <is>
          <t>전동기 및 발전기 제조업</t>
        </is>
      </c>
      <c r="Z846" t="inlineStr">
        <is>
          <t>선박용,육상용발전기변환장치,무기,총포탄,전동기,배전반,자동제어반 제조</t>
        </is>
      </c>
      <c r="AA846" t="inlineStr">
        <is>
          <t>부산 사하구 구평동 491번지</t>
        </is>
      </c>
      <c r="AB846" t="inlineStr">
        <is>
          <t>부산 사하구 감천항로 487</t>
        </is>
      </c>
    </row>
    <row r="847" ht="19.2" customHeight="1" s="1">
      <c r="A847" t="inlineStr">
        <is>
          <t>NICE:D46645</t>
        </is>
      </c>
      <c r="B847" t="inlineStr">
        <is>
          <t>한양여자대학교산학협력단</t>
        </is>
      </c>
      <c r="C847" s="5" t="n">
        <v>16881201000</v>
      </c>
      <c r="D847" s="5" t="n">
        <v>552305000</v>
      </c>
      <c r="E847" s="5" t="n">
        <v>16328896000</v>
      </c>
      <c r="F847" s="5" t="n">
        <v>21399428000</v>
      </c>
      <c r="G847" s="5" t="n">
        <v>3891794000</v>
      </c>
      <c r="H847" s="5" t="n">
        <v>18084705000</v>
      </c>
      <c r="I847" s="5" t="n">
        <v>2739822000</v>
      </c>
      <c r="J847" s="4" t="n">
        <v>8.098899841308594</v>
      </c>
      <c r="K847" s="4" t="n">
        <v>0.03380000218749046</v>
      </c>
      <c r="L847" s="4" t="n">
        <v>0.1818999946117401</v>
      </c>
      <c r="M847" t="inlineStr">
        <is>
          <t>신해웅</t>
        </is>
      </c>
      <c r="N847" t="inlineStr">
        <is>
          <t>02-2290-2057</t>
        </is>
      </c>
      <c r="O847" t="inlineStr">
        <is>
          <t>02-2290-2059</t>
        </is>
      </c>
      <c r="P847" s="3" t="n"/>
      <c r="Q847" t="inlineStr">
        <is>
          <t>2068207378</t>
        </is>
      </c>
      <c r="R847" t="inlineStr">
        <is>
          <t>2401710007675</t>
        </is>
      </c>
      <c r="S847" t="inlineStr">
        <is>
          <t>대상아님</t>
        </is>
      </c>
      <c r="T847" t="inlineStr">
        <is>
          <t>비영리법인</t>
        </is>
      </c>
      <c r="U847" t="inlineStr">
        <is>
          <t>대상아님</t>
        </is>
      </c>
      <c r="V847" t="inlineStr">
        <is>
          <t>외부감사비대상</t>
        </is>
      </c>
      <c r="W847" s="6" t="inlineStr">
        <is>
          <t>2004-06-03</t>
        </is>
      </c>
      <c r="X847" t="inlineStr">
        <is>
          <t>KRI:10M7160000</t>
        </is>
      </c>
      <c r="Y847" t="inlineStr">
        <is>
          <t>기타 전문 서비스업</t>
        </is>
      </c>
      <c r="Z847" t="inlineStr">
        <is>
          <t>산학협력,학술,기술연구용역/농산물 도소매,전자상거래</t>
        </is>
      </c>
      <c r="AA847" t="inlineStr">
        <is>
          <t>서울 성동구 사근동 110번지</t>
        </is>
      </c>
      <c r="AB847" t="inlineStr">
        <is>
          <t>서울 성동구 살곶이길 200</t>
        </is>
      </c>
    </row>
    <row r="848" ht="19.2" customHeight="1" s="1">
      <c r="A848" t="inlineStr">
        <is>
          <t>NICE:MI6070</t>
        </is>
      </c>
      <c r="B848" t="inlineStr">
        <is>
          <t>파세스</t>
        </is>
      </c>
      <c r="C848" s="5" t="n">
        <v>11284440000</v>
      </c>
      <c r="D848" s="5" t="n">
        <v>5076420000</v>
      </c>
      <c r="E848" s="5" t="n">
        <v>6208020000</v>
      </c>
      <c r="F848" s="5" t="n">
        <v>22726294000</v>
      </c>
      <c r="G848" s="5" t="n">
        <v>3896258000</v>
      </c>
      <c r="H848" s="5" t="n">
        <v>15860719000</v>
      </c>
      <c r="I848" s="5" t="n">
        <v>1863643000</v>
      </c>
      <c r="J848" s="4" t="n">
        <v>2.206199884414673</v>
      </c>
      <c r="K848" s="4" t="n">
        <v>0.8176999688148499</v>
      </c>
      <c r="L848" s="4" t="n">
        <v>0.1713999956846237</v>
      </c>
      <c r="M848" t="inlineStr">
        <is>
          <t>이태교</t>
        </is>
      </c>
      <c r="P848" s="3" t="n"/>
      <c r="Q848" t="inlineStr">
        <is>
          <t>6238801945</t>
        </is>
      </c>
      <c r="R848" t="inlineStr">
        <is>
          <t>2001110630032</t>
        </is>
      </c>
      <c r="S848" t="inlineStr">
        <is>
          <t>대상아님</t>
        </is>
      </c>
      <c r="T848" t="inlineStr">
        <is>
          <t>일반법인</t>
        </is>
      </c>
      <c r="U848" t="inlineStr">
        <is>
          <t>중소기업</t>
        </is>
      </c>
      <c r="V848" t="inlineStr">
        <is>
          <t>외부감사비대상</t>
        </is>
      </c>
      <c r="W848" s="6" t="inlineStr">
        <is>
          <t>2021-03-25</t>
        </is>
      </c>
      <c r="X848" t="inlineStr">
        <is>
          <t>KRI:10G4719000</t>
        </is>
      </c>
      <c r="Y848" t="inlineStr">
        <is>
          <t>그 외 기타 종합 소매업</t>
        </is>
      </c>
      <c r="Z848" t="inlineStr">
        <is>
          <t>안전용품,시설물설치,자동차 중고 부품 및 내장품 판매업,자동차용 전용 신품 부품 판매업,식자재,골재 판매업,의료용 기구 소매업,전자상거래 소매업</t>
        </is>
      </c>
      <c r="AA848" t="inlineStr">
        <is>
          <t>충남 당진시 합덕읍 소소리 627번지 관리동 3층</t>
        </is>
      </c>
      <c r="AB848" t="inlineStr">
        <is>
          <t>충남 당진시 합덕읍 합덕산단2로 68, 관리동 3층</t>
        </is>
      </c>
    </row>
    <row r="849" ht="19.2" customHeight="1" s="1">
      <c r="A849" t="inlineStr">
        <is>
          <t>NICE:082369</t>
        </is>
      </c>
      <c r="B849" t="inlineStr">
        <is>
          <t>다보코퍼레이션</t>
        </is>
      </c>
      <c r="C849" s="5" t="n">
        <v>67572453000</v>
      </c>
      <c r="D849" s="5" t="n">
        <v>12462558000</v>
      </c>
      <c r="E849" s="5" t="n">
        <v>55109895000</v>
      </c>
      <c r="F849" s="5" t="n">
        <v>43351374000</v>
      </c>
      <c r="G849" s="5" t="n">
        <v>6820721000</v>
      </c>
      <c r="H849" s="5" t="n">
        <v>54614372000</v>
      </c>
      <c r="I849" s="5" t="n">
        <v>10919298000</v>
      </c>
      <c r="J849" s="4" t="n">
        <v>4.890299797058105</v>
      </c>
      <c r="K849" s="4" t="n">
        <v>0.2260999977588654</v>
      </c>
      <c r="L849" s="4" t="n">
        <v>0.1572999954223633</v>
      </c>
      <c r="M849" t="inlineStr">
        <is>
          <t>유창훈</t>
        </is>
      </c>
      <c r="N849" t="inlineStr">
        <is>
          <t>02-2615-9999</t>
        </is>
      </c>
      <c r="O849" t="inlineStr">
        <is>
          <t>02-2108-5555</t>
        </is>
      </c>
      <c r="P849" s="3">
        <f>HYPERLINK("http://www.dabo-corp.com", "http://www.dabo-corp.com")</f>
        <v/>
      </c>
      <c r="Q849" t="inlineStr">
        <is>
          <t>1138143191</t>
        </is>
      </c>
      <c r="R849" t="inlineStr">
        <is>
          <t>1101111412785</t>
        </is>
      </c>
      <c r="S849" t="inlineStr">
        <is>
          <t>대상아님</t>
        </is>
      </c>
      <c r="T849" t="inlineStr">
        <is>
          <t>일반법인</t>
        </is>
      </c>
      <c r="U849" t="inlineStr">
        <is>
          <t>중소기업</t>
        </is>
      </c>
      <c r="V849" t="inlineStr">
        <is>
          <t>외부감사대상</t>
        </is>
      </c>
      <c r="W849" s="6" t="inlineStr">
        <is>
          <t>1997-05-12</t>
        </is>
      </c>
      <c r="X849" t="inlineStr">
        <is>
          <t>KRI:10G4659500</t>
        </is>
      </c>
      <c r="Y849" t="inlineStr">
        <is>
          <t>전기용 기계ㆍ장비 및 관련 기자재 도매업</t>
        </is>
      </c>
      <c r="Z849" t="inlineStr">
        <is>
          <t>반도체,전기,전자부품,자동차부품 도소매,무역/연구개발,기술용역</t>
        </is>
      </c>
      <c r="AA849" t="inlineStr">
        <is>
          <t>서울 금천구 가산동 448번지 대륭테크노타운3차 909호</t>
        </is>
      </c>
      <c r="AB849" t="inlineStr">
        <is>
          <t>서울 금천구 가산디지털2로 115, 909호 (가산동,대륭테크노타운3차)</t>
        </is>
      </c>
    </row>
    <row r="850" ht="19.2" customHeight="1" s="1">
      <c r="A850" t="inlineStr">
        <is>
          <t>NICE:486158</t>
        </is>
      </c>
      <c r="B850" t="inlineStr">
        <is>
          <t>경기관광개발</t>
        </is>
      </c>
      <c r="C850" s="5" t="n">
        <v>346406682000</v>
      </c>
      <c r="D850" s="5" t="n">
        <v>181460914000</v>
      </c>
      <c r="E850" s="5" t="n">
        <v>164945768000</v>
      </c>
      <c r="F850" s="5" t="n">
        <v>24368609000</v>
      </c>
      <c r="G850" s="5" t="n">
        <v>11196481000</v>
      </c>
      <c r="H850" s="5" t="n">
        <v>25465078000</v>
      </c>
      <c r="I850" s="5" t="n">
        <v>10755211000</v>
      </c>
      <c r="J850" s="4" t="n">
        <v>12.10420036315918</v>
      </c>
      <c r="K850" s="4" t="n">
        <v>1.100100040435791</v>
      </c>
      <c r="L850" s="4" t="n">
        <v>0.4594999849796295</v>
      </c>
      <c r="M850" t="inlineStr">
        <is>
          <t>김대웅</t>
        </is>
      </c>
      <c r="N850" t="inlineStr">
        <is>
          <t>031-799-6000</t>
        </is>
      </c>
      <c r="O850" t="inlineStr">
        <is>
          <t>031-799-6030</t>
        </is>
      </c>
      <c r="P850" s="3">
        <f>HYPERLINK("http://www.logebiengc.com", "http://www.logebiengc.com")</f>
        <v/>
      </c>
      <c r="Q850" t="inlineStr">
        <is>
          <t>1208689531</t>
        </is>
      </c>
      <c r="R850" t="inlineStr">
        <is>
          <t>1101113348839</t>
        </is>
      </c>
      <c r="S850" t="inlineStr">
        <is>
          <t>대상아님</t>
        </is>
      </c>
      <c r="T850" t="inlineStr">
        <is>
          <t>일반법인</t>
        </is>
      </c>
      <c r="U850" t="inlineStr">
        <is>
          <t>중소기업</t>
        </is>
      </c>
      <c r="V850" t="inlineStr">
        <is>
          <t>외부감사대상</t>
        </is>
      </c>
      <c r="W850" s="6" t="inlineStr">
        <is>
          <t>2005-11-25</t>
        </is>
      </c>
      <c r="X850" t="inlineStr">
        <is>
          <t>KRI:10R9112100</t>
        </is>
      </c>
      <c r="Y850" t="inlineStr">
        <is>
          <t>골프장 운영업</t>
        </is>
      </c>
      <c r="Z850" t="inlineStr">
        <is>
          <t>골프장 운영/골프용품 도소매/식음료,담배 소매/한식음식점/부동산 임대</t>
        </is>
      </c>
      <c r="AA850" t="inlineStr">
        <is>
          <t>경기 광주시 곤지암읍 오향리 156-1번지</t>
        </is>
      </c>
      <c r="AB850" t="inlineStr">
        <is>
          <t>경기 광주시 곤지암읍 오향길 180</t>
        </is>
      </c>
    </row>
    <row r="851" ht="19.2" customHeight="1" s="1">
      <c r="A851" t="inlineStr">
        <is>
          <t>NICE:M19066</t>
        </is>
      </c>
      <c r="B851" t="inlineStr">
        <is>
          <t>정우엔텍</t>
        </is>
      </c>
      <c r="C851" s="5" t="n">
        <v>38387077000</v>
      </c>
      <c r="D851" s="5" t="n">
        <v>13984641000</v>
      </c>
      <c r="E851" s="5" t="n">
        <v>24402436000</v>
      </c>
      <c r="F851" s="5" t="n">
        <v>30832884000</v>
      </c>
      <c r="G851" s="5" t="n">
        <v>4015975000</v>
      </c>
      <c r="H851" s="5" t="n">
        <v>30117195000</v>
      </c>
      <c r="I851" s="5" t="n">
        <v>4873265000</v>
      </c>
      <c r="J851" s="4" t="n">
        <v>2.208600044250488</v>
      </c>
      <c r="K851" s="4" t="n">
        <v>0.5731000304222107</v>
      </c>
      <c r="L851" s="4" t="n">
        <v>0.1301999986171722</v>
      </c>
      <c r="M851" t="inlineStr">
        <is>
          <t>신광선</t>
        </is>
      </c>
      <c r="N851" t="inlineStr">
        <is>
          <t>031-227-2920</t>
        </is>
      </c>
      <c r="O851" t="inlineStr">
        <is>
          <t>031-227-2970</t>
        </is>
      </c>
      <c r="P851" s="3">
        <f>HYPERLINK("http://www.joungwoontech.co.kr", "http://www.joungwoontech.co.kr")</f>
        <v/>
      </c>
      <c r="Q851" t="inlineStr">
        <is>
          <t>1248753051</t>
        </is>
      </c>
      <c r="R851" t="inlineStr">
        <is>
          <t>1358110255498</t>
        </is>
      </c>
      <c r="S851" t="inlineStr">
        <is>
          <t>대상아님</t>
        </is>
      </c>
      <c r="T851" t="inlineStr">
        <is>
          <t>일반법인</t>
        </is>
      </c>
      <c r="U851" t="inlineStr">
        <is>
          <t>중소기업</t>
        </is>
      </c>
      <c r="V851" t="inlineStr">
        <is>
          <t>외부감사대상</t>
        </is>
      </c>
      <c r="W851" s="6" t="inlineStr">
        <is>
          <t>2014-09-24</t>
        </is>
      </c>
      <c r="X851" t="inlineStr">
        <is>
          <t>KRI:10C2927100</t>
        </is>
      </c>
      <c r="Y851" t="inlineStr">
        <is>
          <t>반도체 제조용 기계 제조업</t>
        </is>
      </c>
      <c r="Z851" t="inlineStr">
        <is>
          <t>반도체,LCD제조장비,부품 제조</t>
        </is>
      </c>
      <c r="AA851" t="inlineStr">
        <is>
          <t>경기 수원시 권선구 고색동 1074번지</t>
        </is>
      </c>
      <c r="AB851" t="inlineStr">
        <is>
          <t>경기 수원시 권선구 산업로156번길 78</t>
        </is>
      </c>
    </row>
    <row r="852" s="1">
      <c r="A852" t="inlineStr">
        <is>
          <t>NICE:F38995</t>
        </is>
      </c>
      <c r="B852" t="inlineStr">
        <is>
          <t>사이버다임</t>
        </is>
      </c>
      <c r="C852" s="5" t="n">
        <v>136429944000</v>
      </c>
      <c r="D852" s="5" t="n">
        <v>6578276000</v>
      </c>
      <c r="E852" s="5" t="n">
        <v>129851667000</v>
      </c>
      <c r="F852" s="5" t="n">
        <v>24589248000</v>
      </c>
      <c r="G852" s="5" t="n">
        <v>4661509000</v>
      </c>
      <c r="H852" s="5" t="n">
        <v>17545855000</v>
      </c>
      <c r="I852" s="5" t="n">
        <v>3385867000</v>
      </c>
      <c r="J852" s="4" t="n">
        <v>20.12150001525879</v>
      </c>
      <c r="K852" s="4" t="n">
        <v>0.05070000141859055</v>
      </c>
      <c r="L852" s="4" t="n">
        <v>0.1895999908447266</v>
      </c>
      <c r="M852" t="inlineStr">
        <is>
          <t>김경채</t>
        </is>
      </c>
      <c r="N852" t="inlineStr">
        <is>
          <t>02-546-6990</t>
        </is>
      </c>
      <c r="O852" t="inlineStr">
        <is>
          <t>02-546-6992</t>
        </is>
      </c>
      <c r="P852">
        <f>HYPERLINK("http://www.cyberdigm.co.kr", "http://www.cyberdigm.co.kr")</f>
        <v/>
      </c>
      <c r="Q852" t="inlineStr">
        <is>
          <t>2118852348</t>
        </is>
      </c>
      <c r="R852" t="inlineStr">
        <is>
          <t>1101114480573</t>
        </is>
      </c>
      <c r="S852" t="inlineStr">
        <is>
          <t>대상아님</t>
        </is>
      </c>
      <c r="T852" t="inlineStr">
        <is>
          <t>일반법인</t>
        </is>
      </c>
      <c r="U852" t="inlineStr">
        <is>
          <t>중소기업</t>
        </is>
      </c>
      <c r="V852" t="inlineStr">
        <is>
          <t>외부감사대상</t>
        </is>
      </c>
      <c r="W852" s="6" t="inlineStr">
        <is>
          <t>2010-11-29</t>
        </is>
      </c>
      <c r="X852" t="inlineStr">
        <is>
          <t>KRI:10J5822200</t>
        </is>
      </c>
      <c r="Y852" t="inlineStr">
        <is>
          <t>응용 소프트웨어 개발 및 공급업</t>
        </is>
      </c>
      <c r="Z852" t="inlineStr">
        <is>
          <t>소프트웨어(Destiny ECM, Cloudium) 개발,자문,판매,임대,전산컨설팅</t>
        </is>
      </c>
      <c r="AA852" t="inlineStr">
        <is>
          <t>서울 송파구 신천동 7-23번지 대한제당빌딩 12층</t>
        </is>
      </c>
      <c r="AB852" t="inlineStr">
        <is>
          <t>서울 송파구 올림픽로 299, 12층 (신천동,대한제당빌딩)</t>
        </is>
      </c>
    </row>
    <row r="853" ht="19.2" customHeight="1" s="1">
      <c r="A853" t="inlineStr">
        <is>
          <t>NICE:LX6843</t>
        </is>
      </c>
      <c r="B853" t="inlineStr">
        <is>
          <t>가제트코리아</t>
        </is>
      </c>
      <c r="C853" s="5" t="n">
        <v>21100803000</v>
      </c>
      <c r="D853" s="5" t="n">
        <v>2950312000</v>
      </c>
      <c r="E853" s="5" t="n">
        <v>18150491000</v>
      </c>
      <c r="F853" s="5" t="n">
        <v>31291382000</v>
      </c>
      <c r="G853" s="5" t="n">
        <v>3329901000</v>
      </c>
      <c r="H853" s="5" t="n">
        <v>17596390000</v>
      </c>
      <c r="I853" s="5" t="n">
        <v>1099149000</v>
      </c>
      <c r="J853" s="4" t="n">
        <v>6.838900089263916</v>
      </c>
      <c r="K853" s="4" t="n">
        <v>0.1624999940395355</v>
      </c>
      <c r="L853" s="4" t="n">
        <v>0.1063999980688095</v>
      </c>
      <c r="M853" t="inlineStr">
        <is>
          <t>유상혁</t>
        </is>
      </c>
      <c r="P853" s="3" t="n"/>
      <c r="Q853" t="inlineStr">
        <is>
          <t>7868701837</t>
        </is>
      </c>
      <c r="R853" t="inlineStr">
        <is>
          <t>1341110565769</t>
        </is>
      </c>
      <c r="S853" t="inlineStr">
        <is>
          <t>대상아님</t>
        </is>
      </c>
      <c r="T853" t="inlineStr">
        <is>
          <t>일반법인</t>
        </is>
      </c>
      <c r="U853" t="inlineStr">
        <is>
          <t>중소기업</t>
        </is>
      </c>
      <c r="V853" t="inlineStr">
        <is>
          <t>외부감사대상</t>
        </is>
      </c>
      <c r="W853" s="6" t="inlineStr">
        <is>
          <t>2020-11-09</t>
        </is>
      </c>
      <c r="X853" t="inlineStr">
        <is>
          <t>KRI:10J6129100</t>
        </is>
      </c>
      <c r="Y853" t="inlineStr">
        <is>
          <t>통신 재판매업</t>
        </is>
      </c>
      <c r="Z853" t="inlineStr">
        <is>
          <t>통신 재판매업</t>
        </is>
      </c>
      <c r="AA853" t="inlineStr">
        <is>
          <t>서울 강서구 마곡동 759-2번지 9층</t>
        </is>
      </c>
      <c r="AB853" t="inlineStr">
        <is>
          <t>서울 강서구 마곡중앙5로 22, 9층</t>
        </is>
      </c>
    </row>
    <row r="854" ht="19.2" customHeight="1" s="1">
      <c r="A854" t="inlineStr">
        <is>
          <t>NICE:847232</t>
        </is>
      </c>
      <c r="B854" t="inlineStr">
        <is>
          <t>하나마린</t>
        </is>
      </c>
      <c r="C854" s="5" t="n">
        <v>158387471000</v>
      </c>
      <c r="D854" s="5" t="n">
        <v>73653927000</v>
      </c>
      <c r="E854" s="5" t="n">
        <v>84733545000</v>
      </c>
      <c r="F854" s="5" t="n">
        <v>86198671000</v>
      </c>
      <c r="G854" s="5" t="n">
        <v>8992316000</v>
      </c>
      <c r="H854" s="5" t="n">
        <v>77439982000</v>
      </c>
      <c r="I854" s="5" t="n">
        <v>4617777000</v>
      </c>
      <c r="J854" s="4" t="n">
        <v>1.438399910926819</v>
      </c>
      <c r="K854" s="4" t="n">
        <v>0.8691999912261963</v>
      </c>
      <c r="L854" s="4" t="n">
        <v>0.1042999997735023</v>
      </c>
      <c r="M854" t="inlineStr">
        <is>
          <t>강석심/강성구</t>
        </is>
      </c>
      <c r="N854" t="inlineStr">
        <is>
          <t>02-562-9391</t>
        </is>
      </c>
      <c r="O854" t="inlineStr">
        <is>
          <t>02-562-3833</t>
        </is>
      </c>
      <c r="P854" s="3">
        <f>HYPERLINK("http://www.hana-marine.com", "http://www.hana-marine.com")</f>
        <v/>
      </c>
      <c r="Q854" t="inlineStr">
        <is>
          <t>1208170361</t>
        </is>
      </c>
      <c r="R854" t="inlineStr">
        <is>
          <t>1101111355753</t>
        </is>
      </c>
      <c r="S854" t="inlineStr">
        <is>
          <t>대상아님</t>
        </is>
      </c>
      <c r="T854" t="inlineStr">
        <is>
          <t>일반법인</t>
        </is>
      </c>
      <c r="U854" t="inlineStr">
        <is>
          <t>중소기업</t>
        </is>
      </c>
      <c r="V854" t="inlineStr">
        <is>
          <t>외부감사대상</t>
        </is>
      </c>
      <c r="W854" s="6" t="inlineStr">
        <is>
          <t>1996-12-23</t>
        </is>
      </c>
      <c r="X854" t="inlineStr">
        <is>
          <t>KRI:10H5011200</t>
        </is>
      </c>
      <c r="Y854" t="inlineStr">
        <is>
          <t>외항 화물 운송업</t>
        </is>
      </c>
      <c r="Z854" t="inlineStr">
        <is>
          <t>해상 운송/해운 중개</t>
        </is>
      </c>
      <c r="AA854" t="inlineStr">
        <is>
          <t>서울 강남구 대치동 903-4번지 하나빌딩 4층</t>
        </is>
      </c>
      <c r="AB854" t="inlineStr">
        <is>
          <t>서울 강남구 역삼로 455, 4층 (대치동,하나빌딩)</t>
        </is>
      </c>
    </row>
    <row r="855" ht="19.2" customHeight="1" s="1">
      <c r="A855" t="inlineStr">
        <is>
          <t>NICE:C16181</t>
        </is>
      </c>
      <c r="B855" t="inlineStr">
        <is>
          <t>이나인페이</t>
        </is>
      </c>
      <c r="C855" s="5" t="n">
        <v>86944803000</v>
      </c>
      <c r="D855" s="5" t="n">
        <v>7089946000</v>
      </c>
      <c r="E855" s="5" t="n">
        <v>79854857000</v>
      </c>
      <c r="F855" s="5" t="n">
        <v>64711271000</v>
      </c>
      <c r="G855" s="5" t="n">
        <v>23725254000</v>
      </c>
      <c r="H855" s="5" t="n">
        <v>56349554000</v>
      </c>
      <c r="I855" s="5" t="n">
        <v>22348754000</v>
      </c>
      <c r="J855" s="4" t="n">
        <v>12.35469913482666</v>
      </c>
      <c r="K855" s="4" t="n">
        <v>0.08879999816417694</v>
      </c>
      <c r="L855" s="4" t="n">
        <v>0.366599977016449</v>
      </c>
      <c r="M855" t="inlineStr">
        <is>
          <t>전혁구</t>
        </is>
      </c>
      <c r="N855" t="inlineStr">
        <is>
          <t>02-877-7200</t>
        </is>
      </c>
      <c r="O855" t="inlineStr">
        <is>
          <t>02-877-8172</t>
        </is>
      </c>
      <c r="P855" s="3">
        <f>HYPERLINK("http://www.e9pay.co.kr", "http://www.e9pay.co.kr")</f>
        <v/>
      </c>
      <c r="Q855" t="inlineStr">
        <is>
          <t>1198600332</t>
        </is>
      </c>
      <c r="R855" t="inlineStr">
        <is>
          <t>1101113727116</t>
        </is>
      </c>
      <c r="S855" t="inlineStr">
        <is>
          <t>대상아님</t>
        </is>
      </c>
      <c r="T855" t="inlineStr">
        <is>
          <t>일반법인</t>
        </is>
      </c>
      <c r="U855" t="inlineStr">
        <is>
          <t>중소기업</t>
        </is>
      </c>
      <c r="V855" t="inlineStr">
        <is>
          <t>외부감사대상</t>
        </is>
      </c>
      <c r="W855" s="6" t="inlineStr">
        <is>
          <t>2007-07-27</t>
        </is>
      </c>
      <c r="X855" t="inlineStr">
        <is>
          <t>KRI:10K6619900</t>
        </is>
      </c>
      <c r="Y855" t="inlineStr">
        <is>
          <t>그 외 기타 금융 지원 서비스업</t>
        </is>
      </c>
      <c r="Z855" t="inlineStr">
        <is>
          <t>금융 지원(소액해외송금업무),전자금융,할부금융/통신판매/부동산 매매/시스템소프트웨어 개발,공급</t>
        </is>
      </c>
      <c r="AA855" t="inlineStr">
        <is>
          <t>서울 관악구 봉천동 874-9번지 백광빌딩 803호</t>
        </is>
      </c>
      <c r="AB855" t="inlineStr">
        <is>
          <t>서울 관악구 남부순환로 1793, 803호 (봉천동,백광빌딩)</t>
        </is>
      </c>
    </row>
    <row r="856" ht="19.2" customHeight="1" s="1">
      <c r="A856" t="inlineStr">
        <is>
          <t>NICE:JI9439</t>
        </is>
      </c>
      <c r="B856" t="inlineStr">
        <is>
          <t>오케이에프엠</t>
        </is>
      </c>
      <c r="C856" s="5" t="n">
        <v>16540341000</v>
      </c>
      <c r="D856" s="5" t="n">
        <v>9596612000</v>
      </c>
      <c r="E856" s="5" t="n">
        <v>6943730000</v>
      </c>
      <c r="F856" s="5" t="n">
        <v>20080132000</v>
      </c>
      <c r="G856" s="5" t="n">
        <v>2125597000</v>
      </c>
      <c r="H856" s="5" t="n">
        <v>15001587000</v>
      </c>
      <c r="I856" s="5" t="n">
        <v>1091278000</v>
      </c>
      <c r="J856" s="4" t="n">
        <v>0.9169999361038208</v>
      </c>
      <c r="K856" s="4" t="n">
        <v>1.382099986076355</v>
      </c>
      <c r="L856" s="4" t="n">
        <v>0.1058999970555305</v>
      </c>
      <c r="M856" t="inlineStr">
        <is>
          <t>류광열</t>
        </is>
      </c>
      <c r="N856" t="inlineStr">
        <is>
          <t>031-544-9988</t>
        </is>
      </c>
      <c r="O856" t="inlineStr">
        <is>
          <t>031-544-9978</t>
        </is>
      </c>
      <c r="P856" s="3" t="n"/>
      <c r="Q856" t="inlineStr">
        <is>
          <t>5678801209</t>
        </is>
      </c>
      <c r="R856" t="inlineStr">
        <is>
          <t>2844110103497</t>
        </is>
      </c>
      <c r="S856" t="inlineStr">
        <is>
          <t>대상아님</t>
        </is>
      </c>
      <c r="T856" t="inlineStr">
        <is>
          <t>일반법인</t>
        </is>
      </c>
      <c r="U856" t="inlineStr">
        <is>
          <t>중소기업</t>
        </is>
      </c>
      <c r="V856" t="inlineStr">
        <is>
          <t>외부감사대상</t>
        </is>
      </c>
      <c r="W856" s="6" t="inlineStr">
        <is>
          <t>2018-11-19</t>
        </is>
      </c>
      <c r="X856" t="inlineStr">
        <is>
          <t>KRI:10C1012100</t>
        </is>
      </c>
      <c r="Y856" t="inlineStr">
        <is>
          <t>가금류 가공 및 저장 처리업</t>
        </is>
      </c>
      <c r="Z856" t="inlineStr">
        <is>
          <t>축산물가공</t>
        </is>
      </c>
      <c r="AA856" t="inlineStr">
        <is>
          <t>경기 포천시 설운동 149-4번지 211호</t>
        </is>
      </c>
      <c r="AB856" t="inlineStr">
        <is>
          <t>경기 포천시 송선로 211-1, 211호</t>
        </is>
      </c>
    </row>
    <row r="857" ht="19.2" customHeight="1" s="1">
      <c r="A857" t="inlineStr">
        <is>
          <t>NICE:JB4897</t>
        </is>
      </c>
      <c r="B857" t="inlineStr">
        <is>
          <t>회계법인창천</t>
        </is>
      </c>
      <c r="C857" s="5" t="n">
        <v>14165098000</v>
      </c>
      <c r="D857" s="5" t="n">
        <v>4722431000</v>
      </c>
      <c r="E857" s="5" t="n">
        <v>9442667000</v>
      </c>
      <c r="F857" s="5" t="n">
        <v>22637160000</v>
      </c>
      <c r="G857" s="5" t="n">
        <v>2680083000</v>
      </c>
      <c r="H857" s="5" t="n">
        <v>19161296000</v>
      </c>
      <c r="I857" s="5" t="n">
        <v>2035883000</v>
      </c>
      <c r="J857" s="4" t="n">
        <v>2.462800025939941</v>
      </c>
      <c r="K857" s="4" t="n">
        <v>0.5000999569892883</v>
      </c>
      <c r="L857" s="4" t="n">
        <v>0.1184000000357628</v>
      </c>
      <c r="M857" t="inlineStr">
        <is>
          <t>최완길/태건우</t>
        </is>
      </c>
      <c r="N857" t="inlineStr">
        <is>
          <t>02-518-3671</t>
        </is>
      </c>
      <c r="O857" t="inlineStr">
        <is>
          <t>02-6280-3671</t>
        </is>
      </c>
      <c r="P857" s="3" t="n"/>
      <c r="Q857" t="inlineStr">
        <is>
          <t>8898701081</t>
        </is>
      </c>
      <c r="R857" t="inlineStr">
        <is>
          <t>1101340092019</t>
        </is>
      </c>
      <c r="S857" t="inlineStr">
        <is>
          <t>대상아님</t>
        </is>
      </c>
      <c r="T857" t="inlineStr">
        <is>
          <t>일반법인</t>
        </is>
      </c>
      <c r="U857" t="inlineStr">
        <is>
          <t>중소기업</t>
        </is>
      </c>
      <c r="V857" t="inlineStr">
        <is>
          <t>외부감사비대상</t>
        </is>
      </c>
      <c r="W857" s="6" t="inlineStr">
        <is>
          <t>2018-04-09</t>
        </is>
      </c>
      <c r="X857" t="inlineStr">
        <is>
          <t>KRI:10M7120100</t>
        </is>
      </c>
      <c r="Y857" t="inlineStr">
        <is>
          <t>공인회계사업</t>
        </is>
      </c>
      <c r="Z857" t="inlineStr">
        <is>
          <t>공인회계사/인문,사회과학 연구개발</t>
        </is>
      </c>
      <c r="AA857" t="inlineStr">
        <is>
          <t>서울 강남구 논현동 112-19번지 우노빌딩 5, 6, 7층</t>
        </is>
      </c>
      <c r="AB857" t="inlineStr">
        <is>
          <t>서울 강남구 선릉로131길 16, 5, 6, 7층 (논현동,우노빌딩)</t>
        </is>
      </c>
    </row>
    <row r="858" s="1">
      <c r="A858" t="inlineStr">
        <is>
          <t>NICE:627020</t>
        </is>
      </c>
      <c r="B858" t="inlineStr">
        <is>
          <t>에스비선보</t>
        </is>
      </c>
      <c r="C858" s="5" t="n">
        <v>502153897000</v>
      </c>
      <c r="D858" s="5" t="n">
        <v>224584276000</v>
      </c>
      <c r="E858" s="5" t="n">
        <v>277569621000</v>
      </c>
      <c r="F858" s="5" t="n">
        <v>208903628000</v>
      </c>
      <c r="G858" s="5" t="n">
        <v>28916552000</v>
      </c>
      <c r="H858" s="5" t="n">
        <v>103040348000</v>
      </c>
      <c r="I858" s="5" t="n">
        <v>16175279000</v>
      </c>
      <c r="J858" s="4" t="n">
        <v>1.358999967575073</v>
      </c>
      <c r="K858" s="4" t="n">
        <v>0.8091000318527222</v>
      </c>
      <c r="L858" s="4" t="n">
        <v>0.1384000033140182</v>
      </c>
      <c r="M858" t="inlineStr">
        <is>
          <t>김청욱/최금식</t>
        </is>
      </c>
      <c r="N858" t="inlineStr">
        <is>
          <t>051-260-5531</t>
        </is>
      </c>
      <c r="O858" t="inlineStr">
        <is>
          <t>051-261-3355</t>
        </is>
      </c>
      <c r="P858">
        <f>HYPERLINK("http://www.sunboind.co.kr", "http://www.sunboind.co.kr")</f>
        <v/>
      </c>
      <c r="Q858" t="inlineStr">
        <is>
          <t>6038128937</t>
        </is>
      </c>
      <c r="R858" t="inlineStr">
        <is>
          <t>1801110209098</t>
        </is>
      </c>
      <c r="S858" t="inlineStr">
        <is>
          <t>대상아님</t>
        </is>
      </c>
      <c r="T858" t="inlineStr">
        <is>
          <t>일반법인</t>
        </is>
      </c>
      <c r="U858" t="inlineStr">
        <is>
          <t>중소기업</t>
        </is>
      </c>
      <c r="V858" t="inlineStr">
        <is>
          <t>외부감사대상</t>
        </is>
      </c>
      <c r="W858" s="6" t="inlineStr">
        <is>
          <t>1986-08-20</t>
        </is>
      </c>
      <c r="X858" t="inlineStr">
        <is>
          <t>KRI:10C2911100</t>
        </is>
      </c>
      <c r="Y858" t="inlineStr">
        <is>
          <t>내연기관 제조업</t>
        </is>
      </c>
      <c r="Z858" t="inlineStr">
        <is>
          <t>선박자재부품 제조/태양광발전/부동산 임대</t>
        </is>
      </c>
      <c r="AA858" t="inlineStr">
        <is>
          <t>부산 사하구 다대동 1517-2번지</t>
        </is>
      </c>
      <c r="AB858" t="inlineStr">
        <is>
          <t>부산 사하구 다산로 80</t>
        </is>
      </c>
    </row>
    <row r="859" s="1">
      <c r="A859" t="inlineStr">
        <is>
          <t>NICE:058901</t>
        </is>
      </c>
      <c r="B859" t="inlineStr">
        <is>
          <t>삼화에이스</t>
        </is>
      </c>
      <c r="C859" s="5" t="n">
        <v>129185217000</v>
      </c>
      <c r="D859" s="5" t="n">
        <v>36496209000</v>
      </c>
      <c r="E859" s="5" t="n">
        <v>92689008000</v>
      </c>
      <c r="F859" s="5" t="n">
        <v>144382457000</v>
      </c>
      <c r="G859" s="5" t="n">
        <v>24132663000</v>
      </c>
      <c r="H859" s="5" t="n">
        <v>168953308000</v>
      </c>
      <c r="I859" s="5" t="n">
        <v>20642457000</v>
      </c>
      <c r="J859" s="4" t="n">
        <v>2.373099803924561</v>
      </c>
      <c r="K859" s="4" t="n">
        <v>0.39369997382164</v>
      </c>
      <c r="L859" s="4" t="n">
        <v>0.1670999825000763</v>
      </c>
      <c r="M859" t="inlineStr">
        <is>
          <t>김학근/김현기</t>
        </is>
      </c>
      <c r="N859" t="inlineStr">
        <is>
          <t>02-523-2242</t>
        </is>
      </c>
      <c r="O859" t="inlineStr">
        <is>
          <t>02-3472-9846</t>
        </is>
      </c>
      <c r="P859">
        <f>HYPERLINK("http://www.samhwaace.co.kr", "http://www.samhwaace.co.kr")</f>
        <v/>
      </c>
      <c r="Q859" t="inlineStr">
        <is>
          <t>1398112652</t>
        </is>
      </c>
      <c r="R859" t="inlineStr">
        <is>
          <t>1101110651178</t>
        </is>
      </c>
      <c r="S859" t="inlineStr">
        <is>
          <t>대상아님</t>
        </is>
      </c>
      <c r="T859" t="inlineStr">
        <is>
          <t>일반법인</t>
        </is>
      </c>
      <c r="U859" t="inlineStr">
        <is>
          <t>중소기업</t>
        </is>
      </c>
      <c r="V859" t="inlineStr">
        <is>
          <t>외부감사대상</t>
        </is>
      </c>
      <c r="W859" s="6" t="inlineStr">
        <is>
          <t>1984-07-01</t>
        </is>
      </c>
      <c r="X859" t="inlineStr">
        <is>
          <t>KRI:10C2917200</t>
        </is>
      </c>
      <c r="Y859" t="inlineStr">
        <is>
          <t>공기 조화장치 제조업</t>
        </is>
      </c>
      <c r="Z859" t="inlineStr">
        <is>
          <t>공기조화기,항온항습기,크린룸,냉동냉장설비 제조/냉난방설비공사/무역/건물,시설관리 용역(청소)</t>
        </is>
      </c>
      <c r="AA859" t="inlineStr">
        <is>
          <t>서울 서초구 서초동 1562-7번지 삼화에이스빌딩</t>
        </is>
      </c>
      <c r="AB859" t="inlineStr">
        <is>
          <t>서울 서초구 서초대로48길 84 (서초동,삼화에이스빌딩)</t>
        </is>
      </c>
    </row>
    <row r="860" ht="19.2" customHeight="1" s="1">
      <c r="A860" t="inlineStr">
        <is>
          <t>NICE:234151</t>
        </is>
      </c>
      <c r="B860" t="inlineStr">
        <is>
          <t>태가</t>
        </is>
      </c>
      <c r="C860" s="5" t="n">
        <v>28783364000</v>
      </c>
      <c r="D860" s="5" t="n">
        <v>12266160000</v>
      </c>
      <c r="E860" s="5" t="n">
        <v>16517203000</v>
      </c>
      <c r="F860" s="5" t="n">
        <v>25720569000</v>
      </c>
      <c r="G860" s="5" t="n">
        <v>3714684000</v>
      </c>
      <c r="H860" s="5" t="n">
        <v>24068853000</v>
      </c>
      <c r="I860" s="5" t="n">
        <v>3750170000</v>
      </c>
      <c r="J860" s="4" t="n">
        <v>2.341000080108643</v>
      </c>
      <c r="K860" s="4" t="n">
        <v>0.7426000237464905</v>
      </c>
      <c r="L860" s="4" t="n">
        <v>0.1443999856710434</v>
      </c>
      <c r="M860" t="inlineStr">
        <is>
          <t>유대선/유동근</t>
        </is>
      </c>
      <c r="N860" t="inlineStr">
        <is>
          <t>031-497-2387</t>
        </is>
      </c>
      <c r="O860" t="inlineStr">
        <is>
          <t>031-498-3014</t>
        </is>
      </c>
      <c r="P860" s="3">
        <f>HYPERLINK("http://www.taega.com", "http://www.taega.com")</f>
        <v/>
      </c>
      <c r="Q860" t="inlineStr">
        <is>
          <t>1338123281</t>
        </is>
      </c>
      <c r="R860" t="inlineStr">
        <is>
          <t>1350110041413</t>
        </is>
      </c>
      <c r="S860" t="inlineStr">
        <is>
          <t>대상아님</t>
        </is>
      </c>
      <c r="T860" t="inlineStr">
        <is>
          <t>일반법인</t>
        </is>
      </c>
      <c r="U860" t="inlineStr">
        <is>
          <t>중소기업</t>
        </is>
      </c>
      <c r="V860" t="inlineStr">
        <is>
          <t>외부감사대상</t>
        </is>
      </c>
      <c r="W860" s="6" t="inlineStr">
        <is>
          <t>1994-03-10</t>
        </is>
      </c>
      <c r="X860" t="inlineStr">
        <is>
          <t>KRI:10C2223200</t>
        </is>
      </c>
      <c r="Y860" t="inlineStr">
        <is>
          <t>포장용 플라스틱 성형용기 제조업</t>
        </is>
      </c>
      <c r="Z860" t="inlineStr">
        <is>
          <t>페트,프라스틱용기,금형 제조</t>
        </is>
      </c>
      <c r="AA860" t="inlineStr">
        <is>
          <t>경기 안산시 단원구 초지동 658-4번지</t>
        </is>
      </c>
      <c r="AB860" t="inlineStr">
        <is>
          <t>경기 안산시 단원구 시우로 35</t>
        </is>
      </c>
    </row>
    <row r="861" ht="19.2" customHeight="1" s="1">
      <c r="A861" t="inlineStr">
        <is>
          <t>NICE:000706</t>
        </is>
      </c>
      <c r="B861" t="inlineStr">
        <is>
          <t>태양자동문</t>
        </is>
      </c>
      <c r="C861" s="5" t="n">
        <v>20386376000</v>
      </c>
      <c r="D861" s="5" t="n">
        <v>5053956000</v>
      </c>
      <c r="E861" s="5" t="n">
        <v>15332421000</v>
      </c>
      <c r="F861" s="5" t="n">
        <v>26124215000</v>
      </c>
      <c r="G861" s="5" t="n">
        <v>4351271000</v>
      </c>
      <c r="H861" s="5" t="n">
        <v>27180856000</v>
      </c>
      <c r="I861" s="5" t="n">
        <v>4357430000</v>
      </c>
      <c r="J861" s="4" t="n">
        <v>4.691299915313721</v>
      </c>
      <c r="K861" s="4" t="n">
        <v>0.3295999765396118</v>
      </c>
      <c r="L861" s="4" t="n">
        <v>0.1665999889373779</v>
      </c>
      <c r="M861" t="inlineStr">
        <is>
          <t>김선국</t>
        </is>
      </c>
      <c r="N861" t="inlineStr">
        <is>
          <t>02-2606-1517</t>
        </is>
      </c>
      <c r="O861" t="inlineStr">
        <is>
          <t>02-2606-1519</t>
        </is>
      </c>
      <c r="P861" s="3">
        <f>HYPERLINK("http://www.sunautodoor.com", "http://www.sunautodoor.com")</f>
        <v/>
      </c>
      <c r="Q861" t="inlineStr">
        <is>
          <t>1068160979</t>
        </is>
      </c>
      <c r="R861" t="inlineStr">
        <is>
          <t>1101111281651</t>
        </is>
      </c>
      <c r="S861" t="inlineStr">
        <is>
          <t>대상아님</t>
        </is>
      </c>
      <c r="T861" t="inlineStr">
        <is>
          <t>일반법인</t>
        </is>
      </c>
      <c r="U861" t="inlineStr">
        <is>
          <t>중소기업</t>
        </is>
      </c>
      <c r="V861" t="inlineStr">
        <is>
          <t>외부감사대상</t>
        </is>
      </c>
      <c r="W861" s="6" t="inlineStr">
        <is>
          <t>1996-06-13</t>
        </is>
      </c>
      <c r="X861" t="inlineStr">
        <is>
          <t>KRI:10C2511100</t>
        </is>
      </c>
      <c r="Y861" t="inlineStr">
        <is>
          <t>금속 문, 창, 셔터 및 관련제품 제조업</t>
        </is>
      </c>
      <c r="Z861" t="inlineStr">
        <is>
          <t>자동문 제조,설치/금속구조물,창호공사/알루미늄,PVC 압출,자동문 도소매,무역/부동산 임대</t>
        </is>
      </c>
      <c r="AA861" t="inlineStr">
        <is>
          <t>서울 양천구 신월동 412-10번지</t>
        </is>
      </c>
      <c r="AB861" t="inlineStr">
        <is>
          <t>서울 양천구 국회대로 48</t>
        </is>
      </c>
    </row>
    <row r="862" ht="19.2" customHeight="1" s="1">
      <c r="A862" t="inlineStr">
        <is>
          <t>NICE:201267</t>
        </is>
      </c>
      <c r="B862" t="inlineStr">
        <is>
          <t>케이이에스전기공사</t>
        </is>
      </c>
      <c r="C862" s="5" t="n">
        <v>17824658000</v>
      </c>
      <c r="D862" s="5" t="n">
        <v>3616292000</v>
      </c>
      <c r="E862" s="5" t="n">
        <v>14208366000</v>
      </c>
      <c r="F862" s="5" t="n">
        <v>41240460000</v>
      </c>
      <c r="G862" s="5" t="n">
        <v>5386194000</v>
      </c>
      <c r="H862" s="5" t="n">
        <v>32975861000</v>
      </c>
      <c r="I862" s="5" t="n">
        <v>1245394000</v>
      </c>
      <c r="J862" s="4" t="n">
        <v>2.936899900436401</v>
      </c>
      <c r="K862" s="4" t="n">
        <v>0.2545000016689301</v>
      </c>
      <c r="L862" s="4" t="n">
        <v>0.1306000053882599</v>
      </c>
      <c r="M862" t="inlineStr">
        <is>
          <t>강성진</t>
        </is>
      </c>
      <c r="N862" t="inlineStr">
        <is>
          <t>02-529-4611-2</t>
        </is>
      </c>
      <c r="O862" t="inlineStr">
        <is>
          <t>02-529-4613</t>
        </is>
      </c>
      <c r="P862" s="3" t="n"/>
      <c r="Q862" t="inlineStr">
        <is>
          <t>2148705513</t>
        </is>
      </c>
      <c r="R862" t="inlineStr">
        <is>
          <t>1101112450502</t>
        </is>
      </c>
      <c r="S862" t="inlineStr">
        <is>
          <t>대상아님</t>
        </is>
      </c>
      <c r="T862" t="inlineStr">
        <is>
          <t>일반법인</t>
        </is>
      </c>
      <c r="U862" t="inlineStr">
        <is>
          <t>중소기업</t>
        </is>
      </c>
      <c r="V862" t="inlineStr">
        <is>
          <t>외부감사대상</t>
        </is>
      </c>
      <c r="W862" s="6" t="inlineStr">
        <is>
          <t>2002-02-20</t>
        </is>
      </c>
      <c r="X862" t="inlineStr">
        <is>
          <t>KRI:10F4231100</t>
        </is>
      </c>
      <c r="Y862" t="inlineStr">
        <is>
          <t>일반전기 공사업</t>
        </is>
      </c>
      <c r="Z862" t="inlineStr">
        <is>
          <t>전기공사,통신공사,소방공사</t>
        </is>
      </c>
      <c r="AA862" t="inlineStr">
        <is>
          <t>서울 서초구 양재동 398-7번지 케이이에스빌딩 3층</t>
        </is>
      </c>
      <c r="AB862" t="inlineStr">
        <is>
          <t>서울 서초구 논현로1길 52, 3층 (양재동,케이이에스빌딩)</t>
        </is>
      </c>
    </row>
    <row r="863" s="1">
      <c r="A863" t="inlineStr">
        <is>
          <t>NICE:095591</t>
        </is>
      </c>
      <c r="B863" t="inlineStr">
        <is>
          <t>에이치제이씨</t>
        </is>
      </c>
      <c r="C863" s="5" t="n">
        <v>230368289000</v>
      </c>
      <c r="D863" s="5" t="n">
        <v>57722814000</v>
      </c>
      <c r="E863" s="5" t="n">
        <v>172645475000</v>
      </c>
      <c r="F863" s="5" t="n">
        <v>155263812000</v>
      </c>
      <c r="G863" s="5" t="n">
        <v>21434504000</v>
      </c>
      <c r="H863" s="5" t="n">
        <v>143628844000</v>
      </c>
      <c r="I863" s="5" t="n">
        <v>7716971000</v>
      </c>
      <c r="J863" s="4" t="n">
        <v>1.753299951553345</v>
      </c>
      <c r="K863" s="4" t="n">
        <v>0.3342999815940857</v>
      </c>
      <c r="L863" s="4" t="n">
        <v>0.1380999982357025</v>
      </c>
      <c r="M863" t="inlineStr">
        <is>
          <t>홍석중/홍완기</t>
        </is>
      </c>
      <c r="N863" t="inlineStr">
        <is>
          <t>031-333-5451</t>
        </is>
      </c>
      <c r="O863" t="inlineStr">
        <is>
          <t>031-333-8063</t>
        </is>
      </c>
      <c r="P863">
        <f>HYPERLINK("http://www.hjc-helmet.com", "http://www.hjc-helmet.com")</f>
        <v/>
      </c>
      <c r="Q863" t="inlineStr">
        <is>
          <t>1358109475</t>
        </is>
      </c>
      <c r="R863" t="inlineStr">
        <is>
          <t>1345110011079</t>
        </is>
      </c>
      <c r="S863" t="inlineStr">
        <is>
          <t>대상아님</t>
        </is>
      </c>
      <c r="T863" t="inlineStr">
        <is>
          <t>일반법인</t>
        </is>
      </c>
      <c r="U863" t="inlineStr">
        <is>
          <t>중견기업</t>
        </is>
      </c>
      <c r="V863" t="inlineStr">
        <is>
          <t>외부감사대상</t>
        </is>
      </c>
      <c r="W863" s="6" t="inlineStr">
        <is>
          <t>1971-10-01</t>
        </is>
      </c>
      <c r="X863" t="inlineStr">
        <is>
          <t>KRI:10C2229900</t>
        </is>
      </c>
      <c r="Y863" t="inlineStr">
        <is>
          <t>그 외 기타 플라스틱 제품 제조업</t>
        </is>
      </c>
      <c r="Z863" t="inlineStr">
        <is>
          <t>오토바이헬멧,특수용피복,섬유가공,통신기기,주변기기 제조/ FRP제품,특수용피복 도소매</t>
        </is>
      </c>
      <c r="AA863" t="inlineStr">
        <is>
          <t>경기 용인시 처인구 이동읍 서리 54-2번지</t>
        </is>
      </c>
      <c r="AB863" t="inlineStr">
        <is>
          <t>경기 용인시 처인구 이동읍 서리로 23</t>
        </is>
      </c>
    </row>
    <row r="864" s="1">
      <c r="A864" t="inlineStr">
        <is>
          <t>NICE:495903</t>
        </is>
      </c>
      <c r="B864" t="inlineStr">
        <is>
          <t>한진부산컨테이너터미널</t>
        </is>
      </c>
      <c r="C864" s="5" t="n">
        <v>188552772000</v>
      </c>
      <c r="D864" s="5" t="n">
        <v>123058890000</v>
      </c>
      <c r="E864" s="5" t="n">
        <v>65493882000</v>
      </c>
      <c r="F864" s="5" t="n">
        <v>187226858000</v>
      </c>
      <c r="G864" s="5" t="n">
        <v>40036977000</v>
      </c>
      <c r="H864" s="5" t="n">
        <v>200001155000</v>
      </c>
      <c r="I864" s="5" t="n">
        <v>45831244000</v>
      </c>
      <c r="J864" s="4" t="n">
        <v>1.693199992179871</v>
      </c>
      <c r="K864" s="4" t="n">
        <v>1.878899931907654</v>
      </c>
      <c r="L864" s="4" t="n">
        <v>0.2137999832630157</v>
      </c>
      <c r="M864" t="inlineStr">
        <is>
          <t>김규경</t>
        </is>
      </c>
      <c r="N864" t="inlineStr">
        <is>
          <t>051-220-2138</t>
        </is>
      </c>
      <c r="O864" t="inlineStr">
        <is>
          <t>051-220-2189</t>
        </is>
      </c>
      <c r="P864">
        <f>HYPERLINK("http://www.hjnc.co.kr", "http://www.hjnc.co.kr")</f>
        <v/>
      </c>
      <c r="Q864" t="inlineStr">
        <is>
          <t>6098179619</t>
        </is>
      </c>
      <c r="R864" t="inlineStr">
        <is>
          <t>1941110012875</t>
        </is>
      </c>
      <c r="S864" t="inlineStr">
        <is>
          <t>대상아님</t>
        </is>
      </c>
      <c r="T864" t="inlineStr">
        <is>
          <t>일반법인</t>
        </is>
      </c>
      <c r="U864" t="inlineStr">
        <is>
          <t>대기업</t>
        </is>
      </c>
      <c r="V864" t="inlineStr">
        <is>
          <t>외부감사대상</t>
        </is>
      </c>
      <c r="W864" s="6" t="inlineStr">
        <is>
          <t>2007-09-05</t>
        </is>
      </c>
      <c r="X864" t="inlineStr">
        <is>
          <t>KRI:10H5292100</t>
        </is>
      </c>
      <c r="Y864" t="inlineStr">
        <is>
          <t>항구 및 기타 해상 터미널 운영업</t>
        </is>
      </c>
      <c r="Z864" t="inlineStr">
        <is>
          <t>항만시설 관리,운영,항만 하역,외항화물 운송</t>
        </is>
      </c>
      <c r="AA864" t="inlineStr">
        <is>
          <t>경남 창원시 진해구 안골동 산118번지</t>
        </is>
      </c>
      <c r="AB864" t="inlineStr">
        <is>
          <t>경남 창원시 진해구 신항로 433</t>
        </is>
      </c>
    </row>
    <row r="865" ht="19.2" customHeight="1" s="1">
      <c r="A865" t="inlineStr">
        <is>
          <t>NICE:100854</t>
        </is>
      </c>
      <c r="B865" t="inlineStr">
        <is>
          <t>동명엔터프라이즈</t>
        </is>
      </c>
      <c r="C865" s="5" t="n">
        <v>65157331000</v>
      </c>
      <c r="D865" s="5" t="n">
        <v>8367846000</v>
      </c>
      <c r="E865" s="5" t="n">
        <v>56789485000</v>
      </c>
      <c r="F865" s="5" t="n">
        <v>26586286000</v>
      </c>
      <c r="G865" s="5" t="n">
        <v>3922604000</v>
      </c>
      <c r="H865" s="5" t="n">
        <v>28045067000</v>
      </c>
      <c r="I865" s="5" t="n">
        <v>1692480000</v>
      </c>
      <c r="J865" s="4" t="n">
        <v>4.510299682617188</v>
      </c>
      <c r="K865" s="4" t="n">
        <v>0.1472999900579453</v>
      </c>
      <c r="L865" s="4" t="n">
        <v>0.1474999934434891</v>
      </c>
      <c r="M865" t="inlineStr">
        <is>
          <t>김주영</t>
        </is>
      </c>
      <c r="N865" t="inlineStr">
        <is>
          <t>02-2188-8700</t>
        </is>
      </c>
      <c r="O865" t="inlineStr">
        <is>
          <t>02-2188-8744</t>
        </is>
      </c>
      <c r="P865" s="3">
        <f>HYPERLINK("http://www.dm-ent.co.kr", "http://www.dm-ent.co.kr")</f>
        <v/>
      </c>
      <c r="Q865" t="inlineStr">
        <is>
          <t>2208104138</t>
        </is>
      </c>
      <c r="R865" t="inlineStr">
        <is>
          <t>1101110429773</t>
        </is>
      </c>
      <c r="S865" t="inlineStr">
        <is>
          <t>대상아님</t>
        </is>
      </c>
      <c r="T865" t="inlineStr">
        <is>
          <t>일반법인</t>
        </is>
      </c>
      <c r="U865" t="inlineStr">
        <is>
          <t>중소기업</t>
        </is>
      </c>
      <c r="V865" t="inlineStr">
        <is>
          <t>외부감사대상</t>
        </is>
      </c>
      <c r="W865" s="6" t="inlineStr">
        <is>
          <t>1986-06-19</t>
        </is>
      </c>
      <c r="X865" t="inlineStr">
        <is>
          <t>KRI:10E3900100</t>
        </is>
      </c>
      <c r="Y865" t="inlineStr">
        <is>
          <t>토양 및 지하수 정화업</t>
        </is>
      </c>
      <c r="Z865" t="inlineStr">
        <is>
          <t>토양,지하수 정화,환경 컨설팅/철골,주유소관련기기,특장차 제조/고무보트수선/토목공사</t>
        </is>
      </c>
      <c r="AA865" t="inlineStr">
        <is>
          <t>서울 서초구 서초동 1424-8번지</t>
        </is>
      </c>
      <c r="AB865" t="inlineStr">
        <is>
          <t>서울 서초구 남부순환로 2471</t>
        </is>
      </c>
    </row>
    <row r="866" ht="19.2" customHeight="1" s="1">
      <c r="A866" t="inlineStr">
        <is>
          <t>NICE:IZ1715</t>
        </is>
      </c>
      <c r="B866" t="inlineStr">
        <is>
          <t>삼일아스콘</t>
        </is>
      </c>
      <c r="C866" s="5" t="n">
        <v>56492278000</v>
      </c>
      <c r="D866" s="5" t="n">
        <v>34059830000</v>
      </c>
      <c r="E866" s="5" t="n">
        <v>22432447000</v>
      </c>
      <c r="F866" s="5" t="n">
        <v>43457746000</v>
      </c>
      <c r="G866" s="5" t="n">
        <v>5381155000</v>
      </c>
      <c r="H866" s="5" t="n">
        <v>48641885000</v>
      </c>
      <c r="I866" s="5" t="n">
        <v>1099087000</v>
      </c>
      <c r="J866" s="4" t="n">
        <v>0.899899959564209</v>
      </c>
      <c r="K866" s="4" t="n">
        <v>1.51829993724823</v>
      </c>
      <c r="L866" s="4" t="n">
        <v>0.1238000020384789</v>
      </c>
      <c r="M866" t="inlineStr">
        <is>
          <t>조석민</t>
        </is>
      </c>
      <c r="N866" t="inlineStr">
        <is>
          <t>031-326-6331</t>
        </is>
      </c>
      <c r="O866" t="inlineStr">
        <is>
          <t>031-339-8295</t>
        </is>
      </c>
      <c r="P866" s="3">
        <f>HYPERLINK("http://www.esamil.com", "http://www.esamil.com")</f>
        <v/>
      </c>
      <c r="Q866" t="inlineStr">
        <is>
          <t>1318700926</t>
        </is>
      </c>
      <c r="R866" t="inlineStr">
        <is>
          <t>1345110347771</t>
        </is>
      </c>
      <c r="S866" t="inlineStr">
        <is>
          <t>대상아님</t>
        </is>
      </c>
      <c r="T866" t="inlineStr">
        <is>
          <t>일반법인</t>
        </is>
      </c>
      <c r="U866" t="inlineStr">
        <is>
          <t>중소기업</t>
        </is>
      </c>
      <c r="V866" t="inlineStr">
        <is>
          <t>외부감사대상</t>
        </is>
      </c>
      <c r="W866" s="6" t="inlineStr">
        <is>
          <t>2018-02-01</t>
        </is>
      </c>
      <c r="X866" t="inlineStr">
        <is>
          <t>KRI:10C2399100</t>
        </is>
      </c>
      <c r="Y866" t="inlineStr">
        <is>
          <t>아스팔트 콘크리트 및 혼합제품 제조업</t>
        </is>
      </c>
      <c r="Z866" t="inlineStr">
        <is>
          <t>아스콘,재생아스콘 제조,도소매</t>
        </is>
      </c>
      <c r="AA866" t="inlineStr">
        <is>
          <t>경기 용인시 처인구 이동읍 서리 740-2번지</t>
        </is>
      </c>
      <c r="AB866" t="inlineStr">
        <is>
          <t>경기 용인시 처인구 이동읍 백자로 73</t>
        </is>
      </c>
    </row>
    <row r="867" ht="19.2" customHeight="1" s="1">
      <c r="A867" t="inlineStr">
        <is>
          <t>NICE:208602</t>
        </is>
      </c>
      <c r="B867" t="inlineStr">
        <is>
          <t>에스케이쎈서</t>
        </is>
      </c>
      <c r="C867" s="5" t="n">
        <v>30169100000</v>
      </c>
      <c r="D867" s="5" t="n">
        <v>4003264000</v>
      </c>
      <c r="E867" s="5" t="n">
        <v>26165836000</v>
      </c>
      <c r="F867" s="5" t="n">
        <v>36104012000</v>
      </c>
      <c r="G867" s="5" t="n">
        <v>5768280000</v>
      </c>
      <c r="H867" s="5" t="n">
        <v>33496302000</v>
      </c>
      <c r="I867" s="5" t="n">
        <v>5222527000</v>
      </c>
      <c r="J867" s="4" t="n">
        <v>8.120599746704102</v>
      </c>
      <c r="K867" s="4" t="n">
        <v>0.1529999971389771</v>
      </c>
      <c r="L867" s="4" t="n">
        <v>0.1597999930381775</v>
      </c>
      <c r="M867" t="inlineStr">
        <is>
          <t>김영규/김진우</t>
        </is>
      </c>
      <c r="N867" t="inlineStr">
        <is>
          <t>02-867-0760</t>
        </is>
      </c>
      <c r="O867" t="inlineStr">
        <is>
          <t>02-867-9276</t>
        </is>
      </c>
      <c r="P867" s="3" t="n"/>
      <c r="Q867" t="inlineStr">
        <is>
          <t>2148177015</t>
        </is>
      </c>
      <c r="R867" t="inlineStr">
        <is>
          <t>1101110604755</t>
        </is>
      </c>
      <c r="S867" t="inlineStr">
        <is>
          <t>대상아님</t>
        </is>
      </c>
      <c r="T867" t="inlineStr">
        <is>
          <t>일반법인</t>
        </is>
      </c>
      <c r="U867" t="inlineStr">
        <is>
          <t>중소기업</t>
        </is>
      </c>
      <c r="V867" t="inlineStr">
        <is>
          <t>외부감사대상</t>
        </is>
      </c>
      <c r="W867" s="6" t="inlineStr">
        <is>
          <t>1989-01-12</t>
        </is>
      </c>
      <c r="X867" t="inlineStr">
        <is>
          <t>KRI:10C2629200</t>
        </is>
      </c>
      <c r="Y867" t="inlineStr">
        <is>
          <t>전자저항기 제조업</t>
        </is>
      </c>
      <c r="Z867" t="inlineStr">
        <is>
          <t>전자저항기 제조/전자부품(센서,써머스터) 도소매</t>
        </is>
      </c>
      <c r="AA867" t="inlineStr">
        <is>
          <t>서울 금천구 가산동 327-27번지 이앤씨드림타워8차 1501호 , 1502호</t>
        </is>
      </c>
      <c r="AB867" t="inlineStr">
        <is>
          <t>서울 금천구 가산디지털1로 45, 1501호, 1502호 (가산동,이앤씨드림타워8차)</t>
        </is>
      </c>
    </row>
    <row r="868" ht="19.2" customHeight="1" s="1">
      <c r="A868" t="inlineStr">
        <is>
          <t>NICE:L63932</t>
        </is>
      </c>
      <c r="B868" t="inlineStr">
        <is>
          <t>신도피앤지</t>
        </is>
      </c>
      <c r="C868" s="5" t="n">
        <v>17708251000</v>
      </c>
      <c r="D868" s="5" t="n">
        <v>14474488000</v>
      </c>
      <c r="E868" s="5" t="n">
        <v>3233763000</v>
      </c>
      <c r="F868" s="5" t="n">
        <v>20351613000</v>
      </c>
      <c r="G868" s="5" t="n">
        <v>2696084000</v>
      </c>
      <c r="H868" s="5" t="n">
        <v>14452860000</v>
      </c>
      <c r="I868" s="5" t="n">
        <v>1431453000</v>
      </c>
      <c r="J868" s="4" t="n">
        <v>0.6403999924659729</v>
      </c>
      <c r="K868" s="4" t="n">
        <v>4.476099967956543</v>
      </c>
      <c r="L868" s="4" t="n">
        <v>0.1324999928474426</v>
      </c>
      <c r="M868" t="inlineStr">
        <is>
          <t>안도현</t>
        </is>
      </c>
      <c r="N868" t="inlineStr">
        <is>
          <t>031-997-9401</t>
        </is>
      </c>
      <c r="O868" t="inlineStr">
        <is>
          <t>031-997-9403</t>
        </is>
      </c>
      <c r="P868" s="3" t="n"/>
      <c r="Q868" t="inlineStr">
        <is>
          <t>1378646388</t>
        </is>
      </c>
      <c r="R868" t="inlineStr">
        <is>
          <t>1244110144098</t>
        </is>
      </c>
      <c r="S868" t="inlineStr">
        <is>
          <t>대상아님</t>
        </is>
      </c>
      <c r="T868" t="inlineStr">
        <is>
          <t>일반법인</t>
        </is>
      </c>
      <c r="U868" t="inlineStr">
        <is>
          <t>중소기업</t>
        </is>
      </c>
      <c r="V868" t="inlineStr">
        <is>
          <t>외부감사대상</t>
        </is>
      </c>
      <c r="W868" s="6" t="inlineStr">
        <is>
          <t>2014-03-21</t>
        </is>
      </c>
      <c r="X868" t="inlineStr">
        <is>
          <t>KRI:10C2042300</t>
        </is>
      </c>
      <c r="Y868" t="inlineStr">
        <is>
          <t>화장품 제조업</t>
        </is>
      </c>
      <c r="Z868" t="inlineStr">
        <is>
          <t>마스크팩 제조</t>
        </is>
      </c>
      <c r="AA868" t="inlineStr">
        <is>
          <t>인천 남동구 논현동 429-1번지</t>
        </is>
      </c>
      <c r="AB868" t="inlineStr">
        <is>
          <t>인천 남동구 남동서로270번길 28</t>
        </is>
      </c>
    </row>
    <row r="869" ht="19.2" customHeight="1" s="1">
      <c r="A869" t="inlineStr">
        <is>
          <t>NICE:119470</t>
        </is>
      </c>
      <c r="B869" t="inlineStr">
        <is>
          <t>에이스택</t>
        </is>
      </c>
      <c r="C869" s="5" t="n">
        <v>13240888000</v>
      </c>
      <c r="D869" s="5" t="n">
        <v>5015382000</v>
      </c>
      <c r="E869" s="5" t="n">
        <v>8225506000</v>
      </c>
      <c r="F869" s="5" t="n">
        <v>22207622000</v>
      </c>
      <c r="G869" s="5" t="n">
        <v>2693547000</v>
      </c>
      <c r="H869" s="5" t="n">
        <v>16619312000</v>
      </c>
      <c r="I869" s="5" t="n">
        <v>1314762000</v>
      </c>
      <c r="J869" s="4" t="n">
        <v>3.357399940490723</v>
      </c>
      <c r="K869" s="4" t="n">
        <v>0.6097000241279602</v>
      </c>
      <c r="L869" s="4" t="n">
        <v>0.121299996972084</v>
      </c>
      <c r="M869" t="inlineStr">
        <is>
          <t>장정훈</t>
        </is>
      </c>
      <c r="N869" t="inlineStr">
        <is>
          <t>02-420-2343</t>
        </is>
      </c>
      <c r="O869" t="inlineStr">
        <is>
          <t>02-420-2757</t>
        </is>
      </c>
      <c r="P869" s="3">
        <f>HYPERLINK("http://www.acetronix.co.kr", "http://www.acetronix.co.kr")</f>
        <v/>
      </c>
      <c r="Q869" t="inlineStr">
        <is>
          <t>2158168464</t>
        </is>
      </c>
      <c r="R869" t="inlineStr">
        <is>
          <t>1101111512478</t>
        </is>
      </c>
      <c r="S869" t="inlineStr">
        <is>
          <t>대상아님</t>
        </is>
      </c>
      <c r="T869" t="inlineStr">
        <is>
          <t>일반법인</t>
        </is>
      </c>
      <c r="U869" t="inlineStr">
        <is>
          <t>중소기업</t>
        </is>
      </c>
      <c r="V869" t="inlineStr">
        <is>
          <t>외부감사대상</t>
        </is>
      </c>
      <c r="W869" s="6" t="inlineStr">
        <is>
          <t>1994-10-01</t>
        </is>
      </c>
      <c r="X869" t="inlineStr">
        <is>
          <t>KRI:10C2631000</t>
        </is>
      </c>
      <c r="Y869" t="inlineStr">
        <is>
          <t>컴퓨터 제조업</t>
        </is>
      </c>
      <c r="Z869" t="inlineStr">
        <is>
          <t>컴퓨터,방송,무선통신기기,자동제어반 제조/신재생에너지/컴퓨터,주변기기,철도신호제어시스템 도소매,무역/소프트웨어 개발,공급</t>
        </is>
      </c>
      <c r="AA869" t="inlineStr">
        <is>
          <t>서울 구로구 구로동 222-14번지 에이스하이엔드타워2차 1604호</t>
        </is>
      </c>
      <c r="AB869" t="inlineStr">
        <is>
          <t>서울 구로구 디지털로26길 61, 1604호 (구로동,에이스하이엔드타워2차)</t>
        </is>
      </c>
    </row>
    <row r="870" ht="19.2" customHeight="1" s="1">
      <c r="A870" t="inlineStr">
        <is>
          <t>NICE:500496</t>
        </is>
      </c>
      <c r="B870" t="inlineStr">
        <is>
          <t>풍림산업</t>
        </is>
      </c>
      <c r="C870" s="5" t="n">
        <v>300995919000</v>
      </c>
      <c r="D870" s="5" t="n">
        <v>141316435000</v>
      </c>
      <c r="E870" s="5" t="n">
        <v>159679483000</v>
      </c>
      <c r="F870" s="5" t="n">
        <v>174840542000</v>
      </c>
      <c r="G870" s="5" t="n">
        <v>32964567000</v>
      </c>
      <c r="H870" s="5" t="n">
        <v>180593054000</v>
      </c>
      <c r="I870" s="5" t="n">
        <v>20243221000</v>
      </c>
      <c r="J870" s="4" t="n">
        <v>1.132599949836731</v>
      </c>
      <c r="K870" s="4" t="n">
        <v>0.8849999904632568</v>
      </c>
      <c r="L870" s="4" t="n">
        <v>0.1885000020265579</v>
      </c>
      <c r="M870" t="inlineStr">
        <is>
          <t>지우종</t>
        </is>
      </c>
      <c r="N870" t="inlineStr">
        <is>
          <t>02-528-6200</t>
        </is>
      </c>
      <c r="O870" t="inlineStr">
        <is>
          <t>02-528-6250</t>
        </is>
      </c>
      <c r="P870" s="3">
        <f>HYPERLINK("http://www.poonglim.co.kr", "http://www.poonglim.co.kr")</f>
        <v/>
      </c>
      <c r="Q870" t="inlineStr">
        <is>
          <t>2208110116</t>
        </is>
      </c>
      <c r="R870" t="inlineStr">
        <is>
          <t>1101110031908</t>
        </is>
      </c>
      <c r="S870" t="inlineStr">
        <is>
          <t>대상아님</t>
        </is>
      </c>
      <c r="T870" t="inlineStr">
        <is>
          <t>일반법인</t>
        </is>
      </c>
      <c r="U870" t="inlineStr">
        <is>
          <t>중견기업</t>
        </is>
      </c>
      <c r="V870" t="inlineStr">
        <is>
          <t>외부감사대상</t>
        </is>
      </c>
      <c r="W870" s="6" t="inlineStr">
        <is>
          <t>1954-10-05</t>
        </is>
      </c>
      <c r="X870" t="inlineStr">
        <is>
          <t>KRI:10F4111200</t>
        </is>
      </c>
      <c r="Y870" t="inlineStr">
        <is>
          <t>아파트 건설업</t>
        </is>
      </c>
      <c r="Z870" t="inlineStr">
        <is>
          <t>일반건축공사,토사석채취,일반토목공사,포장공사해외건설,철강재설치공사,소방공사,전기공사,가스시설시공사,정보통신공사/무역</t>
        </is>
      </c>
      <c r="AA870" t="inlineStr">
        <is>
          <t>서울 강남구 삼성동 157-8번지</t>
        </is>
      </c>
      <c r="AB870" t="inlineStr">
        <is>
          <t>서울 강남구 삼성로96길 6</t>
        </is>
      </c>
    </row>
    <row r="871" ht="19.2" customHeight="1" s="1">
      <c r="A871" t="inlineStr">
        <is>
          <t>NICE:LT3396</t>
        </is>
      </c>
      <c r="B871" t="inlineStr">
        <is>
          <t>지민건설</t>
        </is>
      </c>
      <c r="C871" s="5" t="n">
        <v>104365466000</v>
      </c>
      <c r="D871" s="5" t="n">
        <v>103662814000</v>
      </c>
      <c r="E871" s="5" t="n">
        <v>702653000</v>
      </c>
      <c r="F871" s="5" t="n">
        <v>34989085000</v>
      </c>
      <c r="G871" s="5" t="n">
        <v>3822588000</v>
      </c>
      <c r="H871" s="5" t="n">
        <v>40340063000</v>
      </c>
      <c r="I871" s="5" t="n">
        <v>5700000000</v>
      </c>
      <c r="J871" s="4" t="n">
        <v>3.728899955749512</v>
      </c>
      <c r="K871" s="4" t="n">
        <v>147.5305938720703</v>
      </c>
      <c r="L871" s="4" t="n">
        <v>0.1093000024557114</v>
      </c>
      <c r="M871" t="inlineStr">
        <is>
          <t>윤주형</t>
        </is>
      </c>
      <c r="N871" t="inlineStr">
        <is>
          <t>051-333-8998</t>
        </is>
      </c>
      <c r="O871" t="inlineStr">
        <is>
          <t>051-333-8997</t>
        </is>
      </c>
      <c r="P871" s="3" t="n"/>
      <c r="Q871" t="inlineStr">
        <is>
          <t>8338102090</t>
        </is>
      </c>
      <c r="R871" t="inlineStr">
        <is>
          <t>1801111312048</t>
        </is>
      </c>
      <c r="S871" t="inlineStr">
        <is>
          <t>대상아님</t>
        </is>
      </c>
      <c r="T871" t="inlineStr">
        <is>
          <t>일반법인</t>
        </is>
      </c>
      <c r="U871" t="inlineStr">
        <is>
          <t>중소기업</t>
        </is>
      </c>
      <c r="V871" t="inlineStr">
        <is>
          <t>외부감사대상</t>
        </is>
      </c>
      <c r="W871" s="6" t="inlineStr">
        <is>
          <t>2020-08-26</t>
        </is>
      </c>
      <c r="X871" t="inlineStr">
        <is>
          <t>KRI:10L6812100</t>
        </is>
      </c>
      <c r="Y871" t="inlineStr">
        <is>
          <t>주거용 건물 개발 및 공급업</t>
        </is>
      </c>
      <c r="Z871" t="inlineStr">
        <is>
          <t>부동산 개발,공급,관리/건축공사</t>
        </is>
      </c>
      <c r="AA871" t="inlineStr">
        <is>
          <t>부산 북구 덕천동 396-4번지 이수빌딩 1003호</t>
        </is>
      </c>
      <c r="AB871" t="inlineStr">
        <is>
          <t>부산 북구 기찰로 12, 1003호 (덕천동,이수빌딩)</t>
        </is>
      </c>
    </row>
    <row r="872" ht="19.2" customHeight="1" s="1">
      <c r="A872" t="inlineStr">
        <is>
          <t>NICE:H13582</t>
        </is>
      </c>
      <c r="B872" t="inlineStr">
        <is>
          <t>호텔스카이파크</t>
        </is>
      </c>
      <c r="C872" s="5" t="n">
        <v>77978807000</v>
      </c>
      <c r="D872" s="5" t="n">
        <v>51965777000</v>
      </c>
      <c r="E872" s="5" t="n">
        <v>26013031000</v>
      </c>
      <c r="F872" s="5" t="n">
        <v>34594412000</v>
      </c>
      <c r="G872" s="5" t="n">
        <v>6224616000</v>
      </c>
      <c r="H872" s="5" t="n">
        <v>35205184000</v>
      </c>
      <c r="I872" s="5" t="n">
        <v>9599809000</v>
      </c>
      <c r="J872" s="4" t="n">
        <v>3.311099767684937</v>
      </c>
      <c r="K872" s="4" t="n">
        <v>1.997699975967407</v>
      </c>
      <c r="L872" s="4" t="n">
        <v>0.1798999905586243</v>
      </c>
      <c r="M872" t="inlineStr">
        <is>
          <t>최영재</t>
        </is>
      </c>
      <c r="N872" t="inlineStr">
        <is>
          <t>02-6900-9333</t>
        </is>
      </c>
      <c r="O872" t="inlineStr">
        <is>
          <t>02-6442-1260</t>
        </is>
      </c>
      <c r="P872" s="3">
        <f>HYPERLINK("http://www.skyparkhotel.com", "http://www.skyparkhotel.com")</f>
        <v/>
      </c>
      <c r="Q872" t="inlineStr">
        <is>
          <t>2018617127</t>
        </is>
      </c>
      <c r="R872" t="inlineStr">
        <is>
          <t>1101114413235</t>
        </is>
      </c>
      <c r="S872" t="inlineStr">
        <is>
          <t>대상아님</t>
        </is>
      </c>
      <c r="T872" t="inlineStr">
        <is>
          <t>일반법인</t>
        </is>
      </c>
      <c r="U872" t="inlineStr">
        <is>
          <t>중소기업</t>
        </is>
      </c>
      <c r="V872" t="inlineStr">
        <is>
          <t>외부감사대상</t>
        </is>
      </c>
      <c r="W872" s="6" t="inlineStr">
        <is>
          <t>2010-08-16</t>
        </is>
      </c>
      <c r="X872" t="inlineStr">
        <is>
          <t>KRI:10I5510100</t>
        </is>
      </c>
      <c r="Y872" t="inlineStr">
        <is>
          <t>호텔업</t>
        </is>
      </c>
      <c r="Z872" t="inlineStr">
        <is>
          <t>관광호텔/주차장,시설 관리,호텔 예약대행</t>
        </is>
      </c>
      <c r="AA872" t="inlineStr">
        <is>
          <t>서울 중구 충무로1가 24-23번지 명동하늘빌딩 8층</t>
        </is>
      </c>
      <c r="AB872" t="inlineStr">
        <is>
          <t>서울 중구 명동8나길 15, 8층 (충무로1가,명동하늘빌딩)</t>
        </is>
      </c>
    </row>
    <row r="873" ht="19.2" customHeight="1" s="1">
      <c r="A873" t="inlineStr">
        <is>
          <t>NICE:389987</t>
        </is>
      </c>
      <c r="B873" t="inlineStr">
        <is>
          <t>더오포</t>
        </is>
      </c>
      <c r="C873" s="5" t="n">
        <v>27725526000</v>
      </c>
      <c r="D873" s="5" t="n">
        <v>14995722000</v>
      </c>
      <c r="E873" s="5" t="n">
        <v>12729804000</v>
      </c>
      <c r="F873" s="5" t="n">
        <v>27428099000</v>
      </c>
      <c r="G873" s="5" t="n">
        <v>5175796000</v>
      </c>
      <c r="H873" s="5" t="n">
        <v>15076026000</v>
      </c>
      <c r="I873" s="5" t="n">
        <v>2736324000</v>
      </c>
      <c r="J873" s="4" t="n">
        <v>1.33050000667572</v>
      </c>
      <c r="K873" s="4" t="n">
        <v>1.177999973297119</v>
      </c>
      <c r="L873" s="4" t="n">
        <v>0.1887000054121017</v>
      </c>
      <c r="M873" t="inlineStr">
        <is>
          <t>손재현/유남종</t>
        </is>
      </c>
      <c r="N873" t="inlineStr">
        <is>
          <t>031-707-5070</t>
        </is>
      </c>
      <c r="O873" t="inlineStr">
        <is>
          <t>031-707-5770</t>
        </is>
      </c>
      <c r="P873" s="3">
        <f>HYPERLINK("http://www.theofour.com", "http://www.theofour.com")</f>
        <v/>
      </c>
      <c r="Q873" t="inlineStr">
        <is>
          <t>1298170617</t>
        </is>
      </c>
      <c r="R873" t="inlineStr">
        <is>
          <t>1311110112224</t>
        </is>
      </c>
      <c r="S873" t="inlineStr">
        <is>
          <t>대상아님</t>
        </is>
      </c>
      <c r="T873" t="inlineStr">
        <is>
          <t>일반법인</t>
        </is>
      </c>
      <c r="U873" t="inlineStr">
        <is>
          <t>중소기업</t>
        </is>
      </c>
      <c r="V873" t="inlineStr">
        <is>
          <t>외부감사대상</t>
        </is>
      </c>
      <c r="W873" s="6" t="inlineStr">
        <is>
          <t>2004-03-09</t>
        </is>
      </c>
      <c r="X873" t="inlineStr">
        <is>
          <t>KRI:10F4122400</t>
        </is>
      </c>
      <c r="Y873" t="inlineStr">
        <is>
          <t>환경설비 건설업</t>
        </is>
      </c>
      <c r="Z873" t="inlineStr">
        <is>
          <t>환경오염방지시설공사/환경기계 제조/중개,환경기술용역/기계장비 도소매/부동산 임대</t>
        </is>
      </c>
      <c r="AA873" t="inlineStr">
        <is>
          <t>경기 성남시 분당구 이매동 77번지 3층</t>
        </is>
      </c>
      <c r="AB873" t="inlineStr">
        <is>
          <t>경기 성남시 분당구 방아로16번길 11, 3층</t>
        </is>
      </c>
    </row>
    <row r="874" ht="19.2" customHeight="1" s="1">
      <c r="A874" t="inlineStr">
        <is>
          <t>NICE:232534</t>
        </is>
      </c>
      <c r="B874" t="inlineStr">
        <is>
          <t>은성화학</t>
        </is>
      </c>
      <c r="C874" s="5" t="n">
        <v>11624408000</v>
      </c>
      <c r="D874" s="5" t="n">
        <v>5821351000</v>
      </c>
      <c r="E874" s="5" t="n">
        <v>5803057000</v>
      </c>
      <c r="F874" s="5" t="n">
        <v>30459677000</v>
      </c>
      <c r="G874" s="5" t="n">
        <v>3173988000</v>
      </c>
      <c r="H874" s="5" t="n">
        <v>32865941000</v>
      </c>
      <c r="I874" s="5" t="n">
        <v>2912093000</v>
      </c>
      <c r="J874" s="4" t="n">
        <v>4.76039981842041</v>
      </c>
      <c r="K874" s="4" t="n">
        <v>1.003199934959412</v>
      </c>
      <c r="L874" s="4" t="n">
        <v>0.1041999980807304</v>
      </c>
      <c r="M874" t="inlineStr">
        <is>
          <t>이경순</t>
        </is>
      </c>
      <c r="N874" t="inlineStr">
        <is>
          <t>031-658-4087</t>
        </is>
      </c>
      <c r="O874" t="inlineStr">
        <is>
          <t>031-658-4035</t>
        </is>
      </c>
      <c r="P874" s="3">
        <f>HYPERLINK("http://www.eunsung-ch.com", "http://www.eunsung-ch.com")</f>
        <v/>
      </c>
      <c r="Q874" t="inlineStr">
        <is>
          <t>1248151857</t>
        </is>
      </c>
      <c r="R874" t="inlineStr">
        <is>
          <t>1348110032029</t>
        </is>
      </c>
      <c r="S874" t="inlineStr">
        <is>
          <t>대상아님</t>
        </is>
      </c>
      <c r="T874" t="inlineStr">
        <is>
          <t>일반법인</t>
        </is>
      </c>
      <c r="U874" t="inlineStr">
        <is>
          <t>중소기업</t>
        </is>
      </c>
      <c r="V874" t="inlineStr">
        <is>
          <t>외부감사비대상</t>
        </is>
      </c>
      <c r="W874" s="6" t="inlineStr">
        <is>
          <t>1997-09-08</t>
        </is>
      </c>
      <c r="X874" t="inlineStr">
        <is>
          <t>KRI:10C2917200</t>
        </is>
      </c>
      <c r="Y874" t="inlineStr">
        <is>
          <t>공기 조화장치 제조업</t>
        </is>
      </c>
      <c r="Z874" t="inlineStr">
        <is>
          <t>환기시스템,공기정화용필터,자동차부품 제조/기계설치공사/공기정화장치필터 유지관리</t>
        </is>
      </c>
      <c r="AA874" t="inlineStr">
        <is>
          <t>경기 안성시 원곡면 성주리 356-6번지</t>
        </is>
      </c>
      <c r="AB874" t="inlineStr">
        <is>
          <t>경기 안성시 원곡면 천덕산로 510-27</t>
        </is>
      </c>
    </row>
    <row r="875" s="1">
      <c r="A875" t="inlineStr">
        <is>
          <t>NICE:I89712</t>
        </is>
      </c>
      <c r="B875" t="inlineStr">
        <is>
          <t>대한시멘트</t>
        </is>
      </c>
      <c r="C875" s="5" t="n">
        <v>223837488000</v>
      </c>
      <c r="D875" s="5" t="n">
        <v>169762334000</v>
      </c>
      <c r="E875" s="5" t="n">
        <v>54075154000</v>
      </c>
      <c r="F875" s="5" t="n">
        <v>220179007000</v>
      </c>
      <c r="G875" s="5" t="n">
        <v>46262237000</v>
      </c>
      <c r="H875" s="5" t="n">
        <v>254852005000</v>
      </c>
      <c r="I875" s="5" t="n">
        <v>54916595000</v>
      </c>
      <c r="J875" s="4" t="n">
        <v>0.9720999598503113</v>
      </c>
      <c r="K875" s="4" t="n">
        <v>3.139400005340576</v>
      </c>
      <c r="L875" s="4" t="n">
        <v>0.210099995136261</v>
      </c>
      <c r="M875" t="inlineStr">
        <is>
          <t>강병복</t>
        </is>
      </c>
      <c r="N875" t="inlineStr">
        <is>
          <t>061-792-6221</t>
        </is>
      </c>
      <c r="O875" t="inlineStr">
        <is>
          <t>061-795-0001</t>
        </is>
      </c>
      <c r="P875">
        <f>HYPERLINK("http://www.dhcement.co.kr", "http://www.dhcement.co.kr")</f>
        <v/>
      </c>
      <c r="Q875" t="inlineStr">
        <is>
          <t>4168186686</t>
        </is>
      </c>
      <c r="R875" t="inlineStr">
        <is>
          <t>2046110038589</t>
        </is>
      </c>
      <c r="S875" t="inlineStr">
        <is>
          <t>대상아님</t>
        </is>
      </c>
      <c r="T875" t="inlineStr">
        <is>
          <t>일반법인</t>
        </is>
      </c>
      <c r="U875" t="inlineStr">
        <is>
          <t>중견기업</t>
        </is>
      </c>
      <c r="V875" t="inlineStr">
        <is>
          <t>외부감사대상</t>
        </is>
      </c>
      <c r="W875" s="6" t="inlineStr">
        <is>
          <t>2012-09-03</t>
        </is>
      </c>
      <c r="X875" t="inlineStr">
        <is>
          <t>KRI:10C2331100</t>
        </is>
      </c>
      <c r="Y875" t="inlineStr">
        <is>
          <t>시멘트 제조업</t>
        </is>
      </c>
      <c r="Z875" t="inlineStr">
        <is>
          <t>고로슬래그시멘트 제조</t>
        </is>
      </c>
      <c r="AA875" t="inlineStr">
        <is>
          <t>전남 광양시 태인동 1657-14번지</t>
        </is>
      </c>
      <c r="AB875" t="inlineStr">
        <is>
          <t>전남 광양시 백운1로 74</t>
        </is>
      </c>
    </row>
    <row r="876" ht="19.2" customHeight="1" s="1">
      <c r="A876" t="inlineStr">
        <is>
          <t>NICE:J77472</t>
        </is>
      </c>
      <c r="B876" t="inlineStr">
        <is>
          <t>송도해상케이블카</t>
        </is>
      </c>
      <c r="C876" s="5" t="n">
        <v>46842685000</v>
      </c>
      <c r="D876" s="5" t="n">
        <v>16386676000</v>
      </c>
      <c r="E876" s="5" t="n">
        <v>30456009000</v>
      </c>
      <c r="F876" s="5" t="n">
        <v>21676193000</v>
      </c>
      <c r="G876" s="5" t="n">
        <v>9869528000</v>
      </c>
      <c r="H876" s="5" t="n">
        <v>19292393000</v>
      </c>
      <c r="I876" s="5" t="n">
        <v>8038519000</v>
      </c>
      <c r="J876" s="4" t="n">
        <v>0.5802000164985657</v>
      </c>
      <c r="K876" s="4" t="n">
        <v>0.5379999876022339</v>
      </c>
      <c r="L876" s="4" t="n">
        <v>0.455299973487854</v>
      </c>
      <c r="M876" t="inlineStr">
        <is>
          <t>전문환/최효섭</t>
        </is>
      </c>
      <c r="N876" t="inlineStr">
        <is>
          <t>051-247-9900</t>
        </is>
      </c>
      <c r="O876" t="inlineStr">
        <is>
          <t>051-851-8667</t>
        </is>
      </c>
      <c r="P876" s="3">
        <f>HYPERLINK("http://www.busanaircruise.co.kr", "http://www.busanaircruise.co.kr")</f>
        <v/>
      </c>
      <c r="Q876" t="inlineStr">
        <is>
          <t>6178609671</t>
        </is>
      </c>
      <c r="R876" t="inlineStr">
        <is>
          <t>1801110868448</t>
        </is>
      </c>
      <c r="S876" t="inlineStr">
        <is>
          <t>대상아님</t>
        </is>
      </c>
      <c r="T876" t="inlineStr">
        <is>
          <t>일반법인</t>
        </is>
      </c>
      <c r="U876" t="inlineStr">
        <is>
          <t>중소기업</t>
        </is>
      </c>
      <c r="V876" t="inlineStr">
        <is>
          <t>외부감사대상</t>
        </is>
      </c>
      <c r="W876" s="6" t="inlineStr">
        <is>
          <t>2013-07-08</t>
        </is>
      </c>
      <c r="X876" t="inlineStr">
        <is>
          <t>KRI:10H4921900</t>
        </is>
      </c>
      <c r="Y876" t="inlineStr">
        <is>
          <t>기타 도시 정기 육상 여객 운송업</t>
        </is>
      </c>
      <c r="Z876" t="inlineStr">
        <is>
          <t>케이블카 운영,관리/주차장/부동산 임대</t>
        </is>
      </c>
      <c r="AA876" t="inlineStr">
        <is>
          <t>부산 서구 암남동 765번지 송도해상케이블카하부정류장 3층</t>
        </is>
      </c>
      <c r="AB876" t="inlineStr">
        <is>
          <t>부산 서구 송도해변로 171, 3층 (암남동,송도해상케이블카하부정류장)</t>
        </is>
      </c>
    </row>
    <row r="877" ht="19.2" customHeight="1" s="1">
      <c r="A877" t="inlineStr">
        <is>
          <t>NICE:094789</t>
        </is>
      </c>
      <c r="B877" t="inlineStr">
        <is>
          <t>삼영엠티</t>
        </is>
      </c>
      <c r="C877" s="5" t="n">
        <v>121599242000</v>
      </c>
      <c r="D877" s="5" t="n">
        <v>30507496000</v>
      </c>
      <c r="E877" s="5" t="n">
        <v>91091746000</v>
      </c>
      <c r="F877" s="5" t="n">
        <v>102550750000</v>
      </c>
      <c r="G877" s="5" t="n">
        <v>10941376000</v>
      </c>
      <c r="H877" s="5" t="n">
        <v>99908263000</v>
      </c>
      <c r="I877" s="5" t="n">
        <v>12532439000</v>
      </c>
      <c r="J877" s="4" t="n">
        <v>2.306900024414062</v>
      </c>
      <c r="K877" s="4" t="n">
        <v>0.3349000215530396</v>
      </c>
      <c r="L877" s="4" t="n">
        <v>0.1066999956965446</v>
      </c>
      <c r="M877" t="inlineStr">
        <is>
          <t>정원영/정재석</t>
        </is>
      </c>
      <c r="N877" t="inlineStr">
        <is>
          <t>051-971-3001</t>
        </is>
      </c>
      <c r="O877" t="inlineStr">
        <is>
          <t>051-971-2681</t>
        </is>
      </c>
      <c r="P877" s="3">
        <f>HYPERLINK("http://www.symold.co.kr", "http://www.symold.co.kr")</f>
        <v/>
      </c>
      <c r="Q877" t="inlineStr">
        <is>
          <t>6068173426</t>
        </is>
      </c>
      <c r="R877" t="inlineStr">
        <is>
          <t>1801110398156</t>
        </is>
      </c>
      <c r="S877" t="inlineStr">
        <is>
          <t>대상아님</t>
        </is>
      </c>
      <c r="T877" t="inlineStr">
        <is>
          <t>일반법인</t>
        </is>
      </c>
      <c r="U877" t="inlineStr">
        <is>
          <t>중소기업</t>
        </is>
      </c>
      <c r="V877" t="inlineStr">
        <is>
          <t>외부감사대상</t>
        </is>
      </c>
      <c r="W877" s="6" t="inlineStr">
        <is>
          <t>2002-02-28</t>
        </is>
      </c>
      <c r="X877" t="inlineStr">
        <is>
          <t>KRI:10C2432100</t>
        </is>
      </c>
      <c r="Y877" t="inlineStr">
        <is>
          <t>알루미늄주물 주조업</t>
        </is>
      </c>
      <c r="Z877" t="inlineStr">
        <is>
          <t>자동차부품(알루미늄주물) 제조</t>
        </is>
      </c>
      <c r="AA877" t="inlineStr">
        <is>
          <t>부산 강서구 생곡동 1530-8번지</t>
        </is>
      </c>
      <c r="AB877" t="inlineStr">
        <is>
          <t>부산 강서구 생곡산단1로 28</t>
        </is>
      </c>
    </row>
    <row r="878" ht="19.2" customHeight="1" s="1">
      <c r="A878" t="inlineStr">
        <is>
          <t>NICE:F13559</t>
        </is>
      </c>
      <c r="B878" t="inlineStr">
        <is>
          <t>이동의즐거움</t>
        </is>
      </c>
      <c r="C878" s="5" t="n">
        <v>591733656000</v>
      </c>
      <c r="D878" s="5" t="n">
        <v>340802648000</v>
      </c>
      <c r="E878" s="5" t="n">
        <v>250931008000</v>
      </c>
      <c r="F878" s="5" t="n">
        <v>229445017000</v>
      </c>
      <c r="G878" s="5" t="n">
        <v>42539144000</v>
      </c>
      <c r="H878" s="5" t="n">
        <v>224123880000</v>
      </c>
      <c r="I878" s="5" t="n">
        <v>31319448000</v>
      </c>
      <c r="J878" s="4" t="n">
        <v>1.303399920463562</v>
      </c>
      <c r="K878" s="4" t="n">
        <v>1.358200073242188</v>
      </c>
      <c r="L878" s="4" t="n">
        <v>0.1854000091552734</v>
      </c>
      <c r="M878" t="inlineStr">
        <is>
          <t>손민수</t>
        </is>
      </c>
      <c r="N878" t="inlineStr">
        <is>
          <t>02-6466-7000</t>
        </is>
      </c>
      <c r="O878" t="inlineStr">
        <is>
          <t>02-6466-7008</t>
        </is>
      </c>
      <c r="P878" s="3">
        <f>HYPERLINK("http://www.myezl.com/", "http://www.myezl.com/")</f>
        <v/>
      </c>
      <c r="Q878" t="inlineStr">
        <is>
          <t>1298638970</t>
        </is>
      </c>
      <c r="R878" t="inlineStr">
        <is>
          <t>1311110241776</t>
        </is>
      </c>
      <c r="S878" t="inlineStr">
        <is>
          <t>대상아님</t>
        </is>
      </c>
      <c r="T878" t="inlineStr">
        <is>
          <t>일반법인</t>
        </is>
      </c>
      <c r="U878" t="inlineStr">
        <is>
          <t>중견기업</t>
        </is>
      </c>
      <c r="V878" t="inlineStr">
        <is>
          <t>외부감사대상</t>
        </is>
      </c>
      <c r="W878" s="6" t="inlineStr">
        <is>
          <t>2009-10-19</t>
        </is>
      </c>
      <c r="X878" t="inlineStr">
        <is>
          <t>KRI:10K6619900</t>
        </is>
      </c>
      <c r="Y878" t="inlineStr">
        <is>
          <t>그 외 기타 금융 지원 서비스업</t>
        </is>
      </c>
      <c r="Z878" t="inlineStr">
        <is>
          <t>전자화폐,교통카드 발행,운영 관리</t>
        </is>
      </c>
      <c r="AA878" t="inlineStr">
        <is>
          <t>서울 중구 다동 39번지 케이스퀘어시티 제10층 제1001호, 제11층 제1101호</t>
        </is>
      </c>
      <c r="AB878" t="inlineStr">
        <is>
          <t>서울 중구 청계천로 24, 제10층 제1001호, 제11층 제1101호 (다동,케이스퀘어시티)</t>
        </is>
      </c>
    </row>
    <row r="879" s="1">
      <c r="A879" t="inlineStr">
        <is>
          <t>NICE:021658</t>
        </is>
      </c>
      <c r="B879" t="inlineStr">
        <is>
          <t>에이치제이자산개발</t>
        </is>
      </c>
      <c r="C879" s="5" t="n">
        <v>111062067000</v>
      </c>
      <c r="D879" s="5" t="n">
        <v>66528456000</v>
      </c>
      <c r="E879" s="5" t="n">
        <v>44533612000</v>
      </c>
      <c r="F879" s="5" t="n">
        <v>23594424000</v>
      </c>
      <c r="G879" s="5" t="n">
        <v>8171834000</v>
      </c>
      <c r="H879" s="5" t="n">
        <v>22961353000</v>
      </c>
      <c r="I879" s="5" t="n">
        <v>7847585000</v>
      </c>
      <c r="J879" s="4" t="n">
        <v>0.8108999729156494</v>
      </c>
      <c r="K879" s="4" t="n">
        <v>1.493899941444397</v>
      </c>
      <c r="L879" s="4" t="n">
        <v>0.3463000059127808</v>
      </c>
      <c r="M879" t="inlineStr">
        <is>
          <t>신현국</t>
        </is>
      </c>
      <c r="N879" t="inlineStr">
        <is>
          <t>02-539-8600</t>
        </is>
      </c>
      <c r="O879" t="inlineStr">
        <is>
          <t>02-565-3866</t>
        </is>
      </c>
      <c r="Q879" t="inlineStr">
        <is>
          <t>1208133328</t>
        </is>
      </c>
      <c r="R879" t="inlineStr">
        <is>
          <t>1101110982929</t>
        </is>
      </c>
      <c r="S879" t="inlineStr">
        <is>
          <t>대상아님</t>
        </is>
      </c>
      <c r="T879" t="inlineStr">
        <is>
          <t>일반법인</t>
        </is>
      </c>
      <c r="U879" t="inlineStr">
        <is>
          <t>중소기업</t>
        </is>
      </c>
      <c r="V879" t="inlineStr">
        <is>
          <t>외부감사대상</t>
        </is>
      </c>
      <c r="W879" s="6" t="inlineStr">
        <is>
          <t>1993-11-02</t>
        </is>
      </c>
      <c r="X879" t="inlineStr">
        <is>
          <t>KRI:10L6821200</t>
        </is>
      </c>
      <c r="Y879" t="inlineStr">
        <is>
          <t>비주거용 부동산 관리업</t>
        </is>
      </c>
      <c r="Z879" t="inlineStr">
        <is>
          <t>부동산 관리</t>
        </is>
      </c>
      <c r="AA879" t="inlineStr">
        <is>
          <t>서울 강남구 역삼동 708-4번지 에이치제이타워 21층</t>
        </is>
      </c>
      <c r="AB879" t="inlineStr">
        <is>
          <t>서울 강남구 테헤란로 332, 21층 (역삼동,에이치제이타워)</t>
        </is>
      </c>
    </row>
    <row r="880" ht="19.2" customHeight="1" s="1">
      <c r="A880" t="inlineStr">
        <is>
          <t>NICE:132913</t>
        </is>
      </c>
      <c r="B880" t="inlineStr">
        <is>
          <t>오스테오시스</t>
        </is>
      </c>
      <c r="C880" s="5" t="n">
        <v>45915896000</v>
      </c>
      <c r="D880" s="5" t="n">
        <v>5844103000</v>
      </c>
      <c r="E880" s="5" t="n">
        <v>40071793000</v>
      </c>
      <c r="F880" s="5" t="n">
        <v>28949876000</v>
      </c>
      <c r="G880" s="5" t="n">
        <v>5093602000</v>
      </c>
      <c r="H880" s="5" t="n">
        <v>26241744000</v>
      </c>
      <c r="I880" s="5" t="n">
        <v>3141335000</v>
      </c>
      <c r="J880" s="4" t="n">
        <v>7.099899768829346</v>
      </c>
      <c r="K880" s="4" t="n">
        <v>0.145799994468689</v>
      </c>
      <c r="L880" s="4" t="n">
        <v>0.1758999973535538</v>
      </c>
      <c r="M880" t="inlineStr">
        <is>
          <t>안영복</t>
        </is>
      </c>
      <c r="N880" t="inlineStr">
        <is>
          <t>02-6124-5900</t>
        </is>
      </c>
      <c r="O880" t="inlineStr">
        <is>
          <t>02-6124-5958</t>
        </is>
      </c>
      <c r="P880" s="3">
        <f>HYPERLINK("http://www.osteosys.com", "http://www.osteosys.com")</f>
        <v/>
      </c>
      <c r="Q880" t="inlineStr">
        <is>
          <t>1208199219</t>
        </is>
      </c>
      <c r="R880" t="inlineStr">
        <is>
          <t>1101111870149</t>
        </is>
      </c>
      <c r="S880" t="inlineStr">
        <is>
          <t>대상아님</t>
        </is>
      </c>
      <c r="T880" t="inlineStr">
        <is>
          <t>일반법인</t>
        </is>
      </c>
      <c r="U880" t="inlineStr">
        <is>
          <t>중소기업</t>
        </is>
      </c>
      <c r="V880" t="inlineStr">
        <is>
          <t>외부감사대상</t>
        </is>
      </c>
      <c r="W880" s="6" t="inlineStr">
        <is>
          <t>2000-02-02</t>
        </is>
      </c>
      <c r="X880" t="inlineStr">
        <is>
          <t>KRI:10C2719900</t>
        </is>
      </c>
      <c r="Y880" t="inlineStr">
        <is>
          <t>그 외 기타 의료용 기기 제조업</t>
        </is>
      </c>
      <c r="Z880" t="inlineStr">
        <is>
          <t>의료기기,장비 제조,도소매/부동산 임대</t>
        </is>
      </c>
      <c r="AA880" t="inlineStr">
        <is>
          <t>서울 구로구 구로동 222-3번지 901호,902호,903호,904호,905호,906호,907호,908호,909호,910호,911</t>
        </is>
      </c>
      <c r="AB880" t="inlineStr">
        <is>
          <t>서울 구로구 디지털로26길 111, 901호,902호,903호,904호,905호,906호,907호,908호,909호,910호,911</t>
        </is>
      </c>
    </row>
    <row r="881" ht="19.2" customHeight="1" s="1">
      <c r="A881" t="inlineStr">
        <is>
          <t>NICE:452459</t>
        </is>
      </c>
      <c r="B881" t="inlineStr">
        <is>
          <t>비와이</t>
        </is>
      </c>
      <c r="C881" s="5" t="n">
        <v>38341680000</v>
      </c>
      <c r="D881" s="5" t="n">
        <v>24006431000</v>
      </c>
      <c r="E881" s="5" t="n">
        <v>14335249000</v>
      </c>
      <c r="F881" s="5" t="n">
        <v>29451529000</v>
      </c>
      <c r="G881" s="5" t="n">
        <v>3287823000</v>
      </c>
      <c r="H881" s="5" t="n">
        <v>33498985000</v>
      </c>
      <c r="I881" s="5" t="n">
        <v>3147023000</v>
      </c>
      <c r="J881" s="4" t="n">
        <v>1.51800000667572</v>
      </c>
      <c r="K881" s="4" t="n">
        <v>1.674600005149841</v>
      </c>
      <c r="L881" s="4" t="n">
        <v>0.1115999966859818</v>
      </c>
      <c r="M881" t="inlineStr">
        <is>
          <t>강동훈</t>
        </is>
      </c>
      <c r="N881" t="inlineStr">
        <is>
          <t>055-345-6110-4</t>
        </is>
      </c>
      <c r="O881" t="inlineStr">
        <is>
          <t>055-345-6115</t>
        </is>
      </c>
      <c r="P881" s="3">
        <f>HYPERLINK("http://www.bycontrols.com", "http://www.bycontrols.com")</f>
        <v/>
      </c>
      <c r="Q881" t="inlineStr">
        <is>
          <t>6228102020</t>
        </is>
      </c>
      <c r="R881" t="inlineStr">
        <is>
          <t>1801110091601</t>
        </is>
      </c>
      <c r="S881" t="inlineStr">
        <is>
          <t>대상아님</t>
        </is>
      </c>
      <c r="T881" t="inlineStr">
        <is>
          <t>일반법인</t>
        </is>
      </c>
      <c r="U881" t="inlineStr">
        <is>
          <t>중소기업</t>
        </is>
      </c>
      <c r="V881" t="inlineStr">
        <is>
          <t>외부감사대상</t>
        </is>
      </c>
      <c r="W881" s="6" t="inlineStr">
        <is>
          <t>1989-09-06</t>
        </is>
      </c>
      <c r="X881" t="inlineStr">
        <is>
          <t>KRI:10C3111400</t>
        </is>
      </c>
      <c r="Y881" t="inlineStr">
        <is>
          <t>선박 구성 부분품 제조업</t>
        </is>
      </c>
      <c r="Z881" t="inlineStr">
        <is>
          <t>선박구성부분품 제조,수리/부동산 임대,매매</t>
        </is>
      </c>
      <c r="AA881" t="inlineStr">
        <is>
          <t>경남 김해시 진례면 청천리 850-8번지</t>
        </is>
      </c>
      <c r="AB881" t="inlineStr">
        <is>
          <t>경남 김해시 진례면 진례로371번길 55</t>
        </is>
      </c>
    </row>
    <row r="882" ht="19.2" customHeight="1" s="1">
      <c r="A882" t="inlineStr">
        <is>
          <t>NICE:987018</t>
        </is>
      </c>
      <c r="B882" t="inlineStr">
        <is>
          <t>서두산업</t>
        </is>
      </c>
      <c r="C882" s="5" t="n">
        <v>47728798000</v>
      </c>
      <c r="D882" s="5" t="n">
        <v>10180708000</v>
      </c>
      <c r="E882" s="5" t="n">
        <v>37548090000</v>
      </c>
      <c r="F882" s="5" t="n">
        <v>20125305000</v>
      </c>
      <c r="G882" s="5" t="n">
        <v>2628474000</v>
      </c>
      <c r="H882" s="5" t="n">
        <v>28410799000</v>
      </c>
      <c r="I882" s="5" t="n">
        <v>6148997000</v>
      </c>
      <c r="J882" s="4" t="n">
        <v>4.424699783325195</v>
      </c>
      <c r="K882" s="4" t="n">
        <v>0.2711000144481659</v>
      </c>
      <c r="L882" s="4" t="n">
        <v>0.1306000053882599</v>
      </c>
      <c r="M882" t="inlineStr">
        <is>
          <t>임의규/민정숙</t>
        </is>
      </c>
      <c r="N882" t="inlineStr">
        <is>
          <t>02-582-3109</t>
        </is>
      </c>
      <c r="O882" t="inlineStr">
        <is>
          <t>02-587-7735</t>
        </is>
      </c>
      <c r="P882" s="3">
        <f>HYPERLINK("http://www.seowootogum.co.kr", "http://www.seowootogum.co.kr")</f>
        <v/>
      </c>
      <c r="Q882" t="inlineStr">
        <is>
          <t>2148102168</t>
        </is>
      </c>
      <c r="R882" t="inlineStr">
        <is>
          <t>1101110329014</t>
        </is>
      </c>
      <c r="S882" t="inlineStr">
        <is>
          <t>대상아님</t>
        </is>
      </c>
      <c r="T882" t="inlineStr">
        <is>
          <t>일반법인</t>
        </is>
      </c>
      <c r="U882" t="inlineStr">
        <is>
          <t>중소기업</t>
        </is>
      </c>
      <c r="V882" t="inlineStr">
        <is>
          <t>외부감사대상</t>
        </is>
      </c>
      <c r="W882" s="6" t="inlineStr">
        <is>
          <t>1982-09-23</t>
        </is>
      </c>
      <c r="X882" t="inlineStr">
        <is>
          <t>KRI:10B0712100</t>
        </is>
      </c>
      <c r="Y882" t="inlineStr">
        <is>
          <t>건설용 석재 채굴 및 쇄석 생산업</t>
        </is>
      </c>
      <c r="Z882" t="inlineStr">
        <is>
          <t>골재,자갈,석분,철근콘크리트 제조,판매/부동산 임대</t>
        </is>
      </c>
      <c r="AA882" t="inlineStr">
        <is>
          <t>서울 서초구 서초동 1460-5번지</t>
        </is>
      </c>
      <c r="AB882" t="inlineStr">
        <is>
          <t>서울 서초구 반포대로 37</t>
        </is>
      </c>
    </row>
    <row r="883" ht="19.2" customHeight="1" s="1">
      <c r="A883" t="inlineStr">
        <is>
          <t>NICE:383310</t>
        </is>
      </c>
      <c r="B883" t="inlineStr">
        <is>
          <t>한얼싸이언스</t>
        </is>
      </c>
      <c r="C883" s="5" t="n">
        <v>82918446000</v>
      </c>
      <c r="D883" s="5" t="n">
        <v>55470029000</v>
      </c>
      <c r="E883" s="5" t="n">
        <v>27448417000</v>
      </c>
      <c r="F883" s="5" t="n">
        <v>56571817000</v>
      </c>
      <c r="G883" s="5" t="n">
        <v>5936045000</v>
      </c>
      <c r="H883" s="5" t="n">
        <v>50984883000</v>
      </c>
      <c r="I883" s="5" t="n">
        <v>4901781000</v>
      </c>
      <c r="J883" s="4" t="n">
        <v>1.186499953269958</v>
      </c>
      <c r="K883" s="4" t="n">
        <v>2.020900011062622</v>
      </c>
      <c r="L883" s="4" t="n">
        <v>0.1048999950289726</v>
      </c>
      <c r="M883" t="inlineStr">
        <is>
          <t>심봉섭</t>
        </is>
      </c>
      <c r="N883" t="inlineStr">
        <is>
          <t>031-627-9999</t>
        </is>
      </c>
      <c r="O883" t="inlineStr">
        <is>
          <t>031-627-9998</t>
        </is>
      </c>
      <c r="P883" s="3">
        <f>HYPERLINK("http://www.hescience.co.kr", "http://www.hescience.co.kr")</f>
        <v/>
      </c>
      <c r="Q883" t="inlineStr">
        <is>
          <t>1148624834</t>
        </is>
      </c>
      <c r="R883" t="inlineStr">
        <is>
          <t>1101112692873</t>
        </is>
      </c>
      <c r="S883" t="inlineStr">
        <is>
          <t>대상아님</t>
        </is>
      </c>
      <c r="T883" t="inlineStr">
        <is>
          <t>일반법인</t>
        </is>
      </c>
      <c r="U883" t="inlineStr">
        <is>
          <t>중소기업</t>
        </is>
      </c>
      <c r="V883" t="inlineStr">
        <is>
          <t>외부감사대상</t>
        </is>
      </c>
      <c r="W883" s="6" t="inlineStr">
        <is>
          <t>2003-01-13</t>
        </is>
      </c>
      <c r="X883" t="inlineStr">
        <is>
          <t>KRI:10C2032100</t>
        </is>
      </c>
      <c r="Y883" t="inlineStr">
        <is>
          <t>화학 살균ㆍ살충제 및 농업용 약제 제조업</t>
        </is>
      </c>
      <c r="Z883" t="inlineStr">
        <is>
          <t>농약,비료 제조,도소매</t>
        </is>
      </c>
      <c r="AA883" t="inlineStr">
        <is>
          <t>강원 태백시 철암동 447번지</t>
        </is>
      </c>
      <c r="AB883" t="inlineStr">
        <is>
          <t>강원 태백시 철암공단길 16-15</t>
        </is>
      </c>
    </row>
    <row r="884" ht="19.2" customHeight="1" s="1">
      <c r="A884" t="inlineStr">
        <is>
          <t>NICE:246883</t>
        </is>
      </c>
      <c r="B884" t="inlineStr">
        <is>
          <t>세종파마텍</t>
        </is>
      </c>
      <c r="C884" s="5" t="n">
        <v>50720009000</v>
      </c>
      <c r="D884" s="5" t="n">
        <v>18147374000</v>
      </c>
      <c r="E884" s="5" t="n">
        <v>32572635000</v>
      </c>
      <c r="F884" s="5" t="n">
        <v>41801239000</v>
      </c>
      <c r="G884" s="5" t="n">
        <v>9228394000</v>
      </c>
      <c r="H884" s="5" t="n">
        <v>30634953000</v>
      </c>
      <c r="I884" s="5" t="n">
        <v>2609356000</v>
      </c>
      <c r="J884" s="4" t="n">
        <v>2.432299852371216</v>
      </c>
      <c r="K884" s="4" t="n">
        <v>0.5570999979972839</v>
      </c>
      <c r="L884" s="4" t="n">
        <v>0.2207999974489212</v>
      </c>
      <c r="M884" t="inlineStr">
        <is>
          <t>이상호</t>
        </is>
      </c>
      <c r="N884" t="inlineStr">
        <is>
          <t>032-508-1280</t>
        </is>
      </c>
      <c r="O884" t="inlineStr">
        <is>
          <t>032-508-1288</t>
        </is>
      </c>
      <c r="P884" s="3">
        <f>HYPERLINK("http://www.sjpmt.com", "http://www.sjpmt.com")</f>
        <v/>
      </c>
      <c r="Q884" t="inlineStr">
        <is>
          <t>1308142445</t>
        </is>
      </c>
      <c r="R884" t="inlineStr">
        <is>
          <t>1243110038227</t>
        </is>
      </c>
      <c r="S884" t="inlineStr">
        <is>
          <t>대상아님</t>
        </is>
      </c>
      <c r="T884" t="inlineStr">
        <is>
          <t>일반법인</t>
        </is>
      </c>
      <c r="U884" t="inlineStr">
        <is>
          <t>중소기업</t>
        </is>
      </c>
      <c r="V884" t="inlineStr">
        <is>
          <t>외부감사대상</t>
        </is>
      </c>
      <c r="W884" s="6" t="inlineStr">
        <is>
          <t>1989-04-01</t>
        </is>
      </c>
      <c r="X884" t="inlineStr">
        <is>
          <t>KRI:10C2929900</t>
        </is>
      </c>
      <c r="Y884" t="inlineStr">
        <is>
          <t>그 외 기타 특수목적용 기계 제조업</t>
        </is>
      </c>
      <c r="Z884" t="inlineStr">
        <is>
          <t>기계,장비 제조/부동산 임대</t>
        </is>
      </c>
      <c r="AA884" t="inlineStr">
        <is>
          <t>인천 계양구 서운동 211번지</t>
        </is>
      </c>
      <c r="AB884" t="inlineStr">
        <is>
          <t>인천 계양구 서운산단로 54</t>
        </is>
      </c>
    </row>
    <row r="885" ht="19.2" customHeight="1" s="1">
      <c r="A885" t="inlineStr">
        <is>
          <t>NICE:C04147</t>
        </is>
      </c>
      <c r="B885" t="inlineStr">
        <is>
          <t>에이젝코리아</t>
        </is>
      </c>
      <c r="C885" s="5" t="n">
        <v>18551038000</v>
      </c>
      <c r="D885" s="5" t="n">
        <v>2094577000</v>
      </c>
      <c r="E885" s="5" t="n">
        <v>16456461000</v>
      </c>
      <c r="F885" s="5" t="n">
        <v>20823224000</v>
      </c>
      <c r="G885" s="5" t="n">
        <v>3147442000</v>
      </c>
      <c r="H885" s="5" t="n">
        <v>19461360000</v>
      </c>
      <c r="I885" s="5" t="n">
        <v>2988792000</v>
      </c>
      <c r="J885" s="4" t="n">
        <v>8.582799911499023</v>
      </c>
      <c r="K885" s="4" t="n">
        <v>0.1272999942302704</v>
      </c>
      <c r="L885" s="4" t="n">
        <v>0.151199996471405</v>
      </c>
      <c r="M885" t="inlineStr">
        <is>
          <t>손윤철</t>
        </is>
      </c>
      <c r="N885" t="inlineStr">
        <is>
          <t>02-585-0637</t>
        </is>
      </c>
      <c r="O885" t="inlineStr">
        <is>
          <t>02-585-0674</t>
        </is>
      </c>
      <c r="P885" s="3">
        <f>HYPERLINK("http://www.agekke.co.kr", "http://www.agekke.co.kr")</f>
        <v/>
      </c>
      <c r="Q885" t="inlineStr">
        <is>
          <t>2148798399</t>
        </is>
      </c>
      <c r="R885" t="inlineStr">
        <is>
          <t>1101113552290</t>
        </is>
      </c>
      <c r="S885" t="inlineStr">
        <is>
          <t>대상아님</t>
        </is>
      </c>
      <c r="T885" t="inlineStr">
        <is>
          <t>일반법인</t>
        </is>
      </c>
      <c r="U885" t="inlineStr">
        <is>
          <t>중소기업</t>
        </is>
      </c>
      <c r="V885" t="inlineStr">
        <is>
          <t>외부감사대상</t>
        </is>
      </c>
      <c r="W885" s="6" t="inlineStr">
        <is>
          <t>2006-10-31</t>
        </is>
      </c>
      <c r="X885" t="inlineStr">
        <is>
          <t>KRI:10N7410000</t>
        </is>
      </c>
      <c r="Y885" t="inlineStr">
        <is>
          <t>사업시설 유지ㆍ관리 서비스업</t>
        </is>
      </c>
      <c r="Z885" t="inlineStr">
        <is>
          <t>근로자 파견,인사관련 컨설팅,건축물시설관리유지,컴퓨터시스템,S/W,전기기기,부품 설계,개발</t>
        </is>
      </c>
      <c r="AA885" t="inlineStr">
        <is>
          <t>서울 중구 남대문로5가 120번지 9층</t>
        </is>
      </c>
      <c r="AB885" t="inlineStr">
        <is>
          <t>서울 중구 소월로 10, 9층</t>
        </is>
      </c>
    </row>
    <row r="886" ht="19.2" customHeight="1" s="1">
      <c r="A886" t="inlineStr">
        <is>
          <t>NICE:F02964</t>
        </is>
      </c>
      <c r="B886" t="inlineStr">
        <is>
          <t>서한이앤피</t>
        </is>
      </c>
      <c r="C886" s="5" t="n">
        <v>176580744000</v>
      </c>
      <c r="D886" s="5" t="n">
        <v>87012132000</v>
      </c>
      <c r="E886" s="5" t="n">
        <v>89568612000</v>
      </c>
      <c r="F886" s="5" t="n">
        <v>170547795000</v>
      </c>
      <c r="G886" s="5" t="n">
        <v>18371582000</v>
      </c>
      <c r="H886" s="5" t="n">
        <v>227610917000</v>
      </c>
      <c r="I886" s="5" t="n">
        <v>33774426000</v>
      </c>
      <c r="J886" s="4" t="n">
        <v>1.261099934577942</v>
      </c>
      <c r="K886" s="4" t="n">
        <v>0.9714999794960022</v>
      </c>
      <c r="L886" s="4" t="n">
        <v>0.1077000051736832</v>
      </c>
      <c r="M886" t="inlineStr">
        <is>
          <t>서유성</t>
        </is>
      </c>
      <c r="N886" t="inlineStr">
        <is>
          <t>054-620-5200</t>
        </is>
      </c>
      <c r="O886" t="inlineStr">
        <is>
          <t>054-620-3131</t>
        </is>
      </c>
      <c r="P886" s="3">
        <f>HYPERLINK("http://www.seohanenp.com", "http://www.seohanenp.com")</f>
        <v/>
      </c>
      <c r="Q886" t="inlineStr">
        <is>
          <t>5058158160</t>
        </is>
      </c>
      <c r="R886" t="inlineStr">
        <is>
          <t>1712110057701</t>
        </is>
      </c>
      <c r="S886" t="inlineStr">
        <is>
          <t>대상아님</t>
        </is>
      </c>
      <c r="T886" t="inlineStr">
        <is>
          <t>일반법인</t>
        </is>
      </c>
      <c r="U886" t="inlineStr">
        <is>
          <t>중견기업</t>
        </is>
      </c>
      <c r="V886" t="inlineStr">
        <is>
          <t>외부감사대상</t>
        </is>
      </c>
      <c r="W886" s="6" t="inlineStr">
        <is>
          <t>2009-12-30</t>
        </is>
      </c>
      <c r="X886" t="inlineStr">
        <is>
          <t>KRI:10C2591200</t>
        </is>
      </c>
      <c r="Y886" t="inlineStr">
        <is>
          <t>금속 단조제품 제조업</t>
        </is>
      </c>
      <c r="Z886" t="inlineStr">
        <is>
          <t>단조제품(풍력발전설비,플랜트부품) 제조/철판,슬라브 도소매</t>
        </is>
      </c>
      <c r="AA886" t="inlineStr">
        <is>
          <t>경북 경주시 건천읍 용명리 2585번지</t>
        </is>
      </c>
      <c r="AB886" t="inlineStr">
        <is>
          <t>경북 경주시 건천읍 용명공단길 173-47</t>
        </is>
      </c>
    </row>
    <row r="887" ht="19.2" customHeight="1" s="1">
      <c r="A887" t="inlineStr">
        <is>
          <t>NICE:M01878</t>
        </is>
      </c>
      <c r="B887" t="inlineStr">
        <is>
          <t>그린에코사이클</t>
        </is>
      </c>
      <c r="C887" s="5" t="n">
        <v>100390050000</v>
      </c>
      <c r="D887" s="5" t="n">
        <v>76143471000</v>
      </c>
      <c r="E887" s="5" t="n">
        <v>24246579000</v>
      </c>
      <c r="F887" s="5" t="n">
        <v>63531870000</v>
      </c>
      <c r="G887" s="5" t="n">
        <v>7457377000</v>
      </c>
      <c r="H887" s="5" t="n">
        <v>54539989000</v>
      </c>
      <c r="I887" s="5" t="n">
        <v>2640475000</v>
      </c>
      <c r="J887" s="4" t="n">
        <v>0.4265999794006348</v>
      </c>
      <c r="K887" s="4" t="n">
        <v>3.140399932861328</v>
      </c>
      <c r="L887" s="4" t="n">
        <v>0.1173999980092049</v>
      </c>
      <c r="M887" t="inlineStr">
        <is>
          <t>이의진</t>
        </is>
      </c>
      <c r="N887" t="inlineStr">
        <is>
          <t>031-683-7704</t>
        </is>
      </c>
      <c r="O887" t="inlineStr">
        <is>
          <t>031-684-7703</t>
        </is>
      </c>
      <c r="P887" s="3">
        <f>HYPERLINK("http://www.eco-solutions.kr", "http://www.eco-solutions.kr")</f>
        <v/>
      </c>
      <c r="Q887" t="inlineStr">
        <is>
          <t>1058806651</t>
        </is>
      </c>
      <c r="R887" t="inlineStr">
        <is>
          <t>1101115481554</t>
        </is>
      </c>
      <c r="S887" t="inlineStr">
        <is>
          <t>대상아님</t>
        </is>
      </c>
      <c r="T887" t="inlineStr">
        <is>
          <t>일반법인</t>
        </is>
      </c>
      <c r="U887" t="inlineStr">
        <is>
          <t>중견기업</t>
        </is>
      </c>
      <c r="V887" t="inlineStr">
        <is>
          <t>외부감사대상</t>
        </is>
      </c>
      <c r="W887" s="6" t="inlineStr">
        <is>
          <t>2014-08-01</t>
        </is>
      </c>
      <c r="X887" t="inlineStr">
        <is>
          <t>KRI:10E3811000</t>
        </is>
      </c>
      <c r="Y887" t="inlineStr">
        <is>
          <t>지정 외 폐기물 수집, 운반업</t>
        </is>
      </c>
      <c r="Z887" t="inlineStr">
        <is>
          <t>지정외폐기물 수집,운반/고형연료제품 제조/화물 운송</t>
        </is>
      </c>
      <c r="AA887" t="inlineStr">
        <is>
          <t>경기 평택시 안중읍 용성리 736-8번지</t>
        </is>
      </c>
      <c r="AB887" t="inlineStr">
        <is>
          <t>경기 평택시 안중읍 서해로 1219-6</t>
        </is>
      </c>
    </row>
    <row r="888" s="1">
      <c r="A888" t="inlineStr">
        <is>
          <t>NICE:111117</t>
        </is>
      </c>
      <c r="B888" t="inlineStr">
        <is>
          <t>우미개발</t>
        </is>
      </c>
      <c r="C888" s="5" t="n">
        <v>597585762000</v>
      </c>
      <c r="D888" s="5" t="n">
        <v>214439118000</v>
      </c>
      <c r="E888" s="5" t="n">
        <v>383146644000</v>
      </c>
      <c r="F888" s="5" t="n">
        <v>357430148000</v>
      </c>
      <c r="G888" s="5" t="n">
        <v>62230993000</v>
      </c>
      <c r="H888" s="5" t="n">
        <v>433128959000</v>
      </c>
      <c r="I888" s="5" t="n">
        <v>48053975000</v>
      </c>
      <c r="J888" s="4" t="n">
        <v>2.88670015335083</v>
      </c>
      <c r="K888" s="4" t="n">
        <v>0.5597000122070312</v>
      </c>
      <c r="L888" s="4" t="n">
        <v>0.1740999966859818</v>
      </c>
      <c r="M888" t="inlineStr">
        <is>
          <t>김부열</t>
        </is>
      </c>
      <c r="N888" t="inlineStr">
        <is>
          <t>062-710-4750</t>
        </is>
      </c>
      <c r="O888" t="inlineStr">
        <is>
          <t>02-6914-1899</t>
        </is>
      </c>
      <c r="P888">
        <f>HYPERLINK("http://www.woomi.co.kr", "http://www.woomi.co.kr")</f>
        <v/>
      </c>
      <c r="Q888" t="inlineStr">
        <is>
          <t>4108120594</t>
        </is>
      </c>
      <c r="R888" t="inlineStr">
        <is>
          <t>2001110042568</t>
        </is>
      </c>
      <c r="S888" t="inlineStr">
        <is>
          <t>대상아님</t>
        </is>
      </c>
      <c r="T888" t="inlineStr">
        <is>
          <t>일반법인</t>
        </is>
      </c>
      <c r="U888" t="inlineStr">
        <is>
          <t>중견기업</t>
        </is>
      </c>
      <c r="V888" t="inlineStr">
        <is>
          <t>외부감사대상</t>
        </is>
      </c>
      <c r="W888" s="6" t="inlineStr">
        <is>
          <t>1993-12-21</t>
        </is>
      </c>
      <c r="X888" t="inlineStr">
        <is>
          <t>KRI:10F4111200</t>
        </is>
      </c>
      <c r="Y888" t="inlineStr">
        <is>
          <t>아파트 건설업</t>
        </is>
      </c>
      <c r="Z888" t="inlineStr">
        <is>
          <t>주택신축공사,토목건축공사/부동산 개발,분양/건설용기계 임대</t>
        </is>
      </c>
      <c r="AA888" t="inlineStr">
        <is>
          <t>광주 광산구 우산동 1582-2번지 3층 305호, 306호</t>
        </is>
      </c>
      <c r="AB888" t="inlineStr">
        <is>
          <t>광주 광산구 사암로 209, 3층 305호, 306호</t>
        </is>
      </c>
    </row>
    <row r="889" ht="19.2" customHeight="1" s="1">
      <c r="A889" t="inlineStr">
        <is>
          <t>NICE:206022</t>
        </is>
      </c>
      <c r="B889" t="inlineStr">
        <is>
          <t>와이에스생명과학</t>
        </is>
      </c>
      <c r="C889" s="5" t="n">
        <v>260144185000</v>
      </c>
      <c r="D889" s="5" t="n">
        <v>54719286000</v>
      </c>
      <c r="E889" s="5" t="n">
        <v>205424899000</v>
      </c>
      <c r="F889" s="5" t="n">
        <v>83778169000</v>
      </c>
      <c r="G889" s="5" t="n">
        <v>12800022000</v>
      </c>
      <c r="H889" s="5" t="n">
        <v>83206148000</v>
      </c>
      <c r="I889" s="5" t="n">
        <v>16144166000</v>
      </c>
      <c r="J889" s="4" t="n">
        <v>3.616199970245361</v>
      </c>
      <c r="K889" s="4" t="n">
        <v>0.2663999795913696</v>
      </c>
      <c r="L889" s="4" t="n">
        <v>0.1527999937534332</v>
      </c>
      <c r="M889" t="inlineStr">
        <is>
          <t>오창영/함원훈</t>
        </is>
      </c>
      <c r="N889" t="inlineStr">
        <is>
          <t>031-8047-9811</t>
        </is>
      </c>
      <c r="O889" t="inlineStr">
        <is>
          <t>031-351-6624</t>
        </is>
      </c>
      <c r="P889" s="3">
        <f>HYPERLINK("http://www.ysls.co.kr", "http://www.ysls.co.kr")</f>
        <v/>
      </c>
      <c r="Q889" t="inlineStr">
        <is>
          <t>1358135444</t>
        </is>
      </c>
      <c r="R889" t="inlineStr">
        <is>
          <t>1301110057158</t>
        </is>
      </c>
      <c r="S889" t="inlineStr">
        <is>
          <t>대상아님</t>
        </is>
      </c>
      <c r="T889" t="inlineStr">
        <is>
          <t>일반법인</t>
        </is>
      </c>
      <c r="U889" t="inlineStr">
        <is>
          <t>중소기업</t>
        </is>
      </c>
      <c r="V889" t="inlineStr">
        <is>
          <t>외부감사대상</t>
        </is>
      </c>
      <c r="W889" s="6" t="inlineStr">
        <is>
          <t>2000-01-04</t>
        </is>
      </c>
      <c r="X889" t="inlineStr">
        <is>
          <t>KRI:10C2121000</t>
        </is>
      </c>
      <c r="Y889" t="inlineStr">
        <is>
          <t>완제 의약품 제조업</t>
        </is>
      </c>
      <c r="Z889" t="inlineStr">
        <is>
          <t>완제의약품,의약화합물,항생물질 제조/의약품 연구개발,도소매</t>
        </is>
      </c>
      <c r="AA889" t="inlineStr">
        <is>
          <t>경기 화성시 만세구 장안면 수촌리 129-9번지</t>
        </is>
      </c>
      <c r="AB889" t="inlineStr">
        <is>
          <t>경기 화성시 만세구 장안면 수정로 207</t>
        </is>
      </c>
    </row>
    <row r="890" ht="19.2" customHeight="1" s="1">
      <c r="A890" t="inlineStr">
        <is>
          <t>NICE:380971</t>
        </is>
      </c>
      <c r="B890" t="inlineStr">
        <is>
          <t>한국호야전자</t>
        </is>
      </c>
      <c r="C890" s="5" t="n">
        <v>157751348000</v>
      </c>
      <c r="D890" s="5" t="n">
        <v>17977624000</v>
      </c>
      <c r="E890" s="5" t="n">
        <v>139773724000</v>
      </c>
      <c r="F890" s="5" t="n">
        <v>97985452000</v>
      </c>
      <c r="G890" s="5" t="n">
        <v>18814917000</v>
      </c>
      <c r="H890" s="5" t="n">
        <v>108857841000</v>
      </c>
      <c r="I890" s="5" t="n">
        <v>18151532000</v>
      </c>
      <c r="J890" s="4" t="n">
        <v>3.303200006484985</v>
      </c>
      <c r="K890" s="4" t="n">
        <v>0.1285999864339828</v>
      </c>
      <c r="L890" s="4" t="n">
        <v>0.1920000016689301</v>
      </c>
      <c r="M890" t="inlineStr">
        <is>
          <t>김인</t>
        </is>
      </c>
      <c r="N890" t="inlineStr">
        <is>
          <t>031-683-9400</t>
        </is>
      </c>
      <c r="O890" t="inlineStr">
        <is>
          <t>031-686-6793</t>
        </is>
      </c>
      <c r="P890" s="3">
        <f>HYPERLINK("http://www.hoyakorea.co.kr", "http://www.hoyakorea.co.kr")</f>
        <v/>
      </c>
      <c r="Q890" t="inlineStr">
        <is>
          <t>1258154371</t>
        </is>
      </c>
      <c r="R890" t="inlineStr">
        <is>
          <t>1313110055404</t>
        </is>
      </c>
      <c r="S890" t="inlineStr">
        <is>
          <t>대상아님</t>
        </is>
      </c>
      <c r="T890" t="inlineStr">
        <is>
          <t>일반법인</t>
        </is>
      </c>
      <c r="U890" t="inlineStr">
        <is>
          <t>중견기업</t>
        </is>
      </c>
      <c r="V890" t="inlineStr">
        <is>
          <t>외부감사대상</t>
        </is>
      </c>
      <c r="W890" s="6" t="inlineStr">
        <is>
          <t>2007-09-09</t>
        </is>
      </c>
      <c r="X890" t="inlineStr">
        <is>
          <t>KRI:10C2621100</t>
        </is>
      </c>
      <c r="Y890" t="inlineStr">
        <is>
          <t>액정 표시장치 제조업</t>
        </is>
      </c>
      <c r="Z890" t="inlineStr">
        <is>
          <t>LCD공정부품(포토마스크) 제조</t>
        </is>
      </c>
      <c r="AA890" t="inlineStr">
        <is>
          <t>경기 평택시 청북읍 현곡리 463-3번지</t>
        </is>
      </c>
      <c r="AB890" t="inlineStr">
        <is>
          <t>경기 평택시 청북읍 현곡산단로 55</t>
        </is>
      </c>
    </row>
    <row r="891" ht="19.2" customHeight="1" s="1">
      <c r="A891" t="inlineStr">
        <is>
          <t>NICE:964115</t>
        </is>
      </c>
      <c r="B891" t="inlineStr">
        <is>
          <t>웰텍</t>
        </is>
      </c>
      <c r="C891" s="5" t="n">
        <v>104727831000</v>
      </c>
      <c r="D891" s="5" t="n">
        <v>55704836000</v>
      </c>
      <c r="E891" s="5" t="n">
        <v>49022995000</v>
      </c>
      <c r="F891" s="5" t="n">
        <v>112007318000</v>
      </c>
      <c r="G891" s="5" t="n">
        <v>16219807000</v>
      </c>
      <c r="H891" s="5" t="n">
        <v>83980901000</v>
      </c>
      <c r="I891" s="5" t="n">
        <v>9741704000</v>
      </c>
      <c r="J891" s="4" t="n">
        <v>0.8758000135421753</v>
      </c>
      <c r="K891" s="4" t="n">
        <v>1.136299967765808</v>
      </c>
      <c r="L891" s="4" t="n">
        <v>0.144799992442131</v>
      </c>
      <c r="M891" t="inlineStr">
        <is>
          <t>이성식</t>
        </is>
      </c>
      <c r="N891" t="inlineStr">
        <is>
          <t>033-342-6224</t>
        </is>
      </c>
      <c r="O891" t="inlineStr">
        <is>
          <t>033-342-6226</t>
        </is>
      </c>
      <c r="P891" s="3">
        <f>HYPERLINK("http://www.weltech3lp.co.kr", "http://www.weltech3lp.co.kr")</f>
        <v/>
      </c>
      <c r="Q891" t="inlineStr">
        <is>
          <t>3128125728</t>
        </is>
      </c>
      <c r="R891" t="inlineStr">
        <is>
          <t>1648110010699</t>
        </is>
      </c>
      <c r="S891" t="inlineStr">
        <is>
          <t>대상아님</t>
        </is>
      </c>
      <c r="T891" t="inlineStr">
        <is>
          <t>일반법인</t>
        </is>
      </c>
      <c r="U891" t="inlineStr">
        <is>
          <t>중소기업</t>
        </is>
      </c>
      <c r="V891" t="inlineStr">
        <is>
          <t>외부감사대상</t>
        </is>
      </c>
      <c r="W891" s="6" t="inlineStr">
        <is>
          <t>1997-02-12</t>
        </is>
      </c>
      <c r="X891" t="inlineStr">
        <is>
          <t>KRI:10C2413200</t>
        </is>
      </c>
      <c r="Y891" t="inlineStr">
        <is>
          <t>강관 제조업</t>
        </is>
      </c>
      <c r="Z891" t="inlineStr">
        <is>
          <t>상수도용 강관(이형관,직관),부직포,펠트,마스크 제조/원자력발전,수력발전</t>
        </is>
      </c>
      <c r="AA891" t="inlineStr">
        <is>
          <t>강원 횡성군 횡성읍 추동리 428-1번지</t>
        </is>
      </c>
      <c r="AB891" t="inlineStr">
        <is>
          <t>강원 횡성군 횡성읍 한우로 755</t>
        </is>
      </c>
    </row>
    <row r="892" ht="19.2" customHeight="1" s="1">
      <c r="A892" t="inlineStr">
        <is>
          <t>NICE:C12435</t>
        </is>
      </c>
      <c r="B892" t="inlineStr">
        <is>
          <t>미화</t>
        </is>
      </c>
      <c r="C892" s="5" t="n">
        <v>57259289000</v>
      </c>
      <c r="D892" s="5" t="n">
        <v>8902890000</v>
      </c>
      <c r="E892" s="5" t="n">
        <v>48356399000</v>
      </c>
      <c r="F892" s="5" t="n">
        <v>29851231000</v>
      </c>
      <c r="G892" s="5" t="n">
        <v>4255939000</v>
      </c>
      <c r="H892" s="5" t="n">
        <v>28981628000</v>
      </c>
      <c r="I892" s="5" t="n">
        <v>3162326000</v>
      </c>
      <c r="J892" s="4" t="n">
        <v>3.7846999168396</v>
      </c>
      <c r="K892" s="4" t="n">
        <v>0.1840999871492386</v>
      </c>
      <c r="L892" s="4" t="n">
        <v>0.1425999999046326</v>
      </c>
      <c r="M892" t="inlineStr">
        <is>
          <t>김기경</t>
        </is>
      </c>
      <c r="N892" t="inlineStr">
        <is>
          <t>055-338-7714</t>
        </is>
      </c>
      <c r="O892" t="inlineStr">
        <is>
          <t>055-329-1342</t>
        </is>
      </c>
      <c r="P892" s="3">
        <f>HYPERLINK("http://www.mbko.co.kr", "http://www.mbko.co.kr")</f>
        <v/>
      </c>
      <c r="Q892" t="inlineStr">
        <is>
          <t>6158149537</t>
        </is>
      </c>
      <c r="R892" t="inlineStr">
        <is>
          <t>1955110088108</t>
        </is>
      </c>
      <c r="S892" t="inlineStr">
        <is>
          <t>대상아님</t>
        </is>
      </c>
      <c r="T892" t="inlineStr">
        <is>
          <t>일반법인</t>
        </is>
      </c>
      <c r="U892" t="inlineStr">
        <is>
          <t>중소기업</t>
        </is>
      </c>
      <c r="V892" t="inlineStr">
        <is>
          <t>외부감사대상</t>
        </is>
      </c>
      <c r="W892" s="6" t="inlineStr">
        <is>
          <t>2006-05-23</t>
        </is>
      </c>
      <c r="X892" t="inlineStr">
        <is>
          <t>KRI:10C2229900</t>
        </is>
      </c>
      <c r="Y892" t="inlineStr">
        <is>
          <t>그 외 기타 플라스틱 제품 제조업</t>
        </is>
      </c>
      <c r="Z892" t="inlineStr">
        <is>
          <t>플라스틱제품 제조,도소매,전자상거래/비,솔 제조/태양광 발전/부동산 임대</t>
        </is>
      </c>
      <c r="AA892" t="inlineStr">
        <is>
          <t>경남 김해시 한림면 병동리 852번지</t>
        </is>
      </c>
      <c r="AB892" t="inlineStr">
        <is>
          <t>경남 김해시 한림면 김해대로916번길 104-20</t>
        </is>
      </c>
    </row>
    <row r="893" s="1">
      <c r="A893" t="inlineStr">
        <is>
          <t>NICE:015983</t>
        </is>
      </c>
      <c r="B893" t="inlineStr">
        <is>
          <t>성원제이에스</t>
        </is>
      </c>
      <c r="C893" s="5" t="n">
        <v>49594135000</v>
      </c>
      <c r="D893" s="5" t="n">
        <v>10397475000</v>
      </c>
      <c r="E893" s="5" t="n">
        <v>39196660000</v>
      </c>
      <c r="F893" s="5" t="n">
        <v>49524054000</v>
      </c>
      <c r="G893" s="5" t="n">
        <v>5615471000</v>
      </c>
      <c r="H893" s="5" t="n">
        <v>47653102000</v>
      </c>
      <c r="I893" s="5" t="n">
        <v>5647369000</v>
      </c>
      <c r="J893" s="4" t="n">
        <v>2.799899816513062</v>
      </c>
      <c r="K893" s="4" t="n">
        <v>0.2653000056743622</v>
      </c>
      <c r="L893" s="4" t="n">
        <v>0.1133999973535538</v>
      </c>
      <c r="M893" t="inlineStr">
        <is>
          <t>진성계</t>
        </is>
      </c>
      <c r="N893" t="inlineStr">
        <is>
          <t>032-678-3668</t>
        </is>
      </c>
      <c r="O893" t="inlineStr">
        <is>
          <t>032-678-3662</t>
        </is>
      </c>
      <c r="P893">
        <f>HYPERLINK("http://www.sungwonjs.com", "http://www.sungwonjs.com")</f>
        <v/>
      </c>
      <c r="Q893" t="inlineStr">
        <is>
          <t>1308164148</t>
        </is>
      </c>
      <c r="R893" t="inlineStr">
        <is>
          <t>1211110071985</t>
        </is>
      </c>
      <c r="S893" t="inlineStr">
        <is>
          <t>대상아님</t>
        </is>
      </c>
      <c r="T893" t="inlineStr">
        <is>
          <t>일반법인</t>
        </is>
      </c>
      <c r="U893" t="inlineStr">
        <is>
          <t>중소기업</t>
        </is>
      </c>
      <c r="V893" t="inlineStr">
        <is>
          <t>외부감사대상</t>
        </is>
      </c>
      <c r="W893" s="6" t="inlineStr">
        <is>
          <t>1987-10-01</t>
        </is>
      </c>
      <c r="X893" t="inlineStr">
        <is>
          <t>KRI:10C3209100</t>
        </is>
      </c>
      <c r="Y893" t="inlineStr">
        <is>
          <t>금속 가구 제조업</t>
        </is>
      </c>
      <c r="Z893" t="inlineStr">
        <is>
          <t>철제,목재가구,이동식서가,책장,조립식구조물,조립식선반,철만물대 제조</t>
        </is>
      </c>
      <c r="AA893" t="inlineStr">
        <is>
          <t>인천 남동구 고잔동 648-4번지 남동공단</t>
        </is>
      </c>
      <c r="AB893" t="inlineStr">
        <is>
          <t>인천 남동구 청능대로 415, 남동공단</t>
        </is>
      </c>
    </row>
    <row r="894" ht="19.2" customHeight="1" s="1">
      <c r="A894" t="inlineStr">
        <is>
          <t>NICE:E57579</t>
        </is>
      </c>
      <c r="B894" t="inlineStr">
        <is>
          <t>다호피앤씨</t>
        </is>
      </c>
      <c r="C894" s="5" t="n">
        <v>14832973000</v>
      </c>
      <c r="D894" s="5" t="n">
        <v>4399004000</v>
      </c>
      <c r="E894" s="5" t="n">
        <v>10433969000</v>
      </c>
      <c r="F894" s="5" t="n">
        <v>21043092000</v>
      </c>
      <c r="G894" s="5" t="n">
        <v>2730977000</v>
      </c>
      <c r="H894" s="5" t="n">
        <v>21254336000</v>
      </c>
      <c r="I894" s="5" t="n">
        <v>3529112000</v>
      </c>
      <c r="J894" s="4" t="n">
        <v>2.597399950027466</v>
      </c>
      <c r="K894" s="4" t="n">
        <v>0.4215999841690063</v>
      </c>
      <c r="L894" s="4" t="n">
        <v>0.1297999918460846</v>
      </c>
      <c r="M894" t="inlineStr">
        <is>
          <t>권영종</t>
        </is>
      </c>
      <c r="N894" t="inlineStr">
        <is>
          <t>041-542-3842</t>
        </is>
      </c>
      <c r="O894" t="inlineStr">
        <is>
          <t>041-542-3844</t>
        </is>
      </c>
      <c r="P894" s="3" t="n"/>
      <c r="Q894" t="inlineStr">
        <is>
          <t>3128632317</t>
        </is>
      </c>
      <c r="R894" t="inlineStr">
        <is>
          <t>1648110062418</t>
        </is>
      </c>
      <c r="S894" t="inlineStr">
        <is>
          <t>대상아님</t>
        </is>
      </c>
      <c r="T894" t="inlineStr">
        <is>
          <t>일반법인</t>
        </is>
      </c>
      <c r="U894" t="inlineStr">
        <is>
          <t>중소기업</t>
        </is>
      </c>
      <c r="V894" t="inlineStr">
        <is>
          <t>외부감사대상</t>
        </is>
      </c>
      <c r="W894" s="6" t="inlineStr">
        <is>
          <t>2011-10-24</t>
        </is>
      </c>
      <c r="X894" t="inlineStr">
        <is>
          <t>KRI:10C2221200</t>
        </is>
      </c>
      <c r="Y894" t="inlineStr">
        <is>
          <t>플라스틱 필름 제조업</t>
        </is>
      </c>
      <c r="Z894" t="inlineStr">
        <is>
          <t>에어비닐,합성수지/재생섬유소및그유도체,상품중개업.포장자재,화장품,생활용품,미용기기,통신판매(전자상거래)</t>
        </is>
      </c>
      <c r="AA894" t="inlineStr">
        <is>
          <t>충남 아산시 선장면 선창리 310-24번지</t>
        </is>
      </c>
      <c r="AB894" t="inlineStr">
        <is>
          <t>충남 아산시 선장면 아산만로 592-15</t>
        </is>
      </c>
    </row>
    <row r="895" ht="19.2" customHeight="1" s="1">
      <c r="A895" t="inlineStr">
        <is>
          <t>NICE:JX8235</t>
        </is>
      </c>
      <c r="B895" t="inlineStr">
        <is>
          <t>하마마츠포토닉스코리아</t>
        </is>
      </c>
      <c r="C895" s="5" t="n">
        <v>65539478000</v>
      </c>
      <c r="D895" s="5" t="n">
        <v>41674356000</v>
      </c>
      <c r="E895" s="5" t="n">
        <v>23865122000</v>
      </c>
      <c r="F895" s="5" t="n">
        <v>52953723000</v>
      </c>
      <c r="G895" s="5" t="n">
        <v>10351263000</v>
      </c>
      <c r="H895" s="5" t="n">
        <v>30205818000</v>
      </c>
      <c r="I895" s="5" t="n">
        <v>6047650000</v>
      </c>
      <c r="J895" s="4" t="n">
        <v>1.003299951553345</v>
      </c>
      <c r="K895" s="4" t="n">
        <v>1.74619996547699</v>
      </c>
      <c r="L895" s="4" t="n">
        <v>0.195499986410141</v>
      </c>
      <c r="M895" t="inlineStr">
        <is>
          <t>유재형</t>
        </is>
      </c>
      <c r="N895" t="inlineStr">
        <is>
          <t>02-2054-8202</t>
        </is>
      </c>
      <c r="O895" t="inlineStr">
        <is>
          <t>02-2054-8207</t>
        </is>
      </c>
      <c r="P895" s="3">
        <f>HYPERLINK("http://www.hpkr.co.kr", "http://www.hpkr.co.kr")</f>
        <v/>
      </c>
      <c r="Q895" t="inlineStr">
        <is>
          <t>1848601688</t>
        </is>
      </c>
      <c r="R895" t="inlineStr">
        <is>
          <t>1101117340500</t>
        </is>
      </c>
      <c r="S895" t="inlineStr">
        <is>
          <t>대상아님</t>
        </is>
      </c>
      <c r="T895" t="inlineStr">
        <is>
          <t>일반법인</t>
        </is>
      </c>
      <c r="U895" t="inlineStr">
        <is>
          <t>중견기업</t>
        </is>
      </c>
      <c r="V895" t="inlineStr">
        <is>
          <t>외부감사대상</t>
        </is>
      </c>
      <c r="W895" s="6" t="inlineStr">
        <is>
          <t>2019-12-30</t>
        </is>
      </c>
      <c r="X895" t="inlineStr">
        <is>
          <t>KRI:10C2927100</t>
        </is>
      </c>
      <c r="Y895" t="inlineStr">
        <is>
          <t>반도체 제조용 기계 제조업</t>
        </is>
      </c>
      <c r="Z895" t="inlineStr">
        <is>
          <t>반도체,디스플레이 검사장비 제조,판매</t>
        </is>
      </c>
      <c r="AA895" t="inlineStr">
        <is>
          <t>서울 송파구 문정동 651번지 문정역테라타워 A동 912호</t>
        </is>
      </c>
      <c r="AB895" t="inlineStr">
        <is>
          <t>서울 송파구 송파대로 167, A동 912호 (문정동,문정역테라타워)</t>
        </is>
      </c>
    </row>
    <row r="896" s="1">
      <c r="A896" t="inlineStr">
        <is>
          <t>NICE:790613</t>
        </is>
      </c>
      <c r="B896" t="inlineStr">
        <is>
          <t>정일스톨트헤븐울산</t>
        </is>
      </c>
      <c r="C896" s="5" t="n">
        <v>338417988000</v>
      </c>
      <c r="D896" s="5" t="n">
        <v>141557400000</v>
      </c>
      <c r="E896" s="5" t="n">
        <v>196860588000</v>
      </c>
      <c r="F896" s="5" t="n">
        <v>137540494000</v>
      </c>
      <c r="G896" s="5" t="n">
        <v>51841051000</v>
      </c>
      <c r="H896" s="5" t="n">
        <v>129314206000</v>
      </c>
      <c r="I896" s="5" t="n">
        <v>43618828000</v>
      </c>
      <c r="J896" s="4" t="n">
        <v>0.317799985408783</v>
      </c>
      <c r="K896" s="4" t="n">
        <v>0.7190999984741211</v>
      </c>
      <c r="L896" s="4" t="n">
        <v>0.3768999874591827</v>
      </c>
      <c r="M896" t="inlineStr">
        <is>
          <t>이승만</t>
        </is>
      </c>
      <c r="N896" t="inlineStr">
        <is>
          <t>052-238-8881</t>
        </is>
      </c>
      <c r="O896" t="inlineStr">
        <is>
          <t>052-238-8897</t>
        </is>
      </c>
      <c r="P896">
        <f>HYPERLINK("http://www.jstt.co.kr", "http://www.jstt.co.kr")</f>
        <v/>
      </c>
      <c r="Q896" t="inlineStr">
        <is>
          <t>6108106979</t>
        </is>
      </c>
      <c r="R896" t="inlineStr">
        <is>
          <t>1812110004354</t>
        </is>
      </c>
      <c r="S896" t="inlineStr">
        <is>
          <t>대상아님</t>
        </is>
      </c>
      <c r="T896" t="inlineStr">
        <is>
          <t>일반법인</t>
        </is>
      </c>
      <c r="U896" t="inlineStr">
        <is>
          <t>중견기업</t>
        </is>
      </c>
      <c r="V896" t="inlineStr">
        <is>
          <t>외부감사대상</t>
        </is>
      </c>
      <c r="W896" s="6" t="inlineStr">
        <is>
          <t>1985-12-12</t>
        </is>
      </c>
      <c r="X896" t="inlineStr">
        <is>
          <t>KRI:10H5210400</t>
        </is>
      </c>
      <c r="Y896" t="inlineStr">
        <is>
          <t>위험물품 보관업</t>
        </is>
      </c>
      <c r="Z896" t="inlineStr">
        <is>
          <t>위험물(액체화학기초연료,액화물 운보,항만하역,석유류 제품) 보관</t>
        </is>
      </c>
      <c r="AA896" t="inlineStr">
        <is>
          <t>울산 울주군 온산읍 산암리 3번지</t>
        </is>
      </c>
      <c r="AB896" t="inlineStr">
        <is>
          <t>울산 울주군 온산읍 산암로 297</t>
        </is>
      </c>
    </row>
    <row r="897" s="1">
      <c r="A897" t="inlineStr">
        <is>
          <t>NICE:C92148</t>
        </is>
      </c>
      <c r="B897" t="inlineStr">
        <is>
          <t>미부중공업</t>
        </is>
      </c>
      <c r="C897" s="5" t="n">
        <v>88402779000</v>
      </c>
      <c r="D897" s="5" t="n">
        <v>69350677000</v>
      </c>
      <c r="E897" s="5" t="n">
        <v>19052102000</v>
      </c>
      <c r="F897" s="5" t="n">
        <v>101173090000</v>
      </c>
      <c r="G897" s="5" t="n">
        <v>10487133000</v>
      </c>
      <c r="H897" s="5" t="n">
        <v>94360647000</v>
      </c>
      <c r="I897" s="5" t="n">
        <v>5333565000</v>
      </c>
      <c r="J897" s="4" t="n">
        <v>0.7261999845504761</v>
      </c>
      <c r="K897" s="4" t="n">
        <v>3.640100002288818</v>
      </c>
      <c r="L897" s="4" t="n">
        <v>0.1036999970674515</v>
      </c>
      <c r="M897" t="inlineStr">
        <is>
          <t>지영만/지현규</t>
        </is>
      </c>
      <c r="N897" t="inlineStr">
        <is>
          <t>051-261-0805</t>
        </is>
      </c>
      <c r="O897" t="inlineStr">
        <is>
          <t>051-262-0086</t>
        </is>
      </c>
      <c r="P897">
        <f>HYPERLINK("http://www.hankukmiboo.co.kr", "http://www.hankukmiboo.co.kr")</f>
        <v/>
      </c>
      <c r="Q897" t="inlineStr">
        <is>
          <t>6138149318</t>
        </is>
      </c>
      <c r="R897" t="inlineStr">
        <is>
          <t>1954110016490</t>
        </is>
      </c>
      <c r="S897" t="inlineStr">
        <is>
          <t>대상아님</t>
        </is>
      </c>
      <c r="T897" t="inlineStr">
        <is>
          <t>일반법인</t>
        </is>
      </c>
      <c r="U897" t="inlineStr">
        <is>
          <t>중소기업</t>
        </is>
      </c>
      <c r="V897" t="inlineStr">
        <is>
          <t>외부감사대상</t>
        </is>
      </c>
      <c r="W897" s="6" t="inlineStr">
        <is>
          <t>2008-07-17</t>
        </is>
      </c>
      <c r="X897" t="inlineStr">
        <is>
          <t>KRI:10C3111400</t>
        </is>
      </c>
      <c r="Y897" t="inlineStr">
        <is>
          <t>선박 구성 부분품 제조업</t>
        </is>
      </c>
      <c r="Z897" t="inlineStr">
        <is>
          <t>선박구성부분품.조선기자재 제조/채권매입</t>
        </is>
      </c>
      <c r="AA897" t="inlineStr">
        <is>
          <t>부산 서구 암남동 616-4번지 3층</t>
        </is>
      </c>
      <c r="AB897" t="inlineStr">
        <is>
          <t>부산 서구 암남공원로 82, 3층</t>
        </is>
      </c>
    </row>
    <row r="898" ht="19.2" customHeight="1" s="1">
      <c r="A898" t="inlineStr">
        <is>
          <t>NICE:608319</t>
        </is>
      </c>
      <c r="B898" t="inlineStr">
        <is>
          <t>올리콘발저스코팅코리아</t>
        </is>
      </c>
      <c r="C898" s="5" t="n">
        <v>34364382000</v>
      </c>
      <c r="D898" s="5" t="n">
        <v>11189196000</v>
      </c>
      <c r="E898" s="5" t="n">
        <v>23175186000</v>
      </c>
      <c r="F898" s="5" t="n">
        <v>37617170000</v>
      </c>
      <c r="G898" s="5" t="n">
        <v>7602583000</v>
      </c>
      <c r="H898" s="5" t="n">
        <v>36286197000</v>
      </c>
      <c r="I898" s="5" t="n">
        <v>7774176000</v>
      </c>
      <c r="J898" s="4" t="n">
        <v>2.461199998855591</v>
      </c>
      <c r="K898" s="4" t="n">
        <v>0.4827999770641327</v>
      </c>
      <c r="L898" s="4" t="n">
        <v>0.2020999789237976</v>
      </c>
      <c r="M898" t="inlineStr">
        <is>
          <t>옌뱅가드</t>
        </is>
      </c>
      <c r="N898" t="inlineStr">
        <is>
          <t>031-680-9900</t>
        </is>
      </c>
      <c r="O898" t="inlineStr">
        <is>
          <t>031-683-9909</t>
        </is>
      </c>
      <c r="P898" s="3">
        <f>HYPERLINK("http://www.oerlikon.com/balzers/kr", "http://www.oerlikon.com/balzers/kr")</f>
        <v/>
      </c>
      <c r="Q898" t="inlineStr">
        <is>
          <t>5038133407</t>
        </is>
      </c>
      <c r="R898" t="inlineStr">
        <is>
          <t>1701140005145</t>
        </is>
      </c>
      <c r="S898" t="inlineStr">
        <is>
          <t>대상아님</t>
        </is>
      </c>
      <c r="T898" t="inlineStr">
        <is>
          <t>일반법인</t>
        </is>
      </c>
      <c r="U898" t="inlineStr">
        <is>
          <t>중견기업</t>
        </is>
      </c>
      <c r="V898" t="inlineStr">
        <is>
          <t>외부감사대상</t>
        </is>
      </c>
      <c r="W898" s="6" t="inlineStr">
        <is>
          <t>1996-10-23</t>
        </is>
      </c>
      <c r="X898" t="inlineStr">
        <is>
          <t>KRI:10C2592300</t>
        </is>
      </c>
      <c r="Y898" t="inlineStr">
        <is>
          <t>도장 및 기타 피막처리업</t>
        </is>
      </c>
      <c r="Z898" t="inlineStr">
        <is>
          <t>PVD금속 코팅(공구,마모부품) 제조</t>
        </is>
      </c>
      <c r="AA898" t="inlineStr">
        <is>
          <t>경기 평택시 청북읍 한산리 833-2번지</t>
        </is>
      </c>
      <c r="AB898" t="inlineStr">
        <is>
          <t>경기 평택시 청북읍 한산길 49</t>
        </is>
      </c>
    </row>
    <row r="899" ht="19.2" customHeight="1" s="1">
      <c r="A899" t="inlineStr">
        <is>
          <t>NICE:475842</t>
        </is>
      </c>
      <c r="B899" t="inlineStr">
        <is>
          <t>지씨에스</t>
        </is>
      </c>
      <c r="C899" s="5" t="n">
        <v>22230104000</v>
      </c>
      <c r="D899" s="5" t="n">
        <v>7202402000</v>
      </c>
      <c r="E899" s="5" t="n">
        <v>15027702000</v>
      </c>
      <c r="F899" s="5" t="n">
        <v>32918889000</v>
      </c>
      <c r="G899" s="5" t="n">
        <v>4502267000</v>
      </c>
      <c r="H899" s="5" t="n">
        <v>27144338000</v>
      </c>
      <c r="I899" s="5" t="n">
        <v>3743900000</v>
      </c>
      <c r="J899" s="4" t="n">
        <v>2.799399852752686</v>
      </c>
      <c r="K899" s="4" t="n">
        <v>0.4792999923229218</v>
      </c>
      <c r="L899" s="4" t="n">
        <v>0.1368000060319901</v>
      </c>
      <c r="M899" t="inlineStr">
        <is>
          <t>최세성</t>
        </is>
      </c>
      <c r="N899" t="inlineStr">
        <is>
          <t>054-439-8960</t>
        </is>
      </c>
      <c r="O899" t="inlineStr">
        <is>
          <t>054-439-8964</t>
        </is>
      </c>
      <c r="P899" s="3">
        <f>HYPERLINK("http://www.gcsnetwork.com", "http://www.gcsnetwork.com")</f>
        <v/>
      </c>
      <c r="Q899" t="inlineStr">
        <is>
          <t>6158142719</t>
        </is>
      </c>
      <c r="R899" t="inlineStr">
        <is>
          <t>1955110078787</t>
        </is>
      </c>
      <c r="S899" t="inlineStr">
        <is>
          <t>대상아님</t>
        </is>
      </c>
      <c r="T899" t="inlineStr">
        <is>
          <t>일반법인</t>
        </is>
      </c>
      <c r="U899" t="inlineStr">
        <is>
          <t>중소기업</t>
        </is>
      </c>
      <c r="V899" t="inlineStr">
        <is>
          <t>외부감사대상</t>
        </is>
      </c>
      <c r="W899" s="6" t="inlineStr">
        <is>
          <t>2005-04-07</t>
        </is>
      </c>
      <c r="X899" t="inlineStr">
        <is>
          <t>KRI:10C3039900</t>
        </is>
      </c>
      <c r="Y899" t="inlineStr">
        <is>
          <t>그 외 자동차용 신품 부품 제조업</t>
        </is>
      </c>
      <c r="Z899" t="inlineStr">
        <is>
          <t>자동차부품 제조/무역/부동산 임대</t>
        </is>
      </c>
      <c r="AA899" t="inlineStr">
        <is>
          <t>경북 김천시 대광동 1000-41번지</t>
        </is>
      </c>
      <c r="AB899" t="inlineStr">
        <is>
          <t>경북 김천시 공단로 111</t>
        </is>
      </c>
    </row>
    <row r="900" ht="19.2" customHeight="1" s="1">
      <c r="A900" t="inlineStr">
        <is>
          <t>NICE:QW8638</t>
        </is>
      </c>
      <c r="B900" t="inlineStr">
        <is>
          <t>덕인</t>
        </is>
      </c>
      <c r="C900" s="5" t="n">
        <v>18319348000</v>
      </c>
      <c r="D900" s="5" t="n">
        <v>7806406000</v>
      </c>
      <c r="E900" s="5" t="n">
        <v>10512942000</v>
      </c>
      <c r="F900" s="5" t="n">
        <v>23458271000</v>
      </c>
      <c r="G900" s="5" t="n">
        <v>3551382000</v>
      </c>
      <c r="H900" s="5" t="n">
        <v>33248021000</v>
      </c>
      <c r="I900" s="5" t="n">
        <v>8399638000</v>
      </c>
      <c r="J900" s="4" t="n">
        <v>4.19920015335083</v>
      </c>
      <c r="K900" s="4" t="n">
        <v>0.7426000237464905</v>
      </c>
      <c r="L900" s="4" t="n">
        <v>0.1513999998569489</v>
      </c>
      <c r="M900" t="inlineStr">
        <is>
          <t>장남인/장보영</t>
        </is>
      </c>
      <c r="P900" s="3" t="n"/>
      <c r="Q900" t="inlineStr">
        <is>
          <t>1418150004</t>
        </is>
      </c>
      <c r="R900" t="inlineStr">
        <is>
          <t>2341110142706</t>
        </is>
      </c>
      <c r="S900" t="inlineStr">
        <is>
          <t>대상아님</t>
        </is>
      </c>
      <c r="T900" t="inlineStr">
        <is>
          <t>일반법인</t>
        </is>
      </c>
      <c r="U900" t="inlineStr">
        <is>
          <t>중소기업</t>
        </is>
      </c>
      <c r="V900" t="inlineStr">
        <is>
          <t>외부감사대상</t>
        </is>
      </c>
      <c r="W900" s="6" t="inlineStr">
        <is>
          <t>2024-04-17</t>
        </is>
      </c>
      <c r="X900" t="inlineStr">
        <is>
          <t>KRI:10C2219900</t>
        </is>
      </c>
      <c r="Y900" t="inlineStr">
        <is>
          <t>그 외 기타 고무제품 제조업</t>
        </is>
      </c>
      <c r="Z900" t="inlineStr">
        <is>
          <t>고무제품,자동차부품,전장부품 제조,도매</t>
        </is>
      </c>
      <c r="AA900" t="inlineStr">
        <is>
          <t>경남 양산시 교동 49번지</t>
        </is>
      </c>
      <c r="AB900" t="inlineStr">
        <is>
          <t>경남 양산시 유산공단3길 33</t>
        </is>
      </c>
    </row>
    <row r="901" ht="19.2" customHeight="1" s="1">
      <c r="A901" t="inlineStr">
        <is>
          <t>NICE:557589</t>
        </is>
      </c>
      <c r="B901" t="inlineStr">
        <is>
          <t>농업회사법인법현</t>
        </is>
      </c>
      <c r="C901" s="5" t="n">
        <v>17055833000</v>
      </c>
      <c r="D901" s="5" t="n">
        <v>4117757000</v>
      </c>
      <c r="E901" s="5" t="n">
        <v>12938076000</v>
      </c>
      <c r="F901" s="5" t="n">
        <v>27429273000</v>
      </c>
      <c r="G901" s="5" t="n">
        <v>5065128000</v>
      </c>
      <c r="H901" s="5" t="n">
        <v>22820061000</v>
      </c>
      <c r="I901" s="5" t="n">
        <v>2323379000</v>
      </c>
      <c r="J901" s="4" t="n">
        <v>4.180099964141846</v>
      </c>
      <c r="K901" s="4" t="n">
        <v>0.3182999789714813</v>
      </c>
      <c r="L901" s="4" t="n">
        <v>0.1846999824047089</v>
      </c>
      <c r="M901" t="inlineStr">
        <is>
          <t>이진석</t>
        </is>
      </c>
      <c r="N901" t="inlineStr">
        <is>
          <t>043-855-2095</t>
        </is>
      </c>
      <c r="O901" t="inlineStr">
        <is>
          <t>043-855-3666</t>
        </is>
      </c>
      <c r="P901" s="3" t="n"/>
      <c r="Q901" t="inlineStr">
        <is>
          <t>3038126965</t>
        </is>
      </c>
      <c r="R901" t="inlineStr">
        <is>
          <t>1511110016422</t>
        </is>
      </c>
      <c r="S901" t="inlineStr">
        <is>
          <t>대상아님</t>
        </is>
      </c>
      <c r="T901" t="inlineStr">
        <is>
          <t>일반법인</t>
        </is>
      </c>
      <c r="U901" t="inlineStr">
        <is>
          <t>중소기업</t>
        </is>
      </c>
      <c r="V901" t="inlineStr">
        <is>
          <t>외부감사대상</t>
        </is>
      </c>
      <c r="W901" s="6" t="inlineStr">
        <is>
          <t>2000-12-29</t>
        </is>
      </c>
      <c r="X901" t="inlineStr">
        <is>
          <t>KRI:10A0122000</t>
        </is>
      </c>
      <c r="Y901" t="inlineStr">
        <is>
          <t>양돈업</t>
        </is>
      </c>
      <c r="Z901" t="inlineStr">
        <is>
          <t>양돈</t>
        </is>
      </c>
      <c r="AA901" t="inlineStr">
        <is>
          <t>충북 충주시 중앙탑면 용전리 113-1번지</t>
        </is>
      </c>
      <c r="AB901" t="inlineStr">
        <is>
          <t>충북 충주시 중앙탑면 첨단산업로 511-7</t>
        </is>
      </c>
    </row>
    <row r="902" ht="19.2" customHeight="1" s="1">
      <c r="A902" t="inlineStr">
        <is>
          <t>NICE:J29137</t>
        </is>
      </c>
      <c r="B902" t="inlineStr">
        <is>
          <t>코히런트코리아</t>
        </is>
      </c>
      <c r="C902" s="5" t="n">
        <v>285925150000</v>
      </c>
      <c r="D902" s="5" t="n">
        <v>56040845000</v>
      </c>
      <c r="E902" s="5" t="n">
        <v>229884305000</v>
      </c>
      <c r="F902" s="5" t="n">
        <v>181042248000</v>
      </c>
      <c r="G902" s="5" t="n">
        <v>28938116000</v>
      </c>
      <c r="H902" s="5" t="n">
        <v>155472770000</v>
      </c>
      <c r="I902" s="5" t="n">
        <v>28225298000</v>
      </c>
      <c r="J902" s="4" t="n">
        <v>3.391900062561035</v>
      </c>
      <c r="K902" s="4" t="n">
        <v>0.2437999844551086</v>
      </c>
      <c r="L902" s="4" t="n">
        <v>0.1597999930381775</v>
      </c>
      <c r="M902" t="inlineStr">
        <is>
          <t>박기락</t>
        </is>
      </c>
      <c r="N902" t="inlineStr">
        <is>
          <t>02-460-7900</t>
        </is>
      </c>
      <c r="O902" t="inlineStr">
        <is>
          <t>02-460-7929</t>
        </is>
      </c>
      <c r="P902" s="3">
        <f>HYPERLINK("https://www.coherent.com/ko", "https://www.coherent.com/ko")</f>
        <v/>
      </c>
      <c r="Q902" t="inlineStr">
        <is>
          <t>2068658079</t>
        </is>
      </c>
      <c r="R902" t="inlineStr">
        <is>
          <t>1101140104535</t>
        </is>
      </c>
      <c r="S902" t="inlineStr">
        <is>
          <t>대상아님</t>
        </is>
      </c>
      <c r="T902" t="inlineStr">
        <is>
          <t>일반법인</t>
        </is>
      </c>
      <c r="U902" t="inlineStr">
        <is>
          <t>중견기업</t>
        </is>
      </c>
      <c r="V902" t="inlineStr">
        <is>
          <t>외부감사대상</t>
        </is>
      </c>
      <c r="W902" s="6" t="inlineStr">
        <is>
          <t>2011-10-04</t>
        </is>
      </c>
      <c r="X902" t="inlineStr">
        <is>
          <t>KRI:10G4653900</t>
        </is>
      </c>
      <c r="Y902" t="inlineStr">
        <is>
          <t>기타 산업용 기계 및 장비 도매업</t>
        </is>
      </c>
      <c r="Z902" t="inlineStr">
        <is>
          <t>산업용 기계,장비 도매</t>
        </is>
      </c>
      <c r="AA902" t="inlineStr">
        <is>
          <t>서울 성동구 성수동2가 278-20번지 이글타운 5층</t>
        </is>
      </c>
      <c r="AB902" t="inlineStr">
        <is>
          <t>서울 성동구 광나루로6길 20, 5층 (성수동2가,이글타운)</t>
        </is>
      </c>
    </row>
    <row r="903" ht="19.2" customHeight="1" s="1">
      <c r="A903" t="inlineStr">
        <is>
          <t>NICE:459072</t>
        </is>
      </c>
      <c r="B903" t="inlineStr">
        <is>
          <t>아이큐웰</t>
        </is>
      </c>
      <c r="C903" s="5" t="n">
        <v>252413886000</v>
      </c>
      <c r="D903" s="5" t="n">
        <v>136626876000</v>
      </c>
      <c r="E903" s="5" t="n">
        <v>115787010000</v>
      </c>
      <c r="F903" s="5" t="n">
        <v>58069022000</v>
      </c>
      <c r="G903" s="5" t="n">
        <v>12453855000</v>
      </c>
      <c r="H903" s="5" t="n">
        <v>91041308000</v>
      </c>
      <c r="I903" s="5" t="n">
        <v>18250787000</v>
      </c>
      <c r="J903" s="4" t="n">
        <v>0.2204999923706055</v>
      </c>
      <c r="K903" s="4" t="n">
        <v>1.179999947547913</v>
      </c>
      <c r="L903" s="4" t="n">
        <v>0.2145000100135803</v>
      </c>
      <c r="M903" t="inlineStr">
        <is>
          <t>양현정</t>
        </is>
      </c>
      <c r="N903" t="inlineStr">
        <is>
          <t>02-6900-9333</t>
        </is>
      </c>
      <c r="O903" t="inlineStr">
        <is>
          <t>02-6442-1260</t>
        </is>
      </c>
      <c r="P903" s="3">
        <f>HYPERLINK("http://www.skyparkhotel.com", "http://www.skyparkhotel.com")</f>
        <v/>
      </c>
      <c r="Q903" t="inlineStr">
        <is>
          <t>2068183817</t>
        </is>
      </c>
      <c r="R903" t="inlineStr">
        <is>
          <t>1101112839300</t>
        </is>
      </c>
      <c r="S903" t="inlineStr">
        <is>
          <t>대상아님</t>
        </is>
      </c>
      <c r="T903" t="inlineStr">
        <is>
          <t>일반법인</t>
        </is>
      </c>
      <c r="U903" t="inlineStr">
        <is>
          <t>중소기업</t>
        </is>
      </c>
      <c r="V903" t="inlineStr">
        <is>
          <t>외부감사대상</t>
        </is>
      </c>
      <c r="W903" s="6" t="inlineStr">
        <is>
          <t>2003-08-12</t>
        </is>
      </c>
      <c r="X903" t="inlineStr">
        <is>
          <t>KRI:10I5510100</t>
        </is>
      </c>
      <c r="Y903" t="inlineStr">
        <is>
          <t>호텔업</t>
        </is>
      </c>
      <c r="Z903" t="inlineStr">
        <is>
          <t>호텔/부동산 임대</t>
        </is>
      </c>
      <c r="AA903" t="inlineStr">
        <is>
          <t>서울 중구 충무로1가 24-23번지 명동하늘빌딩 6층</t>
        </is>
      </c>
      <c r="AB903" t="inlineStr">
        <is>
          <t>서울 중구 명동8나길 15, 6층 (충무로1가,명동하늘빌딩)</t>
        </is>
      </c>
    </row>
    <row r="904" ht="19.2" customHeight="1" s="1">
      <c r="A904" t="inlineStr">
        <is>
          <t>NICE:071820</t>
        </is>
      </c>
      <c r="B904" t="inlineStr">
        <is>
          <t>쿠리타한수</t>
        </is>
      </c>
      <c r="C904" s="5" t="n">
        <v>242501395000</v>
      </c>
      <c r="D904" s="5" t="n">
        <v>41448499000</v>
      </c>
      <c r="E904" s="5" t="n">
        <v>201052896000</v>
      </c>
      <c r="F904" s="5" t="n">
        <v>259560031000</v>
      </c>
      <c r="G904" s="5" t="n">
        <v>34794743000</v>
      </c>
      <c r="H904" s="5" t="n">
        <v>171287991000</v>
      </c>
      <c r="I904" s="5" t="n">
        <v>20487761000</v>
      </c>
      <c r="J904" s="4" t="n">
        <v>4.25469970703125</v>
      </c>
      <c r="K904" s="4" t="n">
        <v>0.2062000036239624</v>
      </c>
      <c r="L904" s="4" t="n">
        <v>0.1340999901294708</v>
      </c>
      <c r="M904" t="inlineStr">
        <is>
          <t>시노카와나오유키</t>
        </is>
      </c>
      <c r="N904" t="inlineStr">
        <is>
          <t>031-789-1700</t>
        </is>
      </c>
      <c r="O904" t="inlineStr">
        <is>
          <t>031-789-1705</t>
        </is>
      </c>
      <c r="P904" s="3">
        <f>HYPERLINK("http://www.kurita-hansu.com/", "http://www.kurita-hansu.com/")</f>
        <v/>
      </c>
      <c r="Q904" t="inlineStr">
        <is>
          <t>2198100127</t>
        </is>
      </c>
      <c r="R904" t="inlineStr">
        <is>
          <t>1101110574346</t>
        </is>
      </c>
      <c r="S904" t="inlineStr">
        <is>
          <t>대상아님</t>
        </is>
      </c>
      <c r="T904" t="inlineStr">
        <is>
          <t>일반법인</t>
        </is>
      </c>
      <c r="U904" t="inlineStr">
        <is>
          <t>중견기업</t>
        </is>
      </c>
      <c r="V904" t="inlineStr">
        <is>
          <t>외부감사대상</t>
        </is>
      </c>
      <c r="W904" s="6" t="inlineStr">
        <is>
          <t>1988-05-11</t>
        </is>
      </c>
      <c r="X904" t="inlineStr">
        <is>
          <t>KRI:10C2917500</t>
        </is>
      </c>
      <c r="Y904" t="inlineStr">
        <is>
          <t>액체 여과기 제조업</t>
        </is>
      </c>
      <c r="Z904" t="inlineStr">
        <is>
          <t>수처리장치(초순수제조장치,정수시설) 제조/수처리화공약품,시약 도소매/기계설비공사,강구조물공사/기술용역</t>
        </is>
      </c>
      <c r="AA904" t="inlineStr">
        <is>
          <t>경기 성남시 분당구 구미동 7-1번지 4층 (사)한국과학기술한림원</t>
        </is>
      </c>
      <c r="AB904" t="inlineStr">
        <is>
          <t>경기 성남시 분당구 돌마로 42, 4층 (사)한국과학기술한림원</t>
        </is>
      </c>
    </row>
    <row r="905" ht="19.2" customHeight="1" s="1">
      <c r="A905" t="inlineStr">
        <is>
          <t>NICE:384228</t>
        </is>
      </c>
      <c r="B905" t="inlineStr">
        <is>
          <t>티앤에스산업</t>
        </is>
      </c>
      <c r="C905" s="5" t="n">
        <v>79254882000</v>
      </c>
      <c r="D905" s="5" t="n">
        <v>21860687000</v>
      </c>
      <c r="E905" s="5" t="n">
        <v>57394196000</v>
      </c>
      <c r="F905" s="5" t="n">
        <v>46253489000</v>
      </c>
      <c r="G905" s="5" t="n">
        <v>8231857000</v>
      </c>
      <c r="H905" s="5" t="n">
        <v>54931361000</v>
      </c>
      <c r="I905" s="5" t="n">
        <v>13326394000</v>
      </c>
      <c r="J905" s="4" t="n">
        <v>0.8701000213623047</v>
      </c>
      <c r="K905" s="4" t="n">
        <v>0.3808999955654144</v>
      </c>
      <c r="L905" s="4" t="n">
        <v>0.1779999881982803</v>
      </c>
      <c r="M905" t="inlineStr">
        <is>
          <t>정광표/정태빈</t>
        </is>
      </c>
      <c r="N905" t="inlineStr">
        <is>
          <t>02-3471-3967</t>
        </is>
      </c>
      <c r="O905" t="inlineStr">
        <is>
          <t>02-3471-3965</t>
        </is>
      </c>
      <c r="P905" s="3">
        <f>HYPERLINK("http://www.swfishery.com", "http://www.swfishery.com")</f>
        <v/>
      </c>
      <c r="Q905" t="inlineStr">
        <is>
          <t>1058643759</t>
        </is>
      </c>
      <c r="R905" t="inlineStr">
        <is>
          <t>1101112591661</t>
        </is>
      </c>
      <c r="S905" t="inlineStr">
        <is>
          <t>대상아님</t>
        </is>
      </c>
      <c r="T905" t="inlineStr">
        <is>
          <t>일반법인</t>
        </is>
      </c>
      <c r="U905" t="inlineStr">
        <is>
          <t>중소기업</t>
        </is>
      </c>
      <c r="V905" t="inlineStr">
        <is>
          <t>외부감사대상</t>
        </is>
      </c>
      <c r="W905" s="6" t="inlineStr">
        <is>
          <t>2002-08-20</t>
        </is>
      </c>
      <c r="X905" t="inlineStr">
        <is>
          <t>KRI:10A0311100</t>
        </is>
      </c>
      <c r="Y905" t="inlineStr">
        <is>
          <t>원양 어업</t>
        </is>
      </c>
      <c r="Z905" t="inlineStr">
        <is>
          <t>원양어업/수산물 가공 도소매,무역</t>
        </is>
      </c>
      <c r="AA905" t="inlineStr">
        <is>
          <t>서울 서초구 서초동 1673-2번지 6층</t>
        </is>
      </c>
      <c r="AB905" t="inlineStr">
        <is>
          <t>서울 서초구 서초대로 304, 6층</t>
        </is>
      </c>
    </row>
    <row r="906" ht="19.2" customHeight="1" s="1">
      <c r="A906" t="inlineStr">
        <is>
          <t>NICE:293020</t>
        </is>
      </c>
      <c r="B906" t="inlineStr">
        <is>
          <t>케이넷</t>
        </is>
      </c>
      <c r="C906" s="5" t="n">
        <v>73271308000</v>
      </c>
      <c r="D906" s="5" t="n">
        <v>12011961000</v>
      </c>
      <c r="E906" s="5" t="n">
        <v>61259347000</v>
      </c>
      <c r="F906" s="5" t="n">
        <v>69235642000</v>
      </c>
      <c r="G906" s="5" t="n">
        <v>12370262000</v>
      </c>
      <c r="H906" s="5" t="n">
        <v>74890569000</v>
      </c>
      <c r="I906" s="5" t="n">
        <v>15840180000</v>
      </c>
      <c r="J906" s="4" t="n">
        <v>5.359099388122559</v>
      </c>
      <c r="K906" s="4" t="n">
        <v>0.1960999965667725</v>
      </c>
      <c r="L906" s="4" t="n">
        <v>0.1787000000476837</v>
      </c>
      <c r="M906" t="inlineStr">
        <is>
          <t>오영석</t>
        </is>
      </c>
      <c r="N906" t="inlineStr">
        <is>
          <t>063-570-6700</t>
        </is>
      </c>
      <c r="O906" t="inlineStr">
        <is>
          <t>063-537-7743</t>
        </is>
      </c>
      <c r="P906" s="3">
        <f>HYPERLINK("http://www.e-knet.com", "http://www.e-knet.com")</f>
        <v/>
      </c>
      <c r="Q906" t="inlineStr">
        <is>
          <t>3078119772</t>
        </is>
      </c>
      <c r="R906" t="inlineStr">
        <is>
          <t>1647110010675</t>
        </is>
      </c>
      <c r="S906" t="inlineStr">
        <is>
          <t>대상아님</t>
        </is>
      </c>
      <c r="T906" t="inlineStr">
        <is>
          <t>일반법인</t>
        </is>
      </c>
      <c r="U906" t="inlineStr">
        <is>
          <t>중견기업</t>
        </is>
      </c>
      <c r="V906" t="inlineStr">
        <is>
          <t>외부감사대상</t>
        </is>
      </c>
      <c r="W906" s="6" t="inlineStr">
        <is>
          <t>2002-12-05</t>
        </is>
      </c>
      <c r="X906" t="inlineStr">
        <is>
          <t>KRI:10C2221100</t>
        </is>
      </c>
      <c r="Y906" t="inlineStr">
        <is>
          <t>플라스틱 선, 봉, 관 및 호스 제조업</t>
        </is>
      </c>
      <c r="Z906" t="inlineStr">
        <is>
          <t>PE파이프,부잔교 제조,도매,무역/통신공사,CCTV설치공사</t>
        </is>
      </c>
      <c r="AA906" t="inlineStr">
        <is>
          <t>전북 정읍시 고부면 덕안리 954번지</t>
        </is>
      </c>
      <c r="AB906" t="inlineStr">
        <is>
          <t>전북 정읍시 고부면 고부농단길 41</t>
        </is>
      </c>
    </row>
    <row r="907" ht="19.2" customHeight="1" s="1">
      <c r="A907" t="inlineStr">
        <is>
          <t>NICE:F15998</t>
        </is>
      </c>
      <c r="B907" t="inlineStr">
        <is>
          <t>에이스나노켐</t>
        </is>
      </c>
      <c r="C907" s="5" t="n">
        <v>66391828000</v>
      </c>
      <c r="D907" s="5" t="n">
        <v>15536036000</v>
      </c>
      <c r="E907" s="5" t="n">
        <v>50855792000</v>
      </c>
      <c r="F907" s="5" t="n">
        <v>28530695000</v>
      </c>
      <c r="G907" s="5" t="n">
        <v>5340386000</v>
      </c>
      <c r="H907" s="5" t="n">
        <v>26998970000</v>
      </c>
      <c r="I907" s="5" t="n">
        <v>4495834000</v>
      </c>
      <c r="J907" s="4" t="n">
        <v>3.247900009155273</v>
      </c>
      <c r="K907" s="4" t="n">
        <v>0.3054999709129333</v>
      </c>
      <c r="L907" s="4" t="n">
        <v>0.1871999949216843</v>
      </c>
      <c r="M907" t="inlineStr">
        <is>
          <t>이종훈</t>
        </is>
      </c>
      <c r="N907" t="inlineStr">
        <is>
          <t>053-857-6240</t>
        </is>
      </c>
      <c r="O907" t="inlineStr">
        <is>
          <t>053-856-6849</t>
        </is>
      </c>
      <c r="P907" s="3">
        <f>HYPERLINK("http://www.acenanochem.com", "http://www.acenanochem.com")</f>
        <v/>
      </c>
      <c r="Q907" t="inlineStr">
        <is>
          <t>5158139501</t>
        </is>
      </c>
      <c r="R907" t="inlineStr">
        <is>
          <t>1748110054710</t>
        </is>
      </c>
      <c r="S907" t="inlineStr">
        <is>
          <t>대상아님</t>
        </is>
      </c>
      <c r="T907" t="inlineStr">
        <is>
          <t>일반법인</t>
        </is>
      </c>
      <c r="U907" t="inlineStr">
        <is>
          <t>중소기업</t>
        </is>
      </c>
      <c r="V907" t="inlineStr">
        <is>
          <t>외부감사대상</t>
        </is>
      </c>
      <c r="W907" s="6" t="inlineStr">
        <is>
          <t>2010-05-24</t>
        </is>
      </c>
      <c r="X907" t="inlineStr">
        <is>
          <t>KRI:10C2049900</t>
        </is>
      </c>
      <c r="Y907" t="inlineStr">
        <is>
          <t>그 외 기타 분류 안된 화학제품 제조업</t>
        </is>
      </c>
      <c r="Z907" t="inlineStr">
        <is>
          <t>화학제품 제조</t>
        </is>
      </c>
      <c r="AA907" t="inlineStr">
        <is>
          <t>경북 영천시 금호읍 구암리 1330-1번지</t>
        </is>
      </c>
      <c r="AB907" t="inlineStr">
        <is>
          <t>경북 영천시 금호읍 영천산단로 217</t>
        </is>
      </c>
    </row>
    <row r="908" ht="19.2" customHeight="1" s="1">
      <c r="A908" t="inlineStr">
        <is>
          <t>NICE:L05681</t>
        </is>
      </c>
      <c r="B908" t="inlineStr">
        <is>
          <t>헤라몬드</t>
        </is>
      </c>
      <c r="C908" s="5" t="n">
        <v>128188155000</v>
      </c>
      <c r="D908" s="5" t="n">
        <v>98355852000</v>
      </c>
      <c r="E908" s="5" t="n">
        <v>29832303000</v>
      </c>
      <c r="F908" s="5" t="n">
        <v>52739100000</v>
      </c>
      <c r="G908" s="5" t="n">
        <v>10176652000</v>
      </c>
      <c r="H908" s="5" t="n">
        <v>42620698000</v>
      </c>
      <c r="I908" s="5" t="n">
        <v>9203662000</v>
      </c>
      <c r="J908" s="4" t="n">
        <v>0.1879000067710876</v>
      </c>
      <c r="K908" s="4" t="n">
        <v>3.296999931335449</v>
      </c>
      <c r="L908" s="4" t="n">
        <v>0.1929999887943268</v>
      </c>
      <c r="M908" t="inlineStr">
        <is>
          <t>조근수</t>
        </is>
      </c>
      <c r="N908" t="inlineStr">
        <is>
          <t>02-2271-2741</t>
        </is>
      </c>
      <c r="O908" t="inlineStr">
        <is>
          <t>02-2268-5759</t>
        </is>
      </c>
      <c r="P908" s="3">
        <f>HYPERLINK("http://www.heramond.com", "http://www.heramond.com")</f>
        <v/>
      </c>
      <c r="Q908" t="inlineStr">
        <is>
          <t>1018684802</t>
        </is>
      </c>
      <c r="R908" t="inlineStr">
        <is>
          <t>1101115258747</t>
        </is>
      </c>
      <c r="S908" t="inlineStr">
        <is>
          <t>대상아님</t>
        </is>
      </c>
      <c r="T908" t="inlineStr">
        <is>
          <t>일반법인</t>
        </is>
      </c>
      <c r="U908" t="inlineStr">
        <is>
          <t>중소기업</t>
        </is>
      </c>
      <c r="V908" t="inlineStr">
        <is>
          <t>외부감사대상</t>
        </is>
      </c>
      <c r="W908" s="6" t="inlineStr">
        <is>
          <t>2013-10-31</t>
        </is>
      </c>
      <c r="X908" t="inlineStr">
        <is>
          <t>KRI:10C3311000</t>
        </is>
      </c>
      <c r="Y908" t="inlineStr">
        <is>
          <t>귀금속 및 관련제품 제조업</t>
        </is>
      </c>
      <c r="Z908" t="inlineStr">
        <is>
          <t>귀금속,보석,악세사리 제조,도소매/부동산 임대</t>
        </is>
      </c>
      <c r="AA908" t="inlineStr">
        <is>
          <t>서울 종로구 종로3가 117-1번지</t>
        </is>
      </c>
      <c r="AB908" t="inlineStr">
        <is>
          <t>서울 종로구 종로 118-2</t>
        </is>
      </c>
    </row>
    <row r="909" ht="19.2" customHeight="1" s="1">
      <c r="A909" t="inlineStr">
        <is>
          <t>NICE:099173</t>
        </is>
      </c>
      <c r="B909" t="inlineStr">
        <is>
          <t>니덱어드밴스테크놀러지코리아</t>
        </is>
      </c>
      <c r="C909" s="5" t="n">
        <v>88065030000</v>
      </c>
      <c r="D909" s="5" t="n">
        <v>8004909000</v>
      </c>
      <c r="E909" s="5" t="n">
        <v>80060121000</v>
      </c>
      <c r="F909" s="5" t="n">
        <v>31407797000</v>
      </c>
      <c r="G909" s="5" t="n">
        <v>4412847000</v>
      </c>
      <c r="H909" s="5" t="n">
        <v>29465221000</v>
      </c>
      <c r="I909" s="5" t="n">
        <v>6482491000</v>
      </c>
      <c r="J909" s="4" t="n">
        <v>15.71099948883057</v>
      </c>
      <c r="K909" s="4" t="n">
        <v>0.09999999403953552</v>
      </c>
      <c r="L909" s="4" t="n">
        <v>0.1404999941587448</v>
      </c>
      <c r="M909" t="inlineStr">
        <is>
          <t>이종곤</t>
        </is>
      </c>
      <c r="N909" t="inlineStr">
        <is>
          <t>043-276-2840</t>
        </is>
      </c>
      <c r="O909" t="inlineStr">
        <is>
          <t>043-276-2844</t>
        </is>
      </c>
      <c r="P909" s="3">
        <f>HYPERLINK("http://www.nidec.com/koidec-advancetechnology/", "http://www.nidec.com/koidec-advancetechnology/")</f>
        <v/>
      </c>
      <c r="Q909" t="inlineStr">
        <is>
          <t>3018149604</t>
        </is>
      </c>
      <c r="R909" t="inlineStr">
        <is>
          <t>1543110010865</t>
        </is>
      </c>
      <c r="S909" t="inlineStr">
        <is>
          <t>대상아님</t>
        </is>
      </c>
      <c r="T909" t="inlineStr">
        <is>
          <t>일반법인</t>
        </is>
      </c>
      <c r="U909" t="inlineStr">
        <is>
          <t>중소기업</t>
        </is>
      </c>
      <c r="V909" t="inlineStr">
        <is>
          <t>외부감사대상</t>
        </is>
      </c>
      <c r="W909" s="6" t="inlineStr">
        <is>
          <t>2001-01-30</t>
        </is>
      </c>
      <c r="X909" t="inlineStr">
        <is>
          <t>KRI:10C2721200</t>
        </is>
      </c>
      <c r="Y909" t="inlineStr">
        <is>
          <t>전자기 측정, 시험 및 분석기구 제조업</t>
        </is>
      </c>
      <c r="Z909" t="inlineStr">
        <is>
          <t>전자계측기기 제조,보수/PCB전기체크 검사</t>
        </is>
      </c>
      <c r="AA909" t="inlineStr">
        <is>
          <t>충북 청주시 흥덕구 봉명동 391-21번지</t>
        </is>
      </c>
      <c r="AB909" t="inlineStr">
        <is>
          <t>충북 청주시 흥덕구 송절로 10</t>
        </is>
      </c>
    </row>
    <row r="910" ht="19.2" customHeight="1" s="1">
      <c r="A910" t="inlineStr">
        <is>
          <t>NICE:006347</t>
        </is>
      </c>
      <c r="B910" t="inlineStr">
        <is>
          <t>새한실리켐</t>
        </is>
      </c>
      <c r="C910" s="5" t="n">
        <v>83696414000</v>
      </c>
      <c r="D910" s="5" t="n">
        <v>24212410000</v>
      </c>
      <c r="E910" s="5" t="n">
        <v>59484004000</v>
      </c>
      <c r="F910" s="5" t="n">
        <v>56769672000</v>
      </c>
      <c r="G910" s="5" t="n">
        <v>6561572000</v>
      </c>
      <c r="H910" s="5" t="n">
        <v>57970778000</v>
      </c>
      <c r="I910" s="5" t="n">
        <v>6410458000</v>
      </c>
      <c r="J910" s="4" t="n">
        <v>2.342499971389771</v>
      </c>
      <c r="K910" s="4" t="n">
        <v>0.4070000052452087</v>
      </c>
      <c r="L910" s="4" t="n">
        <v>0.1156000047922134</v>
      </c>
      <c r="M910" t="inlineStr">
        <is>
          <t>김광련</t>
        </is>
      </c>
      <c r="N910" t="inlineStr">
        <is>
          <t>031-433-1313</t>
        </is>
      </c>
      <c r="O910" t="inlineStr">
        <is>
          <t>031-433-1855</t>
        </is>
      </c>
      <c r="P910" s="3">
        <f>HYPERLINK("http://www.sscc.kr", "http://www.sscc.kr")</f>
        <v/>
      </c>
      <c r="Q910" t="inlineStr">
        <is>
          <t>2028142279</t>
        </is>
      </c>
      <c r="R910" t="inlineStr">
        <is>
          <t>1101110820575</t>
        </is>
      </c>
      <c r="S910" t="inlineStr">
        <is>
          <t>대상아님</t>
        </is>
      </c>
      <c r="T910" t="inlineStr">
        <is>
          <t>일반법인</t>
        </is>
      </c>
      <c r="U910" t="inlineStr">
        <is>
          <t>중소기업</t>
        </is>
      </c>
      <c r="V910" t="inlineStr">
        <is>
          <t>외부감사대상</t>
        </is>
      </c>
      <c r="W910" s="6" t="inlineStr">
        <is>
          <t>1973-10-01</t>
        </is>
      </c>
      <c r="X910" t="inlineStr">
        <is>
          <t>KRI:10C2049900</t>
        </is>
      </c>
      <c r="Y910" t="inlineStr">
        <is>
          <t>그 외 기타 분류 안된 화학제품 제조업</t>
        </is>
      </c>
      <c r="Z910" t="inlineStr">
        <is>
          <t>화공약품 제조,도소매/건물 관리/부동산 임대</t>
        </is>
      </c>
      <c r="AA910" t="inlineStr">
        <is>
          <t>경기 시흥시 정왕동 1235-1번지 101-1호</t>
        </is>
      </c>
      <c r="AB910" t="inlineStr">
        <is>
          <t>경기 시흥시 서해안로 208, 101-1호</t>
        </is>
      </c>
    </row>
    <row r="911" ht="19.2" customHeight="1" s="1">
      <c r="A911" t="inlineStr">
        <is>
          <t>NICE:295102</t>
        </is>
      </c>
      <c r="B911" t="inlineStr">
        <is>
          <t>한국호쿠쇼</t>
        </is>
      </c>
      <c r="C911" s="5" t="n">
        <v>78454250000</v>
      </c>
      <c r="D911" s="5" t="n">
        <v>36879261000</v>
      </c>
      <c r="E911" s="5" t="n">
        <v>41574989000</v>
      </c>
      <c r="F911" s="5" t="n">
        <v>41547431000</v>
      </c>
      <c r="G911" s="5" t="n">
        <v>5610899000</v>
      </c>
      <c r="H911" s="5" t="n">
        <v>45469306000</v>
      </c>
      <c r="I911" s="5" t="n">
        <v>5174142000</v>
      </c>
      <c r="J911" s="4" t="n">
        <v>2.074699878692627</v>
      </c>
      <c r="K911" s="4" t="n">
        <v>0.8870999813079834</v>
      </c>
      <c r="L911" s="4" t="n">
        <v>0.1349999904632568</v>
      </c>
      <c r="M911" t="inlineStr">
        <is>
          <t>성현모</t>
        </is>
      </c>
      <c r="N911" t="inlineStr">
        <is>
          <t>02-565-4521</t>
        </is>
      </c>
      <c r="O911" t="inlineStr">
        <is>
          <t>02-565-4522</t>
        </is>
      </c>
      <c r="P911" s="3">
        <f>HYPERLINK("http://www.hokusho.co.kr", "http://www.hokusho.co.kr")</f>
        <v/>
      </c>
      <c r="Q911" t="inlineStr">
        <is>
          <t>2208680280</t>
        </is>
      </c>
      <c r="R911" t="inlineStr">
        <is>
          <t>1101112962151</t>
        </is>
      </c>
      <c r="S911" t="inlineStr">
        <is>
          <t>대상아님</t>
        </is>
      </c>
      <c r="T911" t="inlineStr">
        <is>
          <t>일반법인</t>
        </is>
      </c>
      <c r="U911" t="inlineStr">
        <is>
          <t>중소기업</t>
        </is>
      </c>
      <c r="V911" t="inlineStr">
        <is>
          <t>외부감사대상</t>
        </is>
      </c>
      <c r="W911" s="6" t="inlineStr">
        <is>
          <t>2004-02-26</t>
        </is>
      </c>
      <c r="X911" t="inlineStr">
        <is>
          <t>KRI:10G4653900</t>
        </is>
      </c>
      <c r="Y911" t="inlineStr">
        <is>
          <t>기타 산업용 기계 및 장비 도매업</t>
        </is>
      </c>
      <c r="Z911" t="inlineStr">
        <is>
          <t>물류자동화설비 도소매,제작,설계</t>
        </is>
      </c>
      <c r="AA911" t="inlineStr">
        <is>
          <t>서울 강남구 대치동 944-23번지 한국호쿠쇼타워 16층</t>
        </is>
      </c>
      <c r="AB911" t="inlineStr">
        <is>
          <t>서울 강남구 테헤란로88길 15, 16층 (대치동,한국호쿠쇼타워)</t>
        </is>
      </c>
    </row>
    <row r="912" ht="19.2" customHeight="1" s="1">
      <c r="A912" t="inlineStr">
        <is>
          <t>NICE:049667</t>
        </is>
      </c>
      <c r="B912" t="inlineStr">
        <is>
          <t>가드너덴버코리아</t>
        </is>
      </c>
      <c r="C912" s="5" t="n">
        <v>73984860000</v>
      </c>
      <c r="D912" s="5" t="n">
        <v>34536039000</v>
      </c>
      <c r="E912" s="5" t="n">
        <v>39448822000</v>
      </c>
      <c r="F912" s="5" t="n">
        <v>84865820000</v>
      </c>
      <c r="G912" s="5" t="n">
        <v>9005755000</v>
      </c>
      <c r="H912" s="5" t="n">
        <v>66500294000</v>
      </c>
      <c r="I912" s="5" t="n">
        <v>12286882000</v>
      </c>
      <c r="J912" s="4" t="n">
        <v>1.846300005912781</v>
      </c>
      <c r="K912" s="4" t="n">
        <v>0.8755000233650208</v>
      </c>
      <c r="L912" s="4" t="n">
        <v>0.1060999929904938</v>
      </c>
      <c r="M912" t="inlineStr">
        <is>
          <t>앤드류알쉬슬/최병철/저우강시앙</t>
        </is>
      </c>
      <c r="N912" t="inlineStr">
        <is>
          <t>02-853-5000</t>
        </is>
      </c>
      <c r="O912" t="inlineStr">
        <is>
          <t>02-866-0833</t>
        </is>
      </c>
      <c r="P912" s="3">
        <f>HYPERLINK("http://www.gardnerdenver.com", "http://www.gardnerdenver.com")</f>
        <v/>
      </c>
      <c r="Q912" t="inlineStr">
        <is>
          <t>2138149796</t>
        </is>
      </c>
      <c r="R912" t="inlineStr">
        <is>
          <t>1101110817770</t>
        </is>
      </c>
      <c r="S912" t="inlineStr">
        <is>
          <t>대상아님</t>
        </is>
      </c>
      <c r="T912" t="inlineStr">
        <is>
          <t>일반법인</t>
        </is>
      </c>
      <c r="U912" t="inlineStr">
        <is>
          <t>중소기업</t>
        </is>
      </c>
      <c r="V912" t="inlineStr">
        <is>
          <t>외부감사대상</t>
        </is>
      </c>
      <c r="W912" s="6" t="inlineStr">
        <is>
          <t>1991-11-21</t>
        </is>
      </c>
      <c r="X912" t="inlineStr">
        <is>
          <t>KRI:10G4659900</t>
        </is>
      </c>
      <c r="Y912" t="inlineStr">
        <is>
          <t>그 외 기타 기계 및 장비 도매업</t>
        </is>
      </c>
      <c r="Z912" t="inlineStr">
        <is>
          <t>진공펌프,불로워,콤프레샤 도매,수출,오파,제조</t>
        </is>
      </c>
      <c r="AA912" t="inlineStr">
        <is>
          <t>경기 화성시 만세구 향남읍 하길리 1408-4번지</t>
        </is>
      </c>
      <c r="AB912" t="inlineStr">
        <is>
          <t>경기 화성시 만세구 향남읍 발안공단로 14</t>
        </is>
      </c>
    </row>
    <row r="913" s="1">
      <c r="A913" t="inlineStr">
        <is>
          <t>NICE:JB7562</t>
        </is>
      </c>
      <c r="B913" t="inlineStr">
        <is>
          <t>여수오션퀸즈파크골드</t>
        </is>
      </c>
      <c r="C913" s="5" t="n">
        <v>73792764000</v>
      </c>
      <c r="D913" s="5" t="n">
        <v>51208678000</v>
      </c>
      <c r="E913" s="5" t="n">
        <v>22584086000</v>
      </c>
      <c r="F913" s="5" t="n">
        <v>60150582000</v>
      </c>
      <c r="G913" s="5" t="n">
        <v>12591445000</v>
      </c>
      <c r="H913" s="5" t="n">
        <v>46928073000</v>
      </c>
      <c r="I913" s="5" t="n">
        <v>7304446000</v>
      </c>
      <c r="J913" s="4" t="n">
        <v>1.816799879074097</v>
      </c>
      <c r="K913" s="4" t="n">
        <v>2.267499923706055</v>
      </c>
      <c r="L913" s="4" t="n">
        <v>0.2092999964952469</v>
      </c>
      <c r="M913" t="inlineStr">
        <is>
          <t>김정아</t>
        </is>
      </c>
      <c r="N913" t="inlineStr">
        <is>
          <t>062-233-3999</t>
        </is>
      </c>
      <c r="O913" t="inlineStr">
        <is>
          <t>062-714-2668</t>
        </is>
      </c>
      <c r="Q913" t="inlineStr">
        <is>
          <t>6068800882</t>
        </is>
      </c>
      <c r="R913" t="inlineStr">
        <is>
          <t>2062110065801</t>
        </is>
      </c>
      <c r="S913" t="inlineStr">
        <is>
          <t>대상아님</t>
        </is>
      </c>
      <c r="T913" t="inlineStr">
        <is>
          <t>일반법인</t>
        </is>
      </c>
      <c r="U913" t="inlineStr">
        <is>
          <t>중소기업</t>
        </is>
      </c>
      <c r="V913" t="inlineStr">
        <is>
          <t>외부감사대상</t>
        </is>
      </c>
      <c r="W913" s="6" t="inlineStr">
        <is>
          <t>2018-04-18</t>
        </is>
      </c>
      <c r="X913" t="inlineStr">
        <is>
          <t>KRI:10L6812100</t>
        </is>
      </c>
      <c r="Y913" t="inlineStr">
        <is>
          <t>주거용 건물 개발 및 공급업</t>
        </is>
      </c>
      <c r="Z913" t="inlineStr">
        <is>
          <t>주택 분양,공급</t>
        </is>
      </c>
      <c r="AA913" t="inlineStr">
        <is>
          <t>광주 서구 화정동 180-12번지</t>
        </is>
      </c>
      <c r="AB913" t="inlineStr">
        <is>
          <t>광주 서구 상무대로 1101</t>
        </is>
      </c>
    </row>
    <row r="914" ht="19.2" customHeight="1" s="1">
      <c r="A914" t="inlineStr">
        <is>
          <t>NICE:934500</t>
        </is>
      </c>
      <c r="B914" t="inlineStr">
        <is>
          <t>화인테크놀리지</t>
        </is>
      </c>
      <c r="C914" s="5" t="n">
        <v>69543153000</v>
      </c>
      <c r="D914" s="5" t="n">
        <v>8537431000</v>
      </c>
      <c r="E914" s="5" t="n">
        <v>61005722000</v>
      </c>
      <c r="F914" s="5" t="n">
        <v>37704964000</v>
      </c>
      <c r="G914" s="5" t="n">
        <v>4653142000</v>
      </c>
      <c r="H914" s="5" t="n">
        <v>31658203000</v>
      </c>
      <c r="I914" s="5" t="n">
        <v>3353488000</v>
      </c>
      <c r="J914" s="4" t="n">
        <v>18.42199897766113</v>
      </c>
      <c r="K914" s="4" t="n">
        <v>0.1398999989032745</v>
      </c>
      <c r="L914" s="4" t="n">
        <v>0.1233999952673912</v>
      </c>
      <c r="M914" t="inlineStr">
        <is>
          <t>서영옥/이봉순</t>
        </is>
      </c>
      <c r="N914" t="inlineStr">
        <is>
          <t>055-362-8110</t>
        </is>
      </c>
      <c r="O914" t="inlineStr">
        <is>
          <t>055-362-8112</t>
        </is>
      </c>
      <c r="P914" s="3">
        <f>HYPERLINK("http://www.finetechnology.co.kr", "http://www.finetechnology.co.kr")</f>
        <v/>
      </c>
      <c r="Q914" t="inlineStr">
        <is>
          <t>6218131371</t>
        </is>
      </c>
      <c r="R914" t="inlineStr">
        <is>
          <t>1845110019297</t>
        </is>
      </c>
      <c r="S914" t="inlineStr">
        <is>
          <t>대상아님</t>
        </is>
      </c>
      <c r="T914" t="inlineStr">
        <is>
          <t>일반법인</t>
        </is>
      </c>
      <c r="U914" t="inlineStr">
        <is>
          <t>중소기업</t>
        </is>
      </c>
      <c r="V914" t="inlineStr">
        <is>
          <t>외부감사대상</t>
        </is>
      </c>
      <c r="W914" s="6" t="inlineStr">
        <is>
          <t>1998-09-07</t>
        </is>
      </c>
      <c r="X914" t="inlineStr">
        <is>
          <t>KRI:10C2229100</t>
        </is>
      </c>
      <c r="Y914" t="inlineStr">
        <is>
          <t>플라스틱 접착처리 제품 제조업</t>
        </is>
      </c>
      <c r="Z914" t="inlineStr">
        <is>
          <t>접착테이프,플라스틱필름,시트,판 제조</t>
        </is>
      </c>
      <c r="AA914" t="inlineStr">
        <is>
          <t>경남 양산시 어곡동 869-5번지</t>
        </is>
      </c>
      <c r="AB914" t="inlineStr">
        <is>
          <t>경남 양산시 어곡공단1길 10</t>
        </is>
      </c>
    </row>
    <row r="915" ht="19.2" customHeight="1" s="1">
      <c r="A915" t="inlineStr">
        <is>
          <t>NICE:499333</t>
        </is>
      </c>
      <c r="B915" t="inlineStr">
        <is>
          <t>무브인터렉티브</t>
        </is>
      </c>
      <c r="C915" s="5" t="n">
        <v>69266662000</v>
      </c>
      <c r="D915" s="5" t="n">
        <v>35005565000</v>
      </c>
      <c r="E915" s="5" t="n">
        <v>34261097000</v>
      </c>
      <c r="F915" s="5" t="n">
        <v>40131042000</v>
      </c>
      <c r="G915" s="5" t="n">
        <v>6255271000</v>
      </c>
      <c r="H915" s="5" t="n">
        <v>29842032000</v>
      </c>
      <c r="I915" s="5" t="n">
        <v>2763108000</v>
      </c>
      <c r="J915" s="4" t="n">
        <v>2.061899900436401</v>
      </c>
      <c r="K915" s="4" t="n">
        <v>1.021699905395508</v>
      </c>
      <c r="L915" s="4" t="n">
        <v>0.1559000015258789</v>
      </c>
      <c r="M915" t="inlineStr">
        <is>
          <t>김동성</t>
        </is>
      </c>
      <c r="N915" t="inlineStr">
        <is>
          <t>1566-6932</t>
        </is>
      </c>
      <c r="O915" t="inlineStr">
        <is>
          <t>0507-555-0789</t>
        </is>
      </c>
      <c r="P915" s="3">
        <f>HYPERLINK("http://www.moveint.io", "http://www.moveint.io")</f>
        <v/>
      </c>
      <c r="Q915" t="inlineStr">
        <is>
          <t>3148148576</t>
        </is>
      </c>
      <c r="R915" t="inlineStr">
        <is>
          <t>1601110102246</t>
        </is>
      </c>
      <c r="S915" t="inlineStr">
        <is>
          <t>대상아님</t>
        </is>
      </c>
      <c r="T915" t="inlineStr">
        <is>
          <t>일반법인</t>
        </is>
      </c>
      <c r="U915" t="inlineStr">
        <is>
          <t>중소기업</t>
        </is>
      </c>
      <c r="V915" t="inlineStr">
        <is>
          <t>외부감사대상</t>
        </is>
      </c>
      <c r="W915" s="6" t="inlineStr">
        <is>
          <t>2002-02-25</t>
        </is>
      </c>
      <c r="X915" t="inlineStr">
        <is>
          <t>KRI:10J5821100</t>
        </is>
      </c>
      <c r="Y915" t="inlineStr">
        <is>
          <t>유선 온라인 게임 소프트웨어 개발 및 공급업</t>
        </is>
      </c>
      <c r="Z915" t="inlineStr">
        <is>
          <t>유선온라인,모바일게임소프트웨어 개발,공급,문화컨텐츠 제작/전자상거래</t>
        </is>
      </c>
      <c r="AA915" t="inlineStr">
        <is>
          <t>서울 마포구 상암동 1602번지 서울경제진흥원 2층 디-17호</t>
        </is>
      </c>
      <c r="AB915" t="inlineStr">
        <is>
          <t>서울 마포구 월드컵북로 400, 디-17호 (상암동,서울경제진흥원 2층)</t>
        </is>
      </c>
    </row>
    <row r="916" ht="19.2" customHeight="1" s="1">
      <c r="A916" t="inlineStr">
        <is>
          <t>NICE:390593</t>
        </is>
      </c>
      <c r="B916" t="inlineStr">
        <is>
          <t>제일스포츠센타</t>
        </is>
      </c>
      <c r="C916" s="5" t="n">
        <v>69236990000</v>
      </c>
      <c r="D916" s="5" t="n">
        <v>32835284000</v>
      </c>
      <c r="E916" s="5" t="n">
        <v>36401707000</v>
      </c>
      <c r="F916" s="5" t="n">
        <v>29670714000</v>
      </c>
      <c r="G916" s="5" t="n">
        <v>9832025000</v>
      </c>
      <c r="H916" s="5" t="n">
        <v>29755453000</v>
      </c>
      <c r="I916" s="5" t="n">
        <v>10229193000</v>
      </c>
      <c r="J916" s="4" t="n">
        <v>4.84499979019165</v>
      </c>
      <c r="K916" s="4" t="n">
        <v>0.9019999504089355</v>
      </c>
      <c r="L916" s="4" t="n">
        <v>0.3313999772071838</v>
      </c>
      <c r="M916" t="inlineStr">
        <is>
          <t>아세미쯔히로</t>
        </is>
      </c>
      <c r="N916" t="inlineStr">
        <is>
          <t>031-400-2500</t>
        </is>
      </c>
      <c r="O916" t="inlineStr">
        <is>
          <t>031-416-4001</t>
        </is>
      </c>
      <c r="P916" s="3">
        <f>HYPERLINK("http://www.jaeil-cc.co.kr", "http://www.jaeil-cc.co.kr")</f>
        <v/>
      </c>
      <c r="Q916" t="inlineStr">
        <is>
          <t>1348103615</t>
        </is>
      </c>
      <c r="R916" t="inlineStr">
        <is>
          <t>1301110009836</t>
        </is>
      </c>
      <c r="S916" t="inlineStr">
        <is>
          <t>대상아님</t>
        </is>
      </c>
      <c r="T916" t="inlineStr">
        <is>
          <t>일반법인</t>
        </is>
      </c>
      <c r="U916" t="inlineStr">
        <is>
          <t>중소기업</t>
        </is>
      </c>
      <c r="V916" t="inlineStr">
        <is>
          <t>외부감사대상</t>
        </is>
      </c>
      <c r="W916" s="6" t="inlineStr">
        <is>
          <t>1982-11-02</t>
        </is>
      </c>
      <c r="X916" t="inlineStr">
        <is>
          <t>KRI:10R9112100</t>
        </is>
      </c>
      <c r="Y916" t="inlineStr">
        <is>
          <t>골프장 운영업</t>
        </is>
      </c>
      <c r="Z916" t="inlineStr">
        <is>
          <t>골프장,체육시설 운영</t>
        </is>
      </c>
      <c r="AA916" t="inlineStr">
        <is>
          <t>경기 안산시 상록구 부곡동 587번지</t>
        </is>
      </c>
      <c r="AB916" t="inlineStr">
        <is>
          <t>경기 안산시 상록구 태마당로 28</t>
        </is>
      </c>
    </row>
    <row r="917" s="1">
      <c r="A917" t="inlineStr">
        <is>
          <t>NICE:428671</t>
        </is>
      </c>
      <c r="B917" t="inlineStr">
        <is>
          <t>움트리</t>
        </is>
      </c>
      <c r="C917" s="5" t="n">
        <v>68958863000</v>
      </c>
      <c r="D917" s="5" t="n">
        <v>8043103000</v>
      </c>
      <c r="E917" s="5" t="n">
        <v>60915761000</v>
      </c>
      <c r="F917" s="5" t="n">
        <v>58977037000</v>
      </c>
      <c r="G917" s="5" t="n">
        <v>11526658000</v>
      </c>
      <c r="H917" s="5" t="n">
        <v>57298654000</v>
      </c>
      <c r="I917" s="5" t="n">
        <v>10018366000</v>
      </c>
      <c r="J917" s="4" t="n">
        <v>4.699999809265137</v>
      </c>
      <c r="K917" s="4" t="n">
        <v>0.1319999992847443</v>
      </c>
      <c r="L917" s="4" t="n">
        <v>0.1953999996185303</v>
      </c>
      <c r="M917" t="inlineStr">
        <is>
          <t>김상희/김우택/오금례</t>
        </is>
      </c>
      <c r="N917" t="inlineStr">
        <is>
          <t>031-531-5670</t>
        </is>
      </c>
      <c r="O917" t="inlineStr">
        <is>
          <t>031-531-5679</t>
        </is>
      </c>
      <c r="P917">
        <f>HYPERLINK("http://www.woomtree.co.kr", "http://www.woomtree.co.kr")</f>
        <v/>
      </c>
      <c r="Q917" t="inlineStr">
        <is>
          <t>1288124779</t>
        </is>
      </c>
      <c r="R917" t="inlineStr">
        <is>
          <t>1159110013434</t>
        </is>
      </c>
      <c r="S917" t="inlineStr">
        <is>
          <t>대상아님</t>
        </is>
      </c>
      <c r="T917" t="inlineStr">
        <is>
          <t>일반법인</t>
        </is>
      </c>
      <c r="U917" t="inlineStr">
        <is>
          <t>중소기업</t>
        </is>
      </c>
      <c r="V917" t="inlineStr">
        <is>
          <t>외부감사대상</t>
        </is>
      </c>
      <c r="W917" s="6" t="inlineStr">
        <is>
          <t>1978-10-01</t>
        </is>
      </c>
      <c r="X917" t="inlineStr">
        <is>
          <t>KRI:10C1074200</t>
        </is>
      </c>
      <c r="Y917" t="inlineStr">
        <is>
          <t>천연 및 혼합조제 조미료 제조업</t>
        </is>
      </c>
      <c r="Z917" t="inlineStr">
        <is>
          <t>식품(후추,장류) 제조,도매/무역,통신판매</t>
        </is>
      </c>
      <c r="AA917" t="inlineStr">
        <is>
          <t>경기 포천시 창수면 오가리 523번지</t>
        </is>
      </c>
      <c r="AB917" t="inlineStr">
        <is>
          <t>경기 포천시 창수면 전영로 1206</t>
        </is>
      </c>
    </row>
    <row r="918" ht="19.2" customHeight="1" s="1">
      <c r="A918" t="inlineStr">
        <is>
          <t>NICE:469330</t>
        </is>
      </c>
      <c r="B918" t="inlineStr">
        <is>
          <t>태영그레인터미널</t>
        </is>
      </c>
      <c r="C918" s="5" t="n">
        <v>68775323000</v>
      </c>
      <c r="D918" s="5" t="n">
        <v>3292381000</v>
      </c>
      <c r="E918" s="5" t="n">
        <v>65482942000</v>
      </c>
      <c r="F918" s="5" t="n">
        <v>33928407000</v>
      </c>
      <c r="G918" s="5" t="n">
        <v>10606514000</v>
      </c>
      <c r="H918" s="5" t="n">
        <v>32656370000</v>
      </c>
      <c r="I918" s="5" t="n">
        <v>8573690000</v>
      </c>
      <c r="J918" s="4" t="n">
        <v>12.18989944458008</v>
      </c>
      <c r="K918" s="4" t="n">
        <v>0.0503000020980835</v>
      </c>
      <c r="L918" s="4" t="n">
        <v>0.3125999867916107</v>
      </c>
      <c r="M918" t="inlineStr">
        <is>
          <t>여태현</t>
        </is>
      </c>
      <c r="N918" t="inlineStr">
        <is>
          <t>031-8053-2100</t>
        </is>
      </c>
      <c r="O918" t="inlineStr">
        <is>
          <t>031-8053-2101</t>
        </is>
      </c>
      <c r="P918" s="3">
        <f>HYPERLINK("http://www.tygt.co.kr", "http://www.tygt.co.kr")</f>
        <v/>
      </c>
      <c r="Q918" t="inlineStr">
        <is>
          <t>1388131490</t>
        </is>
      </c>
      <c r="R918" t="inlineStr">
        <is>
          <t>1341110136304</t>
        </is>
      </c>
      <c r="S918" t="inlineStr">
        <is>
          <t>대상아님</t>
        </is>
      </c>
      <c r="T918" t="inlineStr">
        <is>
          <t>일반법인</t>
        </is>
      </c>
      <c r="U918" t="inlineStr">
        <is>
          <t>중소기업</t>
        </is>
      </c>
      <c r="V918" t="inlineStr">
        <is>
          <t>외부감사대상</t>
        </is>
      </c>
      <c r="W918" s="6" t="inlineStr">
        <is>
          <t>2005-12-19</t>
        </is>
      </c>
      <c r="X918" t="inlineStr">
        <is>
          <t>KRI:10H5294200</t>
        </is>
      </c>
      <c r="Y918" t="inlineStr">
        <is>
          <t>수상 화물 취급업</t>
        </is>
      </c>
      <c r="Z918" t="inlineStr">
        <is>
          <t>수상화물 취급/부동산 임대</t>
        </is>
      </c>
      <c r="AA918" t="inlineStr">
        <is>
          <t>경기 평택시 포승읍 신영리 952번지</t>
        </is>
      </c>
      <c r="AB918" t="inlineStr">
        <is>
          <t>경기 평택시 포승읍 평택항안로 55</t>
        </is>
      </c>
    </row>
    <row r="919" ht="19.2" customHeight="1" s="1">
      <c r="A919" t="inlineStr">
        <is>
          <t>NICE:H98259</t>
        </is>
      </c>
      <c r="B919" t="inlineStr">
        <is>
          <t>해성선박</t>
        </is>
      </c>
      <c r="C919" s="5" t="n">
        <v>66310357000</v>
      </c>
      <c r="D919" s="5" t="n">
        <v>37487680000</v>
      </c>
      <c r="E919" s="5" t="n">
        <v>28822677000</v>
      </c>
      <c r="F919" s="5" t="n">
        <v>28798851000</v>
      </c>
      <c r="G919" s="5" t="n">
        <v>6261642000</v>
      </c>
      <c r="H919" s="5" t="n">
        <v>19398942000</v>
      </c>
      <c r="I919" s="5" t="n">
        <v>6134701000</v>
      </c>
      <c r="J919" s="4" t="n">
        <v>0.7556999921798706</v>
      </c>
      <c r="K919" s="4" t="n">
        <v>1.300599932670593</v>
      </c>
      <c r="L919" s="4" t="n">
        <v>0.217399999499321</v>
      </c>
      <c r="M919" t="inlineStr">
        <is>
          <t>이재철/이홍주</t>
        </is>
      </c>
      <c r="N919" t="inlineStr">
        <is>
          <t>052-256-9701</t>
        </is>
      </c>
      <c r="O919" t="inlineStr">
        <is>
          <t>052-256-9703</t>
        </is>
      </c>
      <c r="P919" s="3" t="n"/>
      <c r="Q919" t="inlineStr">
        <is>
          <t>6058612663</t>
        </is>
      </c>
      <c r="R919" t="inlineStr">
        <is>
          <t>1801110801711</t>
        </is>
      </c>
      <c r="S919" t="inlineStr">
        <is>
          <t>대상아님</t>
        </is>
      </c>
      <c r="T919" t="inlineStr">
        <is>
          <t>일반법인</t>
        </is>
      </c>
      <c r="U919" t="inlineStr">
        <is>
          <t>중소기업</t>
        </is>
      </c>
      <c r="V919" t="inlineStr">
        <is>
          <t>외부감사대상</t>
        </is>
      </c>
      <c r="W919" s="6" t="inlineStr">
        <is>
          <t>2012-03-27</t>
        </is>
      </c>
      <c r="X919" t="inlineStr">
        <is>
          <t>KRI:10H5012200</t>
        </is>
      </c>
      <c r="Y919" t="inlineStr">
        <is>
          <t>내항 화물 운송업</t>
        </is>
      </c>
      <c r="Z919" t="inlineStr">
        <is>
          <t>해상(내항화물),유조선 운송,선박 대여</t>
        </is>
      </c>
      <c r="AA919" t="inlineStr">
        <is>
          <t>울산 남구 장생포동 79번지 2층</t>
        </is>
      </c>
      <c r="AB919" t="inlineStr">
        <is>
          <t>울산 남구 장생포고래로197번길 13, 2층</t>
        </is>
      </c>
    </row>
    <row r="920" ht="19.2" customHeight="1" s="1">
      <c r="A920" t="inlineStr">
        <is>
          <t>NICE:724475</t>
        </is>
      </c>
      <c r="B920" t="inlineStr">
        <is>
          <t>사마스전자</t>
        </is>
      </c>
      <c r="C920" s="5" t="n">
        <v>65576347000</v>
      </c>
      <c r="D920" s="5" t="n">
        <v>24289625000</v>
      </c>
      <c r="E920" s="5" t="n">
        <v>41286721000</v>
      </c>
      <c r="F920" s="5" t="n">
        <v>80068305000</v>
      </c>
      <c r="G920" s="5" t="n">
        <v>8054568000</v>
      </c>
      <c r="H920" s="5" t="n">
        <v>78553682000</v>
      </c>
      <c r="I920" s="5" t="n">
        <v>7953188000</v>
      </c>
      <c r="J920" s="4" t="n">
        <v>3.034800052642822</v>
      </c>
      <c r="K920" s="4" t="n">
        <v>0.5882999897003174</v>
      </c>
      <c r="L920" s="4" t="n">
        <v>0.100600004196167</v>
      </c>
      <c r="M920" t="inlineStr">
        <is>
          <t>박노원</t>
        </is>
      </c>
      <c r="N920" t="inlineStr">
        <is>
          <t>02-2143-5943</t>
        </is>
      </c>
      <c r="O920" t="inlineStr">
        <is>
          <t>02-3431-5941</t>
        </is>
      </c>
      <c r="P920" s="3">
        <f>HYPERLINK("http://www.samas.co.kr", "http://www.samas.co.kr")</f>
        <v/>
      </c>
      <c r="Q920" t="inlineStr">
        <is>
          <t>3078111111</t>
        </is>
      </c>
      <c r="R920" t="inlineStr">
        <is>
          <t>1646110001379</t>
        </is>
      </c>
      <c r="S920" t="inlineStr">
        <is>
          <t>대상아님</t>
        </is>
      </c>
      <c r="T920" t="inlineStr">
        <is>
          <t>일반법인</t>
        </is>
      </c>
      <c r="U920" t="inlineStr">
        <is>
          <t>중소기업</t>
        </is>
      </c>
      <c r="V920" t="inlineStr">
        <is>
          <t>외부감사대상</t>
        </is>
      </c>
      <c r="W920" s="6" t="inlineStr">
        <is>
          <t>1997-09-19</t>
        </is>
      </c>
      <c r="X920" t="inlineStr">
        <is>
          <t>KRI:10C3039900</t>
        </is>
      </c>
      <c r="Y920" t="inlineStr">
        <is>
          <t>그 외 자동차용 신품 부품 제조업</t>
        </is>
      </c>
      <c r="Z920" t="inlineStr">
        <is>
          <t>자동차부품 제조,판매</t>
        </is>
      </c>
      <c r="AA920" t="inlineStr">
        <is>
          <t>서울 송파구 방이동 24-3번지 제이타워 6층</t>
        </is>
      </c>
      <c r="AB920" t="inlineStr">
        <is>
          <t>서울 송파구 오금로11길 7, 6층 (방이동,제이타워)</t>
        </is>
      </c>
    </row>
    <row r="921" ht="19.2" customHeight="1" s="1">
      <c r="A921" t="inlineStr">
        <is>
          <t>NICE:158673</t>
        </is>
      </c>
      <c r="B921" t="inlineStr">
        <is>
          <t>삼건세기</t>
        </is>
      </c>
      <c r="C921" s="5" t="n">
        <v>53389536000</v>
      </c>
      <c r="D921" s="5" t="n">
        <v>16084538000</v>
      </c>
      <c r="E921" s="5" t="n">
        <v>37304998000</v>
      </c>
      <c r="F921" s="5" t="n">
        <v>47014991000</v>
      </c>
      <c r="G921" s="5" t="n">
        <v>11085233000</v>
      </c>
      <c r="H921" s="5" t="n">
        <v>39555855000</v>
      </c>
      <c r="I921" s="5" t="n">
        <v>2425538000</v>
      </c>
      <c r="J921" s="4" t="n">
        <v>1.375699996948242</v>
      </c>
      <c r="K921" s="4" t="n">
        <v>0.4311999678611755</v>
      </c>
      <c r="L921" s="4" t="n">
        <v>0.2357999980449677</v>
      </c>
      <c r="M921" t="inlineStr">
        <is>
          <t>강정일</t>
        </is>
      </c>
      <c r="N921" t="inlineStr">
        <is>
          <t>055-338-3030</t>
        </is>
      </c>
      <c r="O921" t="inlineStr">
        <is>
          <t>0303-3440-2996</t>
        </is>
      </c>
      <c r="P921" s="3">
        <f>HYPERLINK("http://www.samkunok.com", "http://www.samkunok.com")</f>
        <v/>
      </c>
      <c r="Q921" t="inlineStr">
        <is>
          <t>6218129496</t>
        </is>
      </c>
      <c r="R921" t="inlineStr">
        <is>
          <t>1845110018190</t>
        </is>
      </c>
      <c r="S921" t="inlineStr">
        <is>
          <t>대상아님</t>
        </is>
      </c>
      <c r="T921" t="inlineStr">
        <is>
          <t>일반법인</t>
        </is>
      </c>
      <c r="U921" t="inlineStr">
        <is>
          <t>중소기업</t>
        </is>
      </c>
      <c r="V921" t="inlineStr">
        <is>
          <t>외부감사대상</t>
        </is>
      </c>
      <c r="W921" s="6" t="inlineStr">
        <is>
          <t>1989-11-01</t>
        </is>
      </c>
      <c r="X921" t="inlineStr">
        <is>
          <t>KRI:10C2917500</t>
        </is>
      </c>
      <c r="Y921" t="inlineStr">
        <is>
          <t>액체 여과기 제조업</t>
        </is>
      </c>
      <c r="Z921" t="inlineStr">
        <is>
          <t>액체여과기,조선기자재,공조기기,상수도배관 제조</t>
        </is>
      </c>
      <c r="AA921" t="inlineStr">
        <is>
          <t>경남 밀양시 삼랑진읍 율동리 197-12번지</t>
        </is>
      </c>
      <c r="AB921" t="inlineStr">
        <is>
          <t>경남 밀양시 삼랑진읍 미율로 405</t>
        </is>
      </c>
    </row>
    <row r="922" ht="19.2" customHeight="1" s="1">
      <c r="A922" t="inlineStr">
        <is>
          <t>NICE:G42228</t>
        </is>
      </c>
      <c r="B922" t="inlineStr">
        <is>
          <t>휴민로보틱스</t>
        </is>
      </c>
      <c r="C922" s="5" t="n">
        <v>50255425000</v>
      </c>
      <c r="D922" s="5" t="n">
        <v>36752626000</v>
      </c>
      <c r="E922" s="5" t="n">
        <v>13502799000</v>
      </c>
      <c r="F922" s="5" t="n">
        <v>61265183000</v>
      </c>
      <c r="G922" s="5" t="n">
        <v>7648022000</v>
      </c>
      <c r="H922" s="5" t="n">
        <v>99849687000</v>
      </c>
      <c r="I922" s="5" t="n">
        <v>3991892000</v>
      </c>
      <c r="J922" s="4" t="n">
        <v>0.9880000352859497</v>
      </c>
      <c r="K922" s="4" t="n">
        <v>2.72189998626709</v>
      </c>
      <c r="L922" s="4" t="n">
        <v>0.1247999891638756</v>
      </c>
      <c r="M922" t="inlineStr">
        <is>
          <t>서종휘</t>
        </is>
      </c>
      <c r="N922" t="inlineStr">
        <is>
          <t>041-529-3896</t>
        </is>
      </c>
      <c r="O922" t="inlineStr">
        <is>
          <t>041-581-3001</t>
        </is>
      </c>
      <c r="P922" s="3">
        <f>HYPERLINK("http://www.huminrobotics.co.kr", "http://www.huminrobotics.co.kr")</f>
        <v/>
      </c>
      <c r="Q922" t="inlineStr">
        <is>
          <t>3128613886</t>
        </is>
      </c>
      <c r="R922" t="inlineStr">
        <is>
          <t>1615110114458</t>
        </is>
      </c>
      <c r="S922" t="inlineStr">
        <is>
          <t>대상아님</t>
        </is>
      </c>
      <c r="T922" t="inlineStr">
        <is>
          <t>일반법인</t>
        </is>
      </c>
      <c r="U922" t="inlineStr">
        <is>
          <t>중소기업</t>
        </is>
      </c>
      <c r="V922" t="inlineStr">
        <is>
          <t>외부감사대상</t>
        </is>
      </c>
      <c r="W922" s="6" t="inlineStr">
        <is>
          <t>2010-01-27</t>
        </is>
      </c>
      <c r="X922" t="inlineStr">
        <is>
          <t>KRI:10C2927100</t>
        </is>
      </c>
      <c r="Y922" t="inlineStr">
        <is>
          <t>반도체 제조용 기계 제조업</t>
        </is>
      </c>
      <c r="Z922" t="inlineStr">
        <is>
          <t>반도체장비,2차전지자동화장비 제조</t>
        </is>
      </c>
      <c r="AA922" t="inlineStr">
        <is>
          <t>충남 천안시 서북구 직산읍 군서리 209번지</t>
        </is>
      </c>
      <c r="AB922" t="inlineStr">
        <is>
          <t>충남 천안시 서북구 직산읍 군수1길 193</t>
        </is>
      </c>
    </row>
    <row r="923" ht="19.2" customHeight="1" s="1">
      <c r="A923" t="inlineStr">
        <is>
          <t>NICE:165133</t>
        </is>
      </c>
      <c r="B923" t="inlineStr">
        <is>
          <t>펨코엔지니어링건축사사무소</t>
        </is>
      </c>
      <c r="C923" s="5" t="n">
        <v>44176956000</v>
      </c>
      <c r="D923" s="5" t="n">
        <v>10680816000</v>
      </c>
      <c r="E923" s="5" t="n">
        <v>33496140000</v>
      </c>
      <c r="F923" s="5" t="n">
        <v>46493528000</v>
      </c>
      <c r="G923" s="5" t="n">
        <v>6530372000</v>
      </c>
      <c r="H923" s="5" t="n">
        <v>41923022000</v>
      </c>
      <c r="I923" s="5" t="n">
        <v>5613195000</v>
      </c>
      <c r="J923" s="4" t="n">
        <v>2.261899948120117</v>
      </c>
      <c r="K923" s="4" t="n">
        <v>0.3188999891281128</v>
      </c>
      <c r="L923" s="4" t="n">
        <v>0.1404999941587448</v>
      </c>
      <c r="M923" t="inlineStr">
        <is>
          <t>류중수/홍정선</t>
        </is>
      </c>
      <c r="N923" t="inlineStr">
        <is>
          <t>070-4700-3165</t>
        </is>
      </c>
      <c r="O923" t="inlineStr">
        <is>
          <t>070-4700-3180</t>
        </is>
      </c>
      <c r="P923" s="3">
        <f>HYPERLINK("http://www.pemcocm.com", "http://www.pemcocm.com")</f>
        <v/>
      </c>
      <c r="Q923" t="inlineStr">
        <is>
          <t>5138111531</t>
        </is>
      </c>
      <c r="R923" t="inlineStr">
        <is>
          <t>1760110013827</t>
        </is>
      </c>
      <c r="S923" t="inlineStr">
        <is>
          <t>대상아님</t>
        </is>
      </c>
      <c r="T923" t="inlineStr">
        <is>
          <t>일반법인</t>
        </is>
      </c>
      <c r="U923" t="inlineStr">
        <is>
          <t>중소기업</t>
        </is>
      </c>
      <c r="V923" t="inlineStr">
        <is>
          <t>외부감사대상</t>
        </is>
      </c>
      <c r="W923" s="6" t="inlineStr">
        <is>
          <t>1997-01-30</t>
        </is>
      </c>
      <c r="X923" t="inlineStr">
        <is>
          <t>KRI:10M7211100</t>
        </is>
      </c>
      <c r="Y923" t="inlineStr">
        <is>
          <t>건축설계 및 관련 서비스업</t>
        </is>
      </c>
      <c r="Z923" t="inlineStr">
        <is>
          <t>건축 설계,시공감리</t>
        </is>
      </c>
      <c r="AA923" t="inlineStr">
        <is>
          <t>서울 서초구 서초동 1586-6번지 펨코사옥</t>
        </is>
      </c>
      <c r="AB923" t="inlineStr">
        <is>
          <t>서울 서초구 반포대로12길 30 (서초동,펨코사옥)</t>
        </is>
      </c>
    </row>
    <row r="924" ht="19.2" customHeight="1" s="1">
      <c r="A924" t="inlineStr">
        <is>
          <t>NICE:661414</t>
        </is>
      </c>
      <c r="B924" t="inlineStr">
        <is>
          <t>한미에프쓰리</t>
        </is>
      </c>
      <c r="C924" s="5" t="n">
        <v>43783420000</v>
      </c>
      <c r="D924" s="5" t="n">
        <v>11366423000</v>
      </c>
      <c r="E924" s="5" t="n">
        <v>32416997000</v>
      </c>
      <c r="F924" s="5" t="n">
        <v>42423249000</v>
      </c>
      <c r="G924" s="5" t="n">
        <v>4298674000</v>
      </c>
      <c r="H924" s="5" t="n">
        <v>38829132000</v>
      </c>
      <c r="I924" s="5" t="n">
        <v>3950146000</v>
      </c>
      <c r="J924" s="4" t="n">
        <v>1.135499954223633</v>
      </c>
      <c r="K924" s="4" t="n">
        <v>0.350600004196167</v>
      </c>
      <c r="L924" s="4" t="n">
        <v>0.1013000011444092</v>
      </c>
      <c r="M924" t="inlineStr">
        <is>
          <t>장덕철</t>
        </is>
      </c>
      <c r="N924" t="inlineStr">
        <is>
          <t>041-531-5289</t>
        </is>
      </c>
      <c r="O924" t="inlineStr">
        <is>
          <t>041-531-5252</t>
        </is>
      </c>
      <c r="P924" s="3">
        <f>HYPERLINK("http://www.hanmif3.co.kr", "http://www.hanmif3.co.kr")</f>
        <v/>
      </c>
      <c r="Q924" t="inlineStr">
        <is>
          <t>1258105282</t>
        </is>
      </c>
      <c r="R924" t="inlineStr">
        <is>
          <t>1101110540878</t>
        </is>
      </c>
      <c r="S924" t="inlineStr">
        <is>
          <t>대상아님</t>
        </is>
      </c>
      <c r="T924" t="inlineStr">
        <is>
          <t>일반법인</t>
        </is>
      </c>
      <c r="U924" t="inlineStr">
        <is>
          <t>중소기업</t>
        </is>
      </c>
      <c r="V924" t="inlineStr">
        <is>
          <t>외부감사대상</t>
        </is>
      </c>
      <c r="W924" s="6" t="inlineStr">
        <is>
          <t>1987-09-12</t>
        </is>
      </c>
      <c r="X924" t="inlineStr">
        <is>
          <t>KRI:10C1030200</t>
        </is>
      </c>
      <c r="Y924" t="inlineStr">
        <is>
          <t>과실 및 그 외 채소 절임식품 제조업</t>
        </is>
      </c>
      <c r="Z924" t="inlineStr">
        <is>
          <t>과실채소절임식품,식품첨가물,조미식품,식품 제조,도소매,무역/부동산 임대</t>
        </is>
      </c>
      <c r="AA924" t="inlineStr">
        <is>
          <t>충남 아산시 둔포면 관대리 207-21번지</t>
        </is>
      </c>
      <c r="AB924" t="inlineStr">
        <is>
          <t>충남 아산시 둔포면 충무로 1342</t>
        </is>
      </c>
    </row>
    <row r="925" ht="19.2" customHeight="1" s="1">
      <c r="A925" t="inlineStr">
        <is>
          <t>NICE:694979</t>
        </is>
      </c>
      <c r="B925" t="inlineStr">
        <is>
          <t>다림티센</t>
        </is>
      </c>
      <c r="C925" s="5" t="n">
        <v>35346143000</v>
      </c>
      <c r="D925" s="5" t="n">
        <v>17130920000</v>
      </c>
      <c r="E925" s="5" t="n">
        <v>18215223000</v>
      </c>
      <c r="F925" s="5" t="n">
        <v>30551330000</v>
      </c>
      <c r="G925" s="5" t="n">
        <v>8547573000</v>
      </c>
      <c r="H925" s="5" t="n">
        <v>25010442000</v>
      </c>
      <c r="I925" s="5" t="n">
        <v>6941535000</v>
      </c>
      <c r="J925" s="4" t="n">
        <v>1.835299968719482</v>
      </c>
      <c r="K925" s="4" t="n">
        <v>0.940500020980835</v>
      </c>
      <c r="L925" s="4" t="n">
        <v>0.2797999978065491</v>
      </c>
      <c r="M925" t="inlineStr">
        <is>
          <t>정종섭/정환규</t>
        </is>
      </c>
      <c r="N925" t="inlineStr">
        <is>
          <t>02-3142-0846</t>
        </is>
      </c>
      <c r="O925" t="inlineStr">
        <is>
          <t>02-3142-0847</t>
        </is>
      </c>
      <c r="P925" s="3">
        <f>HYPERLINK("https://www.dalimtissen.com", "https://www.dalimtissen.com")</f>
        <v/>
      </c>
      <c r="Q925" t="inlineStr">
        <is>
          <t>1058688474</t>
        </is>
      </c>
      <c r="R925" t="inlineStr">
        <is>
          <t>1101113387580</t>
        </is>
      </c>
      <c r="S925" t="inlineStr">
        <is>
          <t>대상아님</t>
        </is>
      </c>
      <c r="T925" t="inlineStr">
        <is>
          <t>일반법인</t>
        </is>
      </c>
      <c r="U925" t="inlineStr">
        <is>
          <t>중소기업</t>
        </is>
      </c>
      <c r="V925" t="inlineStr">
        <is>
          <t>외부감사대상</t>
        </is>
      </c>
      <c r="W925" s="6" t="inlineStr">
        <is>
          <t>2006-01-25</t>
        </is>
      </c>
      <c r="X925" t="inlineStr">
        <is>
          <t>KRI:10C2719900</t>
        </is>
      </c>
      <c r="Y925" t="inlineStr">
        <is>
          <t>그 외 기타 의료용 기기 제조업</t>
        </is>
      </c>
      <c r="Z925" t="inlineStr">
        <is>
          <t>의료기기,화장품 제조,도소매/학술연구,연구개발</t>
        </is>
      </c>
      <c r="AA925" t="inlineStr">
        <is>
          <t>서울 마포구 연남동 383-93번지 연남빌딩 3층,4층,5층</t>
        </is>
      </c>
      <c r="AB925" t="inlineStr">
        <is>
          <t>서울 마포구 연희로 31, 3층,4층,5층 (연남동,연남빌딩)</t>
        </is>
      </c>
    </row>
    <row r="926" ht="19.2" customHeight="1" s="1">
      <c r="A926" t="inlineStr">
        <is>
          <t>NICE:199755</t>
        </is>
      </c>
      <c r="B926" t="inlineStr">
        <is>
          <t>일신산업전기</t>
        </is>
      </c>
      <c r="C926" s="5" t="n">
        <v>25040414000</v>
      </c>
      <c r="D926" s="5" t="n">
        <v>6059995000</v>
      </c>
      <c r="E926" s="5" t="n">
        <v>18980419000</v>
      </c>
      <c r="F926" s="5" t="n">
        <v>27424320000</v>
      </c>
      <c r="G926" s="5" t="n">
        <v>5882707000</v>
      </c>
      <c r="H926" s="5" t="n">
        <v>25467319000</v>
      </c>
      <c r="I926" s="5" t="n">
        <v>5310010000</v>
      </c>
      <c r="J926" s="4" t="n">
        <v>1.884199976921082</v>
      </c>
      <c r="K926" s="4" t="n">
        <v>0.3192999958992004</v>
      </c>
      <c r="L926" s="4" t="n">
        <v>0.2145000100135803</v>
      </c>
      <c r="M926" t="inlineStr">
        <is>
          <t>고수영</t>
        </is>
      </c>
      <c r="N926" t="inlineStr">
        <is>
          <t>031-797-1631</t>
        </is>
      </c>
      <c r="O926" t="inlineStr">
        <is>
          <t>031-797-2178</t>
        </is>
      </c>
      <c r="P926" s="3">
        <f>HYPERLINK("http://www.isie.co.kr", "http://www.isie.co.kr")</f>
        <v/>
      </c>
      <c r="Q926" t="inlineStr">
        <is>
          <t>1268157430</t>
        </is>
      </c>
      <c r="R926" t="inlineStr">
        <is>
          <t>1342110047228</t>
        </is>
      </c>
      <c r="S926" t="inlineStr">
        <is>
          <t>대상아님</t>
        </is>
      </c>
      <c r="T926" t="inlineStr">
        <is>
          <t>일반법인</t>
        </is>
      </c>
      <c r="U926" t="inlineStr">
        <is>
          <t>중소기업</t>
        </is>
      </c>
      <c r="V926" t="inlineStr">
        <is>
          <t>외부감사대상</t>
        </is>
      </c>
      <c r="W926" s="6" t="inlineStr">
        <is>
          <t>2000-01-15</t>
        </is>
      </c>
      <c r="X926" t="inlineStr">
        <is>
          <t>KRI:10C2890100</t>
        </is>
      </c>
      <c r="Y926" t="inlineStr">
        <is>
          <t>전기경보 및 신호장치 제조업</t>
        </is>
      </c>
      <c r="Z926" t="inlineStr">
        <is>
          <t>전기경보,신호장치,LED조명 제조/기계설비공사/부동산 임대</t>
        </is>
      </c>
      <c r="AA926" t="inlineStr">
        <is>
          <t>경기 광주시 송정동 310번지</t>
        </is>
      </c>
      <c r="AB926" t="inlineStr">
        <is>
          <t>경기 광주시 광주대로 200-1</t>
        </is>
      </c>
    </row>
    <row r="927" ht="19.2" customHeight="1" s="1">
      <c r="A927" t="inlineStr">
        <is>
          <t>NICE:184926</t>
        </is>
      </c>
      <c r="B927" t="inlineStr">
        <is>
          <t>한국무그</t>
        </is>
      </c>
      <c r="C927" s="5" t="n">
        <v>17186626000</v>
      </c>
      <c r="D927" s="5" t="n">
        <v>8480389000</v>
      </c>
      <c r="E927" s="5" t="n">
        <v>8706237000</v>
      </c>
      <c r="F927" s="5" t="n">
        <v>26604444000</v>
      </c>
      <c r="G927" s="5" t="n">
        <v>6552691000</v>
      </c>
      <c r="H927" s="5" t="n">
        <v>23045029000</v>
      </c>
      <c r="I927" s="5" t="n">
        <v>6229880000</v>
      </c>
      <c r="J927" s="4" t="n">
        <v>1.928599953651428</v>
      </c>
      <c r="K927" s="4" t="n">
        <v>0.9740999937057495</v>
      </c>
      <c r="L927" s="4" t="n">
        <v>0.2462999820709229</v>
      </c>
      <c r="M927" t="inlineStr">
        <is>
          <t>하랄드프란쯔쿠르쯔</t>
        </is>
      </c>
      <c r="N927" t="inlineStr">
        <is>
          <t>031-645-2512</t>
        </is>
      </c>
      <c r="O927" t="inlineStr">
        <is>
          <t>031-764-0929</t>
        </is>
      </c>
      <c r="P927" s="3">
        <f>HYPERLINK("http://www.moogkorea.com", "http://www.moogkorea.com")</f>
        <v/>
      </c>
      <c r="Q927" t="inlineStr">
        <is>
          <t>1268110774</t>
        </is>
      </c>
      <c r="R927" t="inlineStr">
        <is>
          <t>1101110513807</t>
        </is>
      </c>
      <c r="S927" t="inlineStr">
        <is>
          <t>대상아님</t>
        </is>
      </c>
      <c r="T927" t="inlineStr">
        <is>
          <t>일반법인</t>
        </is>
      </c>
      <c r="U927" t="inlineStr">
        <is>
          <t>중소기업</t>
        </is>
      </c>
      <c r="V927" t="inlineStr">
        <is>
          <t>외부감사대상</t>
        </is>
      </c>
      <c r="W927" s="6" t="inlineStr">
        <is>
          <t>1986-12-19</t>
        </is>
      </c>
      <c r="X927" t="inlineStr">
        <is>
          <t>KRI:10G4659900</t>
        </is>
      </c>
      <c r="Y927" t="inlineStr">
        <is>
          <t>그 외 기타 기계 및 장비 도매업</t>
        </is>
      </c>
      <c r="Z927" t="inlineStr">
        <is>
          <t>무역(서보밸브,서보엑츄에이터)/정밀제어기기 제조/오퍼</t>
        </is>
      </c>
      <c r="AA927" t="inlineStr">
        <is>
          <t>경기 이천시 마장면 장암리 405-5번지</t>
        </is>
      </c>
      <c r="AB927" t="inlineStr">
        <is>
          <t>경기 이천시 마장면 둔터로 24-49</t>
        </is>
      </c>
    </row>
    <row r="928" ht="19.2" customHeight="1" s="1">
      <c r="A928" t="inlineStr">
        <is>
          <t>NICE:JI9860</t>
        </is>
      </c>
      <c r="B928" t="inlineStr">
        <is>
          <t>에이티움</t>
        </is>
      </c>
      <c r="C928" s="5" t="n">
        <v>34267733000</v>
      </c>
      <c r="D928" s="5" t="n">
        <v>7137313000</v>
      </c>
      <c r="E928" s="5" t="n">
        <v>27130420000</v>
      </c>
      <c r="F928" s="5" t="n">
        <v>38730402000</v>
      </c>
      <c r="G928" s="5" t="n">
        <v>5703425000</v>
      </c>
      <c r="H928" s="5" t="n">
        <v>35489285000</v>
      </c>
      <c r="I928" s="5" t="n">
        <v>7317272000</v>
      </c>
      <c r="J928" s="4" t="n">
        <v>3.812399864196777</v>
      </c>
      <c r="K928" s="4" t="n">
        <v>0.2630999982357025</v>
      </c>
      <c r="L928" s="4" t="n">
        <v>0.1472999900579453</v>
      </c>
      <c r="M928" t="inlineStr">
        <is>
          <t>장영우</t>
        </is>
      </c>
      <c r="N928" t="inlineStr">
        <is>
          <t>02-593-3625</t>
        </is>
      </c>
      <c r="O928" t="inlineStr">
        <is>
          <t>070-8280-3266</t>
        </is>
      </c>
      <c r="P928" s="3">
        <f>HYPERLINK("http://www.atiumcorp.co.kr/", "http://www.atiumcorp.co.kr/")</f>
        <v/>
      </c>
      <c r="Q928" t="inlineStr">
        <is>
          <t>1408601223</t>
        </is>
      </c>
      <c r="R928" t="inlineStr">
        <is>
          <t>1101116933299</t>
        </is>
      </c>
      <c r="S928" t="inlineStr">
        <is>
          <t>대상아님</t>
        </is>
      </c>
      <c r="T928" t="inlineStr">
        <is>
          <t>일반법인</t>
        </is>
      </c>
      <c r="U928" t="inlineStr">
        <is>
          <t>중소기업</t>
        </is>
      </c>
      <c r="V928" t="inlineStr">
        <is>
          <t>외부감사대상</t>
        </is>
      </c>
      <c r="W928" s="6" t="inlineStr">
        <is>
          <t>2018-11-22</t>
        </is>
      </c>
      <c r="X928" t="inlineStr">
        <is>
          <t>KRI:10G4644300</t>
        </is>
      </c>
      <c r="Y928" t="inlineStr">
        <is>
          <t>화장품 및 화장용품 도매업</t>
        </is>
      </c>
      <c r="Z928" t="inlineStr">
        <is>
          <t>화장품 도소매,제조/의료기기 도소매</t>
        </is>
      </c>
      <c r="AA928" t="inlineStr">
        <is>
          <t>서울 강남구 역삼동 746-11번지</t>
        </is>
      </c>
      <c r="AB928" t="inlineStr">
        <is>
          <t>서울 강남구 논현로 413</t>
        </is>
      </c>
    </row>
    <row r="929" ht="19.2" customHeight="1" s="1">
      <c r="A929" t="inlineStr">
        <is>
          <t>NICE:976300</t>
        </is>
      </c>
      <c r="B929" t="inlineStr">
        <is>
          <t>프로몰엔지니어링</t>
        </is>
      </c>
      <c r="C929" s="5" t="n">
        <v>45793986000</v>
      </c>
      <c r="D929" s="5" t="n">
        <v>19476520000</v>
      </c>
      <c r="E929" s="5" t="n">
        <v>26317466000</v>
      </c>
      <c r="F929" s="5" t="n">
        <v>25198614000</v>
      </c>
      <c r="G929" s="5" t="n">
        <v>8397129000</v>
      </c>
      <c r="H929" s="5" t="n">
        <v>18543324000</v>
      </c>
      <c r="I929" s="5" t="n">
        <v>8270135000</v>
      </c>
      <c r="J929" s="4" t="n">
        <v>4.045599937438965</v>
      </c>
      <c r="K929" s="4" t="n">
        <v>0.7401000261306763</v>
      </c>
      <c r="L929" s="4" t="n">
        <v>0.3331999778747559</v>
      </c>
      <c r="M929" t="inlineStr">
        <is>
          <t>조태희</t>
        </is>
      </c>
      <c r="N929" t="inlineStr">
        <is>
          <t>051-727-3441</t>
        </is>
      </c>
      <c r="O929" t="inlineStr">
        <is>
          <t>051-727-3447</t>
        </is>
      </c>
      <c r="P929" s="3">
        <f>HYPERLINK("http://www.promole.co.kr", "http://www.promole.co.kr")</f>
        <v/>
      </c>
      <c r="Q929" t="inlineStr">
        <is>
          <t>2188119318</t>
        </is>
      </c>
      <c r="R929" t="inlineStr">
        <is>
          <t>1101111306615</t>
        </is>
      </c>
      <c r="S929" t="inlineStr">
        <is>
          <t>대상아님</t>
        </is>
      </c>
      <c r="T929" t="inlineStr">
        <is>
          <t>일반법인</t>
        </is>
      </c>
      <c r="U929" t="inlineStr">
        <is>
          <t>중소기업</t>
        </is>
      </c>
      <c r="V929" t="inlineStr">
        <is>
          <t>외부감사대상</t>
        </is>
      </c>
      <c r="W929" s="6" t="inlineStr">
        <is>
          <t>1996-08-08</t>
        </is>
      </c>
      <c r="X929" t="inlineStr">
        <is>
          <t>KRI:10F4122900</t>
        </is>
      </c>
      <c r="Y929" t="inlineStr">
        <is>
          <t>기타 토목시설물 건설업</t>
        </is>
      </c>
      <c r="Z929" t="inlineStr">
        <is>
          <t>토목공사,관로공사</t>
        </is>
      </c>
      <c r="AA929" t="inlineStr">
        <is>
          <t>부산 기장군 정관읍 달산리 1051-6번지</t>
        </is>
      </c>
      <c r="AB929" t="inlineStr">
        <is>
          <t>부산 기장군 정관읍 산단4로 33</t>
        </is>
      </c>
    </row>
    <row r="930" ht="19.2" customHeight="1" s="1">
      <c r="A930" t="inlineStr">
        <is>
          <t>NICE:121603</t>
        </is>
      </c>
      <c r="B930" t="inlineStr">
        <is>
          <t>대동항업</t>
        </is>
      </c>
      <c r="C930" s="5" t="n">
        <v>34296776000</v>
      </c>
      <c r="D930" s="5" t="n">
        <v>646229000</v>
      </c>
      <c r="E930" s="5" t="n">
        <v>33650546000</v>
      </c>
      <c r="F930" s="5" t="n">
        <v>20529026000</v>
      </c>
      <c r="G930" s="5" t="n">
        <v>4667770000</v>
      </c>
      <c r="H930" s="5" t="n">
        <v>19390587000</v>
      </c>
      <c r="I930" s="5" t="n">
        <v>4178423000</v>
      </c>
      <c r="J930" s="4" t="n">
        <v>26.1427001953125</v>
      </c>
      <c r="K930" s="4" t="n">
        <v>0.01919999904930592</v>
      </c>
      <c r="L930" s="4" t="n">
        <v>0.2273999899625778</v>
      </c>
      <c r="M930" t="inlineStr">
        <is>
          <t>신용완</t>
        </is>
      </c>
      <c r="N930" t="inlineStr">
        <is>
          <t>041-664-8647</t>
        </is>
      </c>
      <c r="O930" t="inlineStr">
        <is>
          <t>041-664-8648</t>
        </is>
      </c>
      <c r="P930" s="3">
        <f>HYPERLINK("http://www.portdaesan.co.kr", "http://www.portdaesan.co.kr")</f>
        <v/>
      </c>
      <c r="Q930" t="inlineStr">
        <is>
          <t>3108101701</t>
        </is>
      </c>
      <c r="R930" t="inlineStr">
        <is>
          <t>1614110000857</t>
        </is>
      </c>
      <c r="S930" t="inlineStr">
        <is>
          <t>대상아님</t>
        </is>
      </c>
      <c r="T930" t="inlineStr">
        <is>
          <t>일반법인</t>
        </is>
      </c>
      <c r="U930" t="inlineStr">
        <is>
          <t>중소기업</t>
        </is>
      </c>
      <c r="V930" t="inlineStr">
        <is>
          <t>외부감사대상</t>
        </is>
      </c>
      <c r="W930" s="6" t="inlineStr">
        <is>
          <t>1988-02-26</t>
        </is>
      </c>
      <c r="X930" t="inlineStr">
        <is>
          <t>KRI:10H5013000</t>
        </is>
      </c>
      <c r="Y930" t="inlineStr">
        <is>
          <t>기타 해상 운송업</t>
        </is>
      </c>
      <c r="Z930" t="inlineStr">
        <is>
          <t>예인선/해운대리점,선박관리,항만운송/선박 임대/부동산 임대,매매</t>
        </is>
      </c>
      <c r="AA930" t="inlineStr">
        <is>
          <t>충남 서산시 대산읍 대로리 274번지</t>
        </is>
      </c>
      <c r="AB930" t="inlineStr">
        <is>
          <t>충남 서산시 대산읍 영좌동길 156</t>
        </is>
      </c>
    </row>
    <row r="931" ht="19.2" customHeight="1" s="1">
      <c r="A931" t="inlineStr">
        <is>
          <t>NICE:H81093</t>
        </is>
      </c>
      <c r="B931" t="inlineStr">
        <is>
          <t>대호스토퍼</t>
        </is>
      </c>
      <c r="C931" s="5" t="n">
        <v>32334962000</v>
      </c>
      <c r="D931" s="5" t="n">
        <v>7066030000</v>
      </c>
      <c r="E931" s="5" t="n">
        <v>25268932000</v>
      </c>
      <c r="F931" s="5" t="n">
        <v>25205508000</v>
      </c>
      <c r="G931" s="5" t="n">
        <v>3460701000</v>
      </c>
      <c r="H931" s="5" t="n">
        <v>17670362000</v>
      </c>
      <c r="I931" s="5" t="n">
        <v>2895259000</v>
      </c>
      <c r="J931" s="4" t="n">
        <v>2.539499998092651</v>
      </c>
      <c r="K931" s="4" t="n">
        <v>0.2795999944210052</v>
      </c>
      <c r="L931" s="4" t="n">
        <v>0.1372999995946884</v>
      </c>
      <c r="M931" t="inlineStr">
        <is>
          <t>이영호</t>
        </is>
      </c>
      <c r="N931" t="inlineStr">
        <is>
          <t>031-496-9488</t>
        </is>
      </c>
      <c r="O931" t="inlineStr">
        <is>
          <t>031-496-9349</t>
        </is>
      </c>
      <c r="P931" s="3">
        <f>HYPERLINK("http://www.hottap.kr", "http://www.hottap.kr")</f>
        <v/>
      </c>
      <c r="Q931" t="inlineStr">
        <is>
          <t>1408134127</t>
        </is>
      </c>
      <c r="R931" t="inlineStr">
        <is>
          <t>1355110198115</t>
        </is>
      </c>
      <c r="S931" t="inlineStr">
        <is>
          <t>대상아님</t>
        </is>
      </c>
      <c r="T931" t="inlineStr">
        <is>
          <t>일반법인</t>
        </is>
      </c>
      <c r="U931" t="inlineStr">
        <is>
          <t>중소기업</t>
        </is>
      </c>
      <c r="V931" t="inlineStr">
        <is>
          <t>외부감사대상</t>
        </is>
      </c>
      <c r="W931" s="6" t="inlineStr">
        <is>
          <t>2009-02-20</t>
        </is>
      </c>
      <c r="X931" t="inlineStr">
        <is>
          <t>KRI:10F4122900</t>
        </is>
      </c>
      <c r="Y931" t="inlineStr">
        <is>
          <t>기타 토목시설물 건설업</t>
        </is>
      </c>
      <c r="Z931" t="inlineStr">
        <is>
          <t>상하수도설비공사,기계설비공사,토공사,가스시설공사/밸브,파이프부품 제조/부동산 임대/기계장비 임대</t>
        </is>
      </c>
      <c r="AA931" t="inlineStr">
        <is>
          <t>경기 안산시 상록구 팔곡일동 89번지</t>
        </is>
      </c>
      <c r="AB931" t="inlineStr">
        <is>
          <t>경기 안산시 상록구 남산평길 126-4</t>
        </is>
      </c>
    </row>
    <row r="932" ht="19.2" customHeight="1" s="1">
      <c r="A932" t="inlineStr">
        <is>
          <t>NICE:280569</t>
        </is>
      </c>
      <c r="B932" t="inlineStr">
        <is>
          <t>용비통상</t>
        </is>
      </c>
      <c r="C932" s="5" t="n">
        <v>34267934000</v>
      </c>
      <c r="D932" s="5" t="n">
        <v>3787614000</v>
      </c>
      <c r="E932" s="5" t="n">
        <v>30480320000</v>
      </c>
      <c r="F932" s="5" t="n">
        <v>45176439000</v>
      </c>
      <c r="G932" s="5" t="n">
        <v>6651939000</v>
      </c>
      <c r="H932" s="5" t="n">
        <v>45113475000</v>
      </c>
      <c r="I932" s="5" t="n">
        <v>7206206000</v>
      </c>
      <c r="J932" s="4" t="n">
        <v>7.524399757385254</v>
      </c>
      <c r="K932" s="4" t="n">
        <v>0.1243000030517578</v>
      </c>
      <c r="L932" s="4" t="n">
        <v>0.1472000032663345</v>
      </c>
      <c r="M932" t="inlineStr">
        <is>
          <t>김성인/김준호</t>
        </is>
      </c>
      <c r="N932" t="inlineStr">
        <is>
          <t>02-5766-0226</t>
        </is>
      </c>
      <c r="O932" t="inlineStr">
        <is>
          <t>02-576-6027</t>
        </is>
      </c>
      <c r="P932" s="3">
        <f>HYPERLINK("http://www.yongbee.co.kr", "http://www.yongbee.co.kr")</f>
        <v/>
      </c>
      <c r="Q932" t="inlineStr">
        <is>
          <t>2138163518</t>
        </is>
      </c>
      <c r="R932" t="inlineStr">
        <is>
          <t>1101110887658</t>
        </is>
      </c>
      <c r="S932" t="inlineStr">
        <is>
          <t>대상아님</t>
        </is>
      </c>
      <c r="T932" t="inlineStr">
        <is>
          <t>일반법인</t>
        </is>
      </c>
      <c r="U932" t="inlineStr">
        <is>
          <t>중소기업</t>
        </is>
      </c>
      <c r="V932" t="inlineStr">
        <is>
          <t>외부감사대상</t>
        </is>
      </c>
      <c r="W932" s="6" t="inlineStr">
        <is>
          <t>1988-03-20</t>
        </is>
      </c>
      <c r="X932" t="inlineStr">
        <is>
          <t>KRI:10G4673300</t>
        </is>
      </c>
      <c r="Y932" t="inlineStr">
        <is>
          <t>플라스틱물질 및 합성고무 도매업</t>
        </is>
      </c>
      <c r="Z932" t="inlineStr">
        <is>
          <t>접착제,액체토출장비(실리콘,에폭시,우레탄) 도매/의료기기 제조/무역</t>
        </is>
      </c>
      <c r="AA932" t="inlineStr">
        <is>
          <t>서울 서초구 양재동 82-4번지</t>
        </is>
      </c>
      <c r="AB932" t="inlineStr">
        <is>
          <t>서울 서초구 바우뫼로 192</t>
        </is>
      </c>
    </row>
    <row r="933" ht="19.2" customHeight="1" s="1">
      <c r="A933" t="inlineStr">
        <is>
          <t>NICE:E96374</t>
        </is>
      </c>
      <c r="B933" t="inlineStr">
        <is>
          <t>벨라시스텍</t>
        </is>
      </c>
      <c r="C933" s="5" t="n">
        <v>27076284000</v>
      </c>
      <c r="D933" s="5" t="n">
        <v>6360403000</v>
      </c>
      <c r="E933" s="5" t="n">
        <v>20715880000</v>
      </c>
      <c r="F933" s="5" t="n">
        <v>27771082000</v>
      </c>
      <c r="G933" s="5" t="n">
        <v>5931181000</v>
      </c>
      <c r="H933" s="5" t="n">
        <v>17516415000</v>
      </c>
      <c r="I933" s="5" t="n">
        <v>4743396000</v>
      </c>
      <c r="J933" s="4" t="n">
        <v>1.458200097084045</v>
      </c>
      <c r="K933" s="4" t="n">
        <v>0.3070000112056732</v>
      </c>
      <c r="L933" s="4" t="n">
        <v>0.2135999947786331</v>
      </c>
      <c r="M933" t="inlineStr">
        <is>
          <t>이기선</t>
        </is>
      </c>
      <c r="N933" t="inlineStr">
        <is>
          <t>070-7725-9888</t>
        </is>
      </c>
      <c r="O933" t="inlineStr">
        <is>
          <t>02-481-5954</t>
        </is>
      </c>
      <c r="P933" s="3">
        <f>HYPERLINK("http://www.bella-systech.co.kr", "http://www.bella-systech.co.kr")</f>
        <v/>
      </c>
      <c r="Q933" t="inlineStr">
        <is>
          <t>2068658176</t>
        </is>
      </c>
      <c r="R933" t="inlineStr">
        <is>
          <t>1101114701648</t>
        </is>
      </c>
      <c r="S933" t="inlineStr">
        <is>
          <t>대상아님</t>
        </is>
      </c>
      <c r="T933" t="inlineStr">
        <is>
          <t>일반법인</t>
        </is>
      </c>
      <c r="U933" t="inlineStr">
        <is>
          <t>중소기업</t>
        </is>
      </c>
      <c r="V933" t="inlineStr">
        <is>
          <t>외부감사대상</t>
        </is>
      </c>
      <c r="W933" s="6" t="inlineStr">
        <is>
          <t>2011-10-06</t>
        </is>
      </c>
      <c r="X933" t="inlineStr">
        <is>
          <t>KRI:10G4652100</t>
        </is>
      </c>
      <c r="Y933" t="inlineStr">
        <is>
          <t>가전제품 및 부품 도매업</t>
        </is>
      </c>
      <c r="Z933" t="inlineStr">
        <is>
          <t>피부미용장비 도소매</t>
        </is>
      </c>
      <c r="AA933" t="inlineStr">
        <is>
          <t>서울 성동구 성수동2가 289-18번지 서울숲코리아아이티센터 901호</t>
        </is>
      </c>
      <c r="AB933" t="inlineStr">
        <is>
          <t>서울 성동구 성수일로12길 26, 901호 (성수동2가,서울숲코리아아이티센터)</t>
        </is>
      </c>
    </row>
    <row r="934" ht="19.2" customHeight="1" s="1">
      <c r="A934" t="inlineStr">
        <is>
          <t>NICE:NN5275</t>
        </is>
      </c>
      <c r="B934" t="inlineStr">
        <is>
          <t>현민건설</t>
        </is>
      </c>
      <c r="C934" s="5" t="n">
        <v>14590793000</v>
      </c>
      <c r="D934" s="5" t="n">
        <v>5605854000</v>
      </c>
      <c r="E934" s="5" t="n">
        <v>8984939000</v>
      </c>
      <c r="F934" s="5" t="n">
        <v>52194029000</v>
      </c>
      <c r="G934" s="5" t="n">
        <v>10805408000</v>
      </c>
      <c r="H934" s="5" t="n">
        <v>51719282000</v>
      </c>
      <c r="I934" s="5" t="n">
        <v>2450197000</v>
      </c>
      <c r="J934" s="4" t="n">
        <v>2.491999864578247</v>
      </c>
      <c r="K934" s="4" t="n">
        <v>0.6238999962806702</v>
      </c>
      <c r="L934" s="4" t="n">
        <v>0.2070000022649765</v>
      </c>
      <c r="M934" t="inlineStr">
        <is>
          <t>송명근</t>
        </is>
      </c>
      <c r="N934" t="inlineStr">
        <is>
          <t>042-286-1002</t>
        </is>
      </c>
      <c r="O934" t="inlineStr">
        <is>
          <t>042-285-1102</t>
        </is>
      </c>
      <c r="P934" s="3" t="n"/>
      <c r="Q934" t="inlineStr">
        <is>
          <t>4288601818</t>
        </is>
      </c>
      <c r="R934" t="inlineStr">
        <is>
          <t>1601110589452</t>
        </is>
      </c>
      <c r="S934" t="inlineStr">
        <is>
          <t>대상아님</t>
        </is>
      </c>
      <c r="T934" t="inlineStr">
        <is>
          <t>일반법인</t>
        </is>
      </c>
      <c r="U934" t="inlineStr">
        <is>
          <t>중견기업</t>
        </is>
      </c>
      <c r="V934" t="inlineStr">
        <is>
          <t>외부감사대상</t>
        </is>
      </c>
      <c r="W934" s="6" t="inlineStr">
        <is>
          <t>2021-04-23</t>
        </is>
      </c>
      <c r="X934" t="inlineStr">
        <is>
          <t>KRI:10F4213200</t>
        </is>
      </c>
      <c r="Y934" t="inlineStr">
        <is>
          <t>콘크리트 및 철근 공사업</t>
        </is>
      </c>
      <c r="Z934" t="inlineStr">
        <is>
          <t>철근콘크리트공사업,비계공사업</t>
        </is>
      </c>
      <c r="AA934" t="inlineStr">
        <is>
          <t>대전 동구 중동 75-10번지 2층</t>
        </is>
      </c>
      <c r="AB934" t="inlineStr">
        <is>
          <t>대전 동구 대전로 788-1, 2층</t>
        </is>
      </c>
    </row>
    <row r="935" ht="19.2" customHeight="1" s="1">
      <c r="A935" t="inlineStr">
        <is>
          <t>NICE:259291</t>
        </is>
      </c>
      <c r="B935" t="inlineStr">
        <is>
          <t>지스콥</t>
        </is>
      </c>
      <c r="C935" s="5" t="n">
        <v>29366016000</v>
      </c>
      <c r="D935" s="5" t="n">
        <v>1392256000</v>
      </c>
      <c r="E935" s="5" t="n">
        <v>27973760000</v>
      </c>
      <c r="F935" s="5" t="n">
        <v>30395027000</v>
      </c>
      <c r="G935" s="5" t="n">
        <v>3654964000</v>
      </c>
      <c r="H935" s="5" t="n">
        <v>26471894000</v>
      </c>
      <c r="I935" s="5" t="n">
        <v>2388255000</v>
      </c>
      <c r="J935" s="4" t="n">
        <v>9.61139965057373</v>
      </c>
      <c r="K935" s="4" t="n">
        <v>0.04979999735951424</v>
      </c>
      <c r="L935" s="4" t="n">
        <v>0.1202000007033348</v>
      </c>
      <c r="M935" t="inlineStr">
        <is>
          <t>김진구/이승훈</t>
        </is>
      </c>
      <c r="N935" t="inlineStr">
        <is>
          <t>02-545-2961</t>
        </is>
      </c>
      <c r="O935" t="inlineStr">
        <is>
          <t>02-545-2964</t>
        </is>
      </c>
      <c r="P935" s="3" t="n"/>
      <c r="Q935" t="inlineStr">
        <is>
          <t>2118192429</t>
        </is>
      </c>
      <c r="R935" t="inlineStr">
        <is>
          <t>1101110875413</t>
        </is>
      </c>
      <c r="S935" t="inlineStr">
        <is>
          <t>대상아님</t>
        </is>
      </c>
      <c r="T935" t="inlineStr">
        <is>
          <t>일반법인</t>
        </is>
      </c>
      <c r="U935" t="inlineStr">
        <is>
          <t>중소기업</t>
        </is>
      </c>
      <c r="V935" t="inlineStr">
        <is>
          <t>외부감사대상</t>
        </is>
      </c>
      <c r="W935" s="6" t="inlineStr">
        <is>
          <t>1992-07-03</t>
        </is>
      </c>
      <c r="X935" t="inlineStr">
        <is>
          <t>KRI:10M7291900</t>
        </is>
      </c>
      <c r="Y935" t="inlineStr">
        <is>
          <t>기타 기술 시험, 검사 및 분석업</t>
        </is>
      </c>
      <c r="Z935" t="inlineStr">
        <is>
          <t>비파괴검사전문기술 용역,기술자문</t>
        </is>
      </c>
      <c r="AA935" t="inlineStr">
        <is>
          <t>서울 강남구 신사동 654-15번지</t>
        </is>
      </c>
      <c r="AB935" t="inlineStr">
        <is>
          <t>서울 강남구 도산대로51길 20</t>
        </is>
      </c>
    </row>
    <row r="936" ht="19.2" customHeight="1" s="1">
      <c r="A936" t="inlineStr">
        <is>
          <t>NICE:C11027</t>
        </is>
      </c>
      <c r="B936" t="inlineStr">
        <is>
          <t>신화정공</t>
        </is>
      </c>
      <c r="C936" s="5" t="n">
        <v>326629635000</v>
      </c>
      <c r="D936" s="5" t="n">
        <v>142344257000</v>
      </c>
      <c r="E936" s="5" t="n">
        <v>184285378000</v>
      </c>
      <c r="F936" s="5" t="n">
        <v>138612672000</v>
      </c>
      <c r="G936" s="5" t="n">
        <v>47122402000</v>
      </c>
      <c r="H936" s="5" t="n">
        <v>551631175000</v>
      </c>
      <c r="I936" s="5" t="n">
        <v>67241758000</v>
      </c>
      <c r="J936" s="4" t="n">
        <v>0.09039999544620514</v>
      </c>
      <c r="K936" s="4" t="n">
        <v>0.7723999619483948</v>
      </c>
      <c r="L936" s="4" t="n">
        <v>0.3400000035762787</v>
      </c>
      <c r="M936" t="inlineStr">
        <is>
          <t>이윤표</t>
        </is>
      </c>
      <c r="N936" t="inlineStr">
        <is>
          <t>055-275-7930</t>
        </is>
      </c>
      <c r="O936" t="inlineStr">
        <is>
          <t>055-275-7931</t>
        </is>
      </c>
      <c r="P936" s="3">
        <f>HYPERLINK("http://www.shinhwa-pic.com", "http://www.shinhwa-pic.com")</f>
        <v/>
      </c>
      <c r="Q936" t="inlineStr">
        <is>
          <t>6098179211</t>
        </is>
      </c>
      <c r="R936" t="inlineStr">
        <is>
          <t>1942110087470</t>
        </is>
      </c>
      <c r="S936" t="inlineStr">
        <is>
          <t>대상아님</t>
        </is>
      </c>
      <c r="T936" t="inlineStr">
        <is>
          <t>일반법인</t>
        </is>
      </c>
      <c r="U936" t="inlineStr">
        <is>
          <t>중견기업</t>
        </is>
      </c>
      <c r="V936" t="inlineStr">
        <is>
          <t>외부감사대상</t>
        </is>
      </c>
      <c r="W936" s="6" t="inlineStr">
        <is>
          <t>2007-08-16</t>
        </is>
      </c>
      <c r="X936" t="inlineStr">
        <is>
          <t>KRI:10C2592100</t>
        </is>
      </c>
      <c r="Y936" t="inlineStr">
        <is>
          <t>금속 열처리업</t>
        </is>
      </c>
      <c r="Z936" t="inlineStr">
        <is>
          <t>금속 열처리,자동차엔진부품 제조</t>
        </is>
      </c>
      <c r="AA936" t="inlineStr">
        <is>
          <t>경남 창원시 성산구 성산동 65번지</t>
        </is>
      </c>
      <c r="AB936" t="inlineStr">
        <is>
          <t>경남 창원시 성산구 공단로474번길 21-34</t>
        </is>
      </c>
    </row>
    <row r="937" s="1">
      <c r="A937" t="inlineStr">
        <is>
          <t>NICE:386952</t>
        </is>
      </c>
      <c r="B937" t="inlineStr">
        <is>
          <t>삼공사</t>
        </is>
      </c>
      <c r="C937" s="5" t="n">
        <v>224364653000</v>
      </c>
      <c r="D937" s="5" t="n">
        <v>20805890000</v>
      </c>
      <c r="E937" s="5" t="n">
        <v>203558762000</v>
      </c>
      <c r="F937" s="5" t="n">
        <v>147590384000</v>
      </c>
      <c r="G937" s="5" t="n">
        <v>32814413000</v>
      </c>
      <c r="H937" s="5" t="n">
        <v>144530194000</v>
      </c>
      <c r="I937" s="5" t="n">
        <v>32682806000</v>
      </c>
      <c r="J937" s="4" t="n">
        <v>9.825699806213379</v>
      </c>
      <c r="K937" s="4" t="n">
        <v>0.1022000014781952</v>
      </c>
      <c r="L937" s="4" t="n">
        <v>0.2222999930381775</v>
      </c>
      <c r="M937" t="inlineStr">
        <is>
          <t>정진석</t>
        </is>
      </c>
      <c r="N937" t="inlineStr">
        <is>
          <t>051-200-3040</t>
        </is>
      </c>
      <c r="O937" t="inlineStr">
        <is>
          <t>051-200-3046</t>
        </is>
      </c>
      <c r="P937">
        <f>HYPERLINK("http://www.sam-gong.co.kr", "http://www.sam-gong.co.kr")</f>
        <v/>
      </c>
      <c r="Q937" t="inlineStr">
        <is>
          <t>6038108095</t>
        </is>
      </c>
      <c r="R937" t="inlineStr">
        <is>
          <t>1801110028464</t>
        </is>
      </c>
      <c r="S937" t="inlineStr">
        <is>
          <t>대상아님</t>
        </is>
      </c>
      <c r="T937" t="inlineStr">
        <is>
          <t>일반법인</t>
        </is>
      </c>
      <c r="U937" t="inlineStr">
        <is>
          <t>중견기업</t>
        </is>
      </c>
      <c r="V937" t="inlineStr">
        <is>
          <t>외부감사대상</t>
        </is>
      </c>
      <c r="W937" s="6" t="inlineStr">
        <is>
          <t>1971-01-16</t>
        </is>
      </c>
      <c r="X937" t="inlineStr">
        <is>
          <t>KRI:10C3111400</t>
        </is>
      </c>
      <c r="Y937" t="inlineStr">
        <is>
          <t>선박 구성 부분품 제조업</t>
        </is>
      </c>
      <c r="Z937" t="inlineStr">
        <is>
          <t>선박의장품,안전유리,산업용기계,철구조물(기계제작) 제조</t>
        </is>
      </c>
      <c r="AA937" t="inlineStr">
        <is>
          <t>부산 강서구 송정동 1464-2번지</t>
        </is>
      </c>
      <c r="AB937" t="inlineStr">
        <is>
          <t>부산 강서구 녹산산단17로 135</t>
        </is>
      </c>
    </row>
    <row r="938" s="1">
      <c r="A938" t="inlineStr">
        <is>
          <t>NICE:013862</t>
        </is>
      </c>
      <c r="B938" t="inlineStr">
        <is>
          <t>대신정기화물자동차</t>
        </is>
      </c>
      <c r="C938" s="5" t="n">
        <v>209841759000</v>
      </c>
      <c r="D938" s="5" t="n">
        <v>160975451000</v>
      </c>
      <c r="E938" s="5" t="n">
        <v>48866309000</v>
      </c>
      <c r="F938" s="5" t="n">
        <v>59884910000</v>
      </c>
      <c r="G938" s="5" t="n">
        <v>7474897000</v>
      </c>
      <c r="H938" s="5" t="n">
        <v>57221902000</v>
      </c>
      <c r="I938" s="5" t="n">
        <v>7045471000</v>
      </c>
      <c r="J938" s="4" t="n">
        <v>0.1218999922275543</v>
      </c>
      <c r="K938" s="4" t="n">
        <v>3.29419994354248</v>
      </c>
      <c r="L938" s="4" t="n">
        <v>0.1247999891638756</v>
      </c>
      <c r="M938" t="inlineStr">
        <is>
          <t>오영진/오흥배</t>
        </is>
      </c>
      <c r="N938" t="inlineStr">
        <is>
          <t>043-255-3211</t>
        </is>
      </c>
      <c r="O938" t="inlineStr">
        <is>
          <t>043-255-3220</t>
        </is>
      </c>
      <c r="P938">
        <f>HYPERLINK("http://www.ds3211.co.kr", "http://www.ds3211.co.kr")</f>
        <v/>
      </c>
      <c r="Q938" t="inlineStr">
        <is>
          <t>3018100329</t>
        </is>
      </c>
      <c r="R938" t="inlineStr">
        <is>
          <t>1501110000301</t>
        </is>
      </c>
      <c r="S938" t="inlineStr">
        <is>
          <t>대상아님</t>
        </is>
      </c>
      <c r="T938" t="inlineStr">
        <is>
          <t>일반법인</t>
        </is>
      </c>
      <c r="U938" t="inlineStr">
        <is>
          <t>중소기업</t>
        </is>
      </c>
      <c r="V938" t="inlineStr">
        <is>
          <t>외부감사대상</t>
        </is>
      </c>
      <c r="W938" s="6" t="inlineStr">
        <is>
          <t>1966-08-23</t>
        </is>
      </c>
      <c r="X938" t="inlineStr">
        <is>
          <t>KRI:10H4930100</t>
        </is>
      </c>
      <c r="Y938" t="inlineStr">
        <is>
          <t>일반 화물자동차 운송업</t>
        </is>
      </c>
      <c r="Z938" t="inlineStr">
        <is>
          <t>화물자동차 운수,운송주선/부동산 임대</t>
        </is>
      </c>
      <c r="AA938" t="inlineStr">
        <is>
          <t>충북 청주시 청원구 우암동 327-6번지</t>
        </is>
      </c>
      <c r="AB938" t="inlineStr">
        <is>
          <t>충북 청주시 청원구 중앙로 95</t>
        </is>
      </c>
    </row>
    <row r="939" s="1">
      <c r="A939" t="inlineStr">
        <is>
          <t>NICE:CC1967</t>
        </is>
      </c>
      <c r="B939" t="inlineStr">
        <is>
          <t>동광제약</t>
        </is>
      </c>
      <c r="C939" s="5" t="n">
        <v>206959201000</v>
      </c>
      <c r="D939" s="5" t="n">
        <v>48571947000</v>
      </c>
      <c r="E939" s="5" t="n">
        <v>158387254000</v>
      </c>
      <c r="F939" s="5" t="n">
        <v>242449535000</v>
      </c>
      <c r="G939" s="5" t="n">
        <v>27575211000</v>
      </c>
      <c r="H939" s="5" t="n">
        <v>225172634000</v>
      </c>
      <c r="I939" s="5" t="n">
        <v>25023517000</v>
      </c>
      <c r="J939" s="4" t="n">
        <v>2.520699977874756</v>
      </c>
      <c r="K939" s="4" t="n">
        <v>0.3066999912261963</v>
      </c>
      <c r="L939" s="4" t="n">
        <v>0.1136999949812889</v>
      </c>
      <c r="M939" t="inlineStr">
        <is>
          <t>장만식</t>
        </is>
      </c>
      <c r="N939" t="inlineStr">
        <is>
          <t>02-776-7641</t>
        </is>
      </c>
      <c r="O939" t="inlineStr">
        <is>
          <t>02-319-1180</t>
        </is>
      </c>
      <c r="P939">
        <f>HYPERLINK("http://dkpco.co.kr", "http://dkpco.co.kr")</f>
        <v/>
      </c>
      <c r="Q939" t="inlineStr">
        <is>
          <t>2018644250</t>
        </is>
      </c>
      <c r="R939" t="inlineStr">
        <is>
          <t>1101115603257</t>
        </is>
      </c>
      <c r="S939" t="inlineStr">
        <is>
          <t>대상아님</t>
        </is>
      </c>
      <c r="T939" t="inlineStr">
        <is>
          <t>일반법인</t>
        </is>
      </c>
      <c r="U939" t="inlineStr">
        <is>
          <t>중견기업</t>
        </is>
      </c>
      <c r="V939" t="inlineStr">
        <is>
          <t>외부감사대상</t>
        </is>
      </c>
      <c r="W939" s="6" t="inlineStr">
        <is>
          <t>2014-12-31</t>
        </is>
      </c>
      <c r="X939" t="inlineStr">
        <is>
          <t>KRI:10C2121000</t>
        </is>
      </c>
      <c r="Y939" t="inlineStr">
        <is>
          <t>완제 의약품 제조업</t>
        </is>
      </c>
      <c r="Z939" t="inlineStr">
        <is>
          <t>양약,자양강장제 제조,도소매,통신판매</t>
        </is>
      </c>
      <c r="AA939" t="inlineStr">
        <is>
          <t>서울 중구 충무로1가 25-5번지 고려대연각센터빌딩 12층</t>
        </is>
      </c>
      <c r="AB939" t="inlineStr">
        <is>
          <t>서울 중구 퇴계로 97, 12층 (충무로1가,고려대연각센터빌딩)</t>
        </is>
      </c>
    </row>
    <row r="940" s="1">
      <c r="A940" t="inlineStr">
        <is>
          <t>NICE:516090</t>
        </is>
      </c>
      <c r="B940" t="inlineStr">
        <is>
          <t>보문개발</t>
        </is>
      </c>
      <c r="C940" s="5" t="n">
        <v>206673236000</v>
      </c>
      <c r="D940" s="5" t="n">
        <v>80097256000</v>
      </c>
      <c r="E940" s="5" t="n">
        <v>126575980000</v>
      </c>
      <c r="F940" s="5" t="n">
        <v>25490908000</v>
      </c>
      <c r="G940" s="5" t="n">
        <v>11105401000</v>
      </c>
      <c r="H940" s="5" t="n">
        <v>26804299000</v>
      </c>
      <c r="I940" s="5" t="n">
        <v>12543521000</v>
      </c>
      <c r="J940" s="4" t="n">
        <v>1.886499881744385</v>
      </c>
      <c r="K940" s="4" t="n">
        <v>0.6327999830245972</v>
      </c>
      <c r="L940" s="4" t="n">
        <v>0.435699999332428</v>
      </c>
      <c r="M940" t="inlineStr">
        <is>
          <t>황성욱</t>
        </is>
      </c>
      <c r="N940" t="inlineStr">
        <is>
          <t>054-778-8900</t>
        </is>
      </c>
      <c r="O940" t="inlineStr">
        <is>
          <t>054-748-8104</t>
        </is>
      </c>
      <c r="P940">
        <f>HYPERLINK("http://www.kyongjugolf.co.kr", "http://www.kyongjugolf.co.kr")</f>
        <v/>
      </c>
      <c r="Q940" t="inlineStr">
        <is>
          <t>5058104835</t>
        </is>
      </c>
      <c r="R940" t="inlineStr">
        <is>
          <t>1712110004207</t>
        </is>
      </c>
      <c r="S940" t="inlineStr">
        <is>
          <t>대상아님</t>
        </is>
      </c>
      <c r="T940" t="inlineStr">
        <is>
          <t>일반법인</t>
        </is>
      </c>
      <c r="U940" t="inlineStr">
        <is>
          <t>중소기업</t>
        </is>
      </c>
      <c r="V940" t="inlineStr">
        <is>
          <t>외부감사대상</t>
        </is>
      </c>
      <c r="W940" s="6" t="inlineStr">
        <is>
          <t>1989-12-22</t>
        </is>
      </c>
      <c r="X940" t="inlineStr">
        <is>
          <t>KRI:10R9112100</t>
        </is>
      </c>
      <c r="Y940" t="inlineStr">
        <is>
          <t>골프장 운영업</t>
        </is>
      </c>
      <c r="Z940" t="inlineStr">
        <is>
          <t>골프장,골프연습장 운영/담배 소매/부동산 임대</t>
        </is>
      </c>
      <c r="AA940" t="inlineStr">
        <is>
          <t>경북 경주시 북군동 375-1번지</t>
        </is>
      </c>
      <c r="AB940" t="inlineStr">
        <is>
          <t>경북 경주시 보문로 182-98</t>
        </is>
      </c>
    </row>
    <row r="941" s="1">
      <c r="A941" t="inlineStr">
        <is>
          <t>NICE:119563</t>
        </is>
      </c>
      <c r="B941" t="inlineStr">
        <is>
          <t>한국에바라정밀기계</t>
        </is>
      </c>
      <c r="C941" s="5" t="n">
        <v>137562116000</v>
      </c>
      <c r="D941" s="5" t="n">
        <v>75853936000</v>
      </c>
      <c r="E941" s="5" t="n">
        <v>61708180000</v>
      </c>
      <c r="F941" s="5" t="n">
        <v>227036481000</v>
      </c>
      <c r="G941" s="5" t="n">
        <v>28714809000</v>
      </c>
      <c r="H941" s="5" t="n">
        <v>174677001000</v>
      </c>
      <c r="I941" s="5" t="n">
        <v>21648259000</v>
      </c>
      <c r="J941" s="4" t="n">
        <v>1.315299987792969</v>
      </c>
      <c r="K941" s="4" t="n">
        <v>1.229200005531311</v>
      </c>
      <c r="L941" s="4" t="n">
        <v>0.1264999955892563</v>
      </c>
      <c r="M941" t="inlineStr">
        <is>
          <t>박신영</t>
        </is>
      </c>
      <c r="N941" t="inlineStr">
        <is>
          <t>031-665-0001</t>
        </is>
      </c>
      <c r="O941" t="inlineStr">
        <is>
          <t>031-665-0003</t>
        </is>
      </c>
      <c r="P941">
        <f>HYPERLINK("http://www.ebara.co.kr", "http://www.ebara.co.kr")</f>
        <v/>
      </c>
      <c r="Q941" t="inlineStr">
        <is>
          <t>1258110975</t>
        </is>
      </c>
      <c r="R941" t="inlineStr">
        <is>
          <t>1347110009434</t>
        </is>
      </c>
      <c r="S941" t="inlineStr">
        <is>
          <t>대상아님</t>
        </is>
      </c>
      <c r="T941" t="inlineStr">
        <is>
          <t>일반법인</t>
        </is>
      </c>
      <c r="U941" t="inlineStr">
        <is>
          <t>중견기업</t>
        </is>
      </c>
      <c r="V941" t="inlineStr">
        <is>
          <t>외부감사대상</t>
        </is>
      </c>
      <c r="W941" s="6" t="inlineStr">
        <is>
          <t>1993-04-21</t>
        </is>
      </c>
      <c r="X941" t="inlineStr">
        <is>
          <t>KRI:10C2927100</t>
        </is>
      </c>
      <c r="Y941" t="inlineStr">
        <is>
          <t>반도체 제조용 기계 제조업</t>
        </is>
      </c>
      <c r="Z941" t="inlineStr">
        <is>
          <t>반도체장비(진공펌프,CMP장비) 제조,판매,보수,수리</t>
        </is>
      </c>
      <c r="AA941" t="inlineStr">
        <is>
          <t>경기 평택시 모곡동 446-4번지</t>
        </is>
      </c>
      <c r="AB941" t="inlineStr">
        <is>
          <t>경기 평택시 산단로16번길 11</t>
        </is>
      </c>
    </row>
    <row r="942" ht="19.2" customHeight="1" s="1">
      <c r="A942" t="inlineStr">
        <is>
          <t>NICE:HL5407</t>
        </is>
      </c>
      <c r="B942" t="inlineStr">
        <is>
          <t>리엔젠</t>
        </is>
      </c>
      <c r="C942" s="5" t="n">
        <v>68184889000</v>
      </c>
      <c r="D942" s="5" t="n">
        <v>47228218000</v>
      </c>
      <c r="E942" s="5" t="n">
        <v>20956671000</v>
      </c>
      <c r="F942" s="5" t="n">
        <v>20028815000</v>
      </c>
      <c r="G942" s="5" t="n">
        <v>4206233000</v>
      </c>
      <c r="H942" s="5" t="n">
        <v>16808093000</v>
      </c>
      <c r="I942" s="5" t="n">
        <v>5169129000</v>
      </c>
      <c r="J942" s="4" t="n">
        <v>1.317899942398071</v>
      </c>
      <c r="K942" s="4" t="n">
        <v>2.253599882125854</v>
      </c>
      <c r="L942" s="4" t="n">
        <v>0.2099999934434891</v>
      </c>
      <c r="M942" t="inlineStr">
        <is>
          <t>권순익</t>
        </is>
      </c>
      <c r="N942" t="inlineStr">
        <is>
          <t>031-596-6310</t>
        </is>
      </c>
      <c r="O942" t="inlineStr">
        <is>
          <t>031-478-4311</t>
        </is>
      </c>
      <c r="P942" s="3">
        <f>HYPERLINK("http://www.reanzen.com", "http://www.reanzen.com")</f>
        <v/>
      </c>
      <c r="Q942" t="inlineStr">
        <is>
          <t>4058111069</t>
        </is>
      </c>
      <c r="R942" t="inlineStr">
        <is>
          <t>1311110431690</t>
        </is>
      </c>
      <c r="S942" t="inlineStr">
        <is>
          <t>대상아님</t>
        </is>
      </c>
      <c r="T942" t="inlineStr">
        <is>
          <t>일반법인</t>
        </is>
      </c>
      <c r="U942" t="inlineStr">
        <is>
          <t>중소기업</t>
        </is>
      </c>
      <c r="V942" t="inlineStr">
        <is>
          <t>외부감사대상</t>
        </is>
      </c>
      <c r="W942" s="6" t="inlineStr">
        <is>
          <t>2015-12-11</t>
        </is>
      </c>
      <c r="X942" t="inlineStr">
        <is>
          <t>KRI:10C2130000</t>
        </is>
      </c>
      <c r="Y942" t="inlineStr">
        <is>
          <t>의료용품 및 기타 의약 관련제품 제조업</t>
        </is>
      </c>
      <c r="Z942" t="inlineStr">
        <is>
          <t>의료용품,의약관련 제품 제조/화장품 제조,판매</t>
        </is>
      </c>
      <c r="AA942" t="inlineStr">
        <is>
          <t>경기 안양시 동안구 관양동 919번지 더 에이치타워 1106호, 1107호, 1108호, 1109호, 1110호, 1105호</t>
        </is>
      </c>
      <c r="AB942" t="inlineStr">
        <is>
          <t>경기 안양시 동안구 벌말로 80, 1106호, 1107호, 1108호, 1109호, 1110호, 1105호 (관양동,더 에이치타워)</t>
        </is>
      </c>
    </row>
    <row r="943" ht="19.2" customHeight="1" s="1">
      <c r="A943" t="inlineStr">
        <is>
          <t>NICE:135450</t>
        </is>
      </c>
      <c r="B943" t="inlineStr">
        <is>
          <t>서머텍코리아</t>
        </is>
      </c>
      <c r="C943" s="5" t="n">
        <v>26332245000</v>
      </c>
      <c r="D943" s="5" t="n">
        <v>5014085000</v>
      </c>
      <c r="E943" s="5" t="n">
        <v>21318160000</v>
      </c>
      <c r="F943" s="5" t="n">
        <v>38892321000</v>
      </c>
      <c r="G943" s="5" t="n">
        <v>11004575000</v>
      </c>
      <c r="H943" s="5" t="n">
        <v>38783062000</v>
      </c>
      <c r="I943" s="5" t="n">
        <v>10998829000</v>
      </c>
      <c r="J943" s="4" t="n">
        <v>3.898900032043457</v>
      </c>
      <c r="K943" s="4" t="n">
        <v>0.2352000027894974</v>
      </c>
      <c r="L943" s="4" t="n">
        <v>0.2829000055789948</v>
      </c>
      <c r="M943" t="inlineStr">
        <is>
          <t>김동진</t>
        </is>
      </c>
      <c r="N943" t="inlineStr">
        <is>
          <t>055-260-1240</t>
        </is>
      </c>
      <c r="O943" t="inlineStr">
        <is>
          <t>055-287-8717</t>
        </is>
      </c>
      <c r="P943" s="3">
        <f>HYPERLINK("http://www.sermatechkorea.co.kr", "http://www.sermatechkorea.co.kr")</f>
        <v/>
      </c>
      <c r="Q943" t="inlineStr">
        <is>
          <t>6098139316</t>
        </is>
      </c>
      <c r="R943" t="inlineStr">
        <is>
          <t>1942110037558</t>
        </is>
      </c>
      <c r="S943" t="inlineStr">
        <is>
          <t>대상아님</t>
        </is>
      </c>
      <c r="T943" t="inlineStr">
        <is>
          <t>일반법인</t>
        </is>
      </c>
      <c r="U943" t="inlineStr">
        <is>
          <t>중소기업</t>
        </is>
      </c>
      <c r="V943" t="inlineStr">
        <is>
          <t>외부감사대상</t>
        </is>
      </c>
      <c r="W943" s="6" t="inlineStr">
        <is>
          <t>1999-10-30</t>
        </is>
      </c>
      <c r="X943" t="inlineStr">
        <is>
          <t>KRI:10C2592300</t>
        </is>
      </c>
      <c r="Y943" t="inlineStr">
        <is>
          <t>도장 및 기타 피막처리업</t>
        </is>
      </c>
      <c r="Z943" t="inlineStr">
        <is>
          <t>프라즈마,서멀코팅,수리 용접/확산 코팅</t>
        </is>
      </c>
      <c r="AA943" t="inlineStr">
        <is>
          <t>경남 창원시 성산구 성주동 28번지</t>
        </is>
      </c>
      <c r="AB943" t="inlineStr">
        <is>
          <t>경남 창원시 성산구 창원대로 1204</t>
        </is>
      </c>
    </row>
    <row r="944" ht="19.2" customHeight="1" s="1">
      <c r="A944" t="inlineStr">
        <is>
          <t>NICE:483635</t>
        </is>
      </c>
      <c r="B944" t="inlineStr">
        <is>
          <t>일미</t>
        </is>
      </c>
      <c r="C944" s="5" t="n">
        <v>32537028000</v>
      </c>
      <c r="D944" s="5" t="n">
        <v>8686136000</v>
      </c>
      <c r="E944" s="5" t="n">
        <v>23850892000</v>
      </c>
      <c r="F944" s="5" t="n">
        <v>21714848000</v>
      </c>
      <c r="G944" s="5" t="n">
        <v>3661978000</v>
      </c>
      <c r="H944" s="5" t="n">
        <v>21089135000</v>
      </c>
      <c r="I944" s="5" t="n">
        <v>3866460000</v>
      </c>
      <c r="J944" s="4" t="n">
        <v>0.5249999761581421</v>
      </c>
      <c r="K944" s="4" t="n">
        <v>0.3641999661922455</v>
      </c>
      <c r="L944" s="4" t="n">
        <v>0.168600007891655</v>
      </c>
      <c r="M944" t="inlineStr">
        <is>
          <t>오영철</t>
        </is>
      </c>
      <c r="N944" t="inlineStr">
        <is>
          <t>041-867-9992</t>
        </is>
      </c>
      <c r="O944" t="inlineStr">
        <is>
          <t>041-867-9994</t>
        </is>
      </c>
      <c r="P944" s="3" t="n"/>
      <c r="Q944" t="inlineStr">
        <is>
          <t>3128105853</t>
        </is>
      </c>
      <c r="R944" t="inlineStr">
        <is>
          <t>1648110002480</t>
        </is>
      </c>
      <c r="S944" t="inlineStr">
        <is>
          <t>대상아님</t>
        </is>
      </c>
      <c r="T944" t="inlineStr">
        <is>
          <t>일반법인</t>
        </is>
      </c>
      <c r="U944" t="inlineStr">
        <is>
          <t>중소기업</t>
        </is>
      </c>
      <c r="V944" t="inlineStr">
        <is>
          <t>외부감사대상</t>
        </is>
      </c>
      <c r="W944" s="6" t="inlineStr">
        <is>
          <t>1988-08-06</t>
        </is>
      </c>
      <c r="X944" t="inlineStr">
        <is>
          <t>KRI:10C1030200</t>
        </is>
      </c>
      <c r="Y944" t="inlineStr">
        <is>
          <t>과실 및 그 외 채소 절임식품 제조업</t>
        </is>
      </c>
      <c r="Z944" t="inlineStr">
        <is>
          <t>절임식품 제조,판매/부동산 임대,관리</t>
        </is>
      </c>
      <c r="AA944" t="inlineStr">
        <is>
          <t>세종 조치원읍 번암리 119-1번지</t>
        </is>
      </c>
      <c r="AB944" t="inlineStr">
        <is>
          <t>세종 조치원읍 번암공단1길 7</t>
        </is>
      </c>
    </row>
    <row r="945" ht="19.2" customHeight="1" s="1">
      <c r="A945" t="inlineStr">
        <is>
          <t>NICE:G99830</t>
        </is>
      </c>
      <c r="B945" t="inlineStr">
        <is>
          <t>티에스티</t>
        </is>
      </c>
      <c r="C945" s="5" t="n">
        <v>30381593000</v>
      </c>
      <c r="D945" s="5" t="n">
        <v>21701436000</v>
      </c>
      <c r="E945" s="5" t="n">
        <v>8680157000</v>
      </c>
      <c r="F945" s="5" t="n">
        <v>28448323000</v>
      </c>
      <c r="G945" s="5" t="n">
        <v>3371034000</v>
      </c>
      <c r="H945" s="5" t="n">
        <v>30089964000</v>
      </c>
      <c r="I945" s="5" t="n">
        <v>1427154000</v>
      </c>
      <c r="J945" s="4" t="n">
        <v>1.516600012779236</v>
      </c>
      <c r="K945" s="4" t="n">
        <v>2.500099897384644</v>
      </c>
      <c r="L945" s="4" t="n">
        <v>0.1185000017285347</v>
      </c>
      <c r="M945" t="inlineStr">
        <is>
          <t>이재학</t>
        </is>
      </c>
      <c r="N945" t="inlineStr">
        <is>
          <t>054-471-5691</t>
        </is>
      </c>
      <c r="O945" t="inlineStr">
        <is>
          <t>054-471-5696</t>
        </is>
      </c>
      <c r="P945" s="3" t="n"/>
      <c r="Q945" t="inlineStr">
        <is>
          <t>5138161875</t>
        </is>
      </c>
      <c r="R945" t="inlineStr">
        <is>
          <t>1760110068492</t>
        </is>
      </c>
      <c r="S945" t="inlineStr">
        <is>
          <t>대상아님</t>
        </is>
      </c>
      <c r="T945" t="inlineStr">
        <is>
          <t>일반법인</t>
        </is>
      </c>
      <c r="U945" t="inlineStr">
        <is>
          <t>중소기업</t>
        </is>
      </c>
      <c r="V945" t="inlineStr">
        <is>
          <t>외부감사대상</t>
        </is>
      </c>
      <c r="W945" s="6" t="inlineStr">
        <is>
          <t>2011-01-17</t>
        </is>
      </c>
      <c r="X945" t="inlineStr">
        <is>
          <t>KRI:10C2929900</t>
        </is>
      </c>
      <c r="Y945" t="inlineStr">
        <is>
          <t>그 외 기타 특수목적용 기계 제조업</t>
        </is>
      </c>
      <c r="Z945" t="inlineStr">
        <is>
          <t>반도체장비,자동화기계 제조</t>
        </is>
      </c>
      <c r="AA945" t="inlineStr">
        <is>
          <t>경북 구미시 산동읍 도중리 0번지</t>
        </is>
      </c>
      <c r="AB945" t="inlineStr">
        <is>
          <t>경북 구미시 산동읍 5공단6로 16</t>
        </is>
      </c>
    </row>
    <row r="946" ht="19.2" customHeight="1" s="1">
      <c r="A946" t="inlineStr">
        <is>
          <t>NICE:237091</t>
        </is>
      </c>
      <c r="B946" t="inlineStr">
        <is>
          <t>폴리피아</t>
        </is>
      </c>
      <c r="C946" s="5" t="n">
        <v>30192454000</v>
      </c>
      <c r="D946" s="5" t="n">
        <v>4122206000</v>
      </c>
      <c r="E946" s="5" t="n">
        <v>26070248000</v>
      </c>
      <c r="F946" s="5" t="n">
        <v>35246875000</v>
      </c>
      <c r="G946" s="5" t="n">
        <v>6237005000</v>
      </c>
      <c r="H946" s="5" t="n">
        <v>33494935000</v>
      </c>
      <c r="I946" s="5" t="n">
        <v>6193096000</v>
      </c>
      <c r="J946" s="4" t="n">
        <v>6.6697998046875</v>
      </c>
      <c r="K946" s="4" t="n">
        <v>0.1580999940633774</v>
      </c>
      <c r="L946" s="4" t="n">
        <v>0.1770000010728836</v>
      </c>
      <c r="M946" t="inlineStr">
        <is>
          <t>장세훈/전인기</t>
        </is>
      </c>
      <c r="N946" t="inlineStr">
        <is>
          <t>041-363-9508</t>
        </is>
      </c>
      <c r="O946" t="inlineStr">
        <is>
          <t>041-363-9510</t>
        </is>
      </c>
      <c r="P946" s="3" t="n"/>
      <c r="Q946" t="inlineStr">
        <is>
          <t>3118114043</t>
        </is>
      </c>
      <c r="R946" t="inlineStr">
        <is>
          <t>1650110006958</t>
        </is>
      </c>
      <c r="S946" t="inlineStr">
        <is>
          <t>대상아님</t>
        </is>
      </c>
      <c r="T946" t="inlineStr">
        <is>
          <t>일반법인</t>
        </is>
      </c>
      <c r="U946" t="inlineStr">
        <is>
          <t>중소기업</t>
        </is>
      </c>
      <c r="V946" t="inlineStr">
        <is>
          <t>외부감사대상</t>
        </is>
      </c>
      <c r="W946" s="6" t="inlineStr">
        <is>
          <t>2000-04-01</t>
        </is>
      </c>
      <c r="X946" t="inlineStr">
        <is>
          <t>KRI:10C2020200</t>
        </is>
      </c>
      <c r="Y946" t="inlineStr">
        <is>
          <t>합성수지 및 기타 플라스틱 물질 제조업</t>
        </is>
      </c>
      <c r="Z946" t="inlineStr">
        <is>
          <t>합성수지 제조,도소매/산업용재화 무역</t>
        </is>
      </c>
      <c r="AA946" t="inlineStr">
        <is>
          <t>충남 당진시 신평면 신흥리 42-11번지</t>
        </is>
      </c>
      <c r="AB946" t="inlineStr">
        <is>
          <t>충남 당진시 신평면 원신당로 171</t>
        </is>
      </c>
    </row>
    <row r="947" ht="19.2" customHeight="1" s="1">
      <c r="A947" t="inlineStr">
        <is>
          <t>NICE:440285</t>
        </is>
      </c>
      <c r="B947" t="inlineStr">
        <is>
          <t>조이포라이프</t>
        </is>
      </c>
      <c r="C947" s="5" t="n">
        <v>28634089000</v>
      </c>
      <c r="D947" s="5" t="n">
        <v>20088973000</v>
      </c>
      <c r="E947" s="5" t="n">
        <v>8545116000</v>
      </c>
      <c r="F947" s="5" t="n">
        <v>46192231000</v>
      </c>
      <c r="G947" s="5" t="n">
        <v>5693988000</v>
      </c>
      <c r="H947" s="5" t="n">
        <v>40354713000</v>
      </c>
      <c r="I947" s="5" t="n">
        <v>2690256000</v>
      </c>
      <c r="J947" s="4" t="n">
        <v>1.306199908256531</v>
      </c>
      <c r="K947" s="4" t="n">
        <v>2.350899934768677</v>
      </c>
      <c r="L947" s="4" t="n">
        <v>0.1232999935746193</v>
      </c>
      <c r="M947" t="inlineStr">
        <is>
          <t>하기호</t>
        </is>
      </c>
      <c r="N947" t="inlineStr">
        <is>
          <t>031-319-0613</t>
        </is>
      </c>
      <c r="O947" t="inlineStr">
        <is>
          <t>031-319-0615</t>
        </is>
      </c>
      <c r="P947" s="3">
        <f>HYPERLINK("http://www.joeyforlife.com", "http://www.joeyforlife.com")</f>
        <v/>
      </c>
      <c r="Q947" t="inlineStr">
        <is>
          <t>1208643097</t>
        </is>
      </c>
      <c r="R947" t="inlineStr">
        <is>
          <t>1101112626252</t>
        </is>
      </c>
      <c r="S947" t="inlineStr">
        <is>
          <t>대상아님</t>
        </is>
      </c>
      <c r="T947" t="inlineStr">
        <is>
          <t>일반법인</t>
        </is>
      </c>
      <c r="U947" t="inlineStr">
        <is>
          <t>중소기업</t>
        </is>
      </c>
      <c r="V947" t="inlineStr">
        <is>
          <t>외부감사대상</t>
        </is>
      </c>
      <c r="W947" s="6" t="inlineStr">
        <is>
          <t>2002-10-09</t>
        </is>
      </c>
      <c r="X947" t="inlineStr">
        <is>
          <t>KRI:10C2599300</t>
        </is>
      </c>
      <c r="Y947" t="inlineStr">
        <is>
          <t>금속 위생용품 제조업</t>
        </is>
      </c>
      <c r="Z947" t="inlineStr">
        <is>
          <t>욕실용품(샤워헤드,부속품) 제조,도소매</t>
        </is>
      </c>
      <c r="AA947" t="inlineStr">
        <is>
          <t>경기 화성시 만세구 장안면 독정리 276-3번지</t>
        </is>
      </c>
      <c r="AB947" t="inlineStr">
        <is>
          <t>경기 화성시 만세구 장안면 장안로 480-192</t>
        </is>
      </c>
    </row>
    <row r="948" ht="19.2" customHeight="1" s="1">
      <c r="A948" t="inlineStr">
        <is>
          <t>NICE:838543</t>
        </is>
      </c>
      <c r="B948" t="inlineStr">
        <is>
          <t>득영</t>
        </is>
      </c>
      <c r="C948" s="5" t="n">
        <v>23242645000</v>
      </c>
      <c r="D948" s="5" t="n">
        <v>4644167000</v>
      </c>
      <c r="E948" s="5" t="n">
        <v>18598477000</v>
      </c>
      <c r="F948" s="5" t="n">
        <v>26939507000</v>
      </c>
      <c r="G948" s="5" t="n">
        <v>3902031000</v>
      </c>
      <c r="H948" s="5" t="n">
        <v>24555306000</v>
      </c>
      <c r="I948" s="5" t="n">
        <v>2905455000</v>
      </c>
      <c r="J948" s="4" t="n">
        <v>6.052599906921387</v>
      </c>
      <c r="K948" s="4" t="n">
        <v>0.2496999949216843</v>
      </c>
      <c r="L948" s="4" t="n">
        <v>0.144799992442131</v>
      </c>
      <c r="M948" t="inlineStr">
        <is>
          <t>이성욱</t>
        </is>
      </c>
      <c r="N948" t="inlineStr">
        <is>
          <t>043-882-2451</t>
        </is>
      </c>
      <c r="O948" t="inlineStr">
        <is>
          <t>043-882-2457</t>
        </is>
      </c>
      <c r="P948" s="3">
        <f>HYPERLINK("http://www.deukyoung.co.kr", "http://www.deukyoung.co.kr")</f>
        <v/>
      </c>
      <c r="Q948" t="inlineStr">
        <is>
          <t>3038114872</t>
        </is>
      </c>
      <c r="R948" t="inlineStr">
        <is>
          <t>1545110008832</t>
        </is>
      </c>
      <c r="S948" t="inlineStr">
        <is>
          <t>대상아님</t>
        </is>
      </c>
      <c r="T948" t="inlineStr">
        <is>
          <t>일반법인</t>
        </is>
      </c>
      <c r="U948" t="inlineStr">
        <is>
          <t>중소기업</t>
        </is>
      </c>
      <c r="V948" t="inlineStr">
        <is>
          <t>외부감사대상</t>
        </is>
      </c>
      <c r="W948" s="6" t="inlineStr">
        <is>
          <t>1996-01-23</t>
        </is>
      </c>
      <c r="X948" t="inlineStr">
        <is>
          <t>KRI:10C1399200</t>
        </is>
      </c>
      <c r="Y948" t="inlineStr">
        <is>
          <t>부직포 및 펠트 제조업</t>
        </is>
      </c>
      <c r="Z948" t="inlineStr">
        <is>
          <t>부직포,펠트 제조</t>
        </is>
      </c>
      <c r="AA948" t="inlineStr">
        <is>
          <t>충북 음성군 삼성면 양덕리 817번지</t>
        </is>
      </c>
      <c r="AB948" t="inlineStr">
        <is>
          <t>충북 음성군 삼성면 금일로 1087-16</t>
        </is>
      </c>
    </row>
    <row r="949" ht="19.2" customHeight="1" s="1">
      <c r="A949" t="inlineStr">
        <is>
          <t>NICE:171824</t>
        </is>
      </c>
      <c r="B949" t="inlineStr">
        <is>
          <t>동일유리</t>
        </is>
      </c>
      <c r="C949" s="5" t="n">
        <v>18991814000</v>
      </c>
      <c r="D949" s="5" t="n">
        <v>1314538000</v>
      </c>
      <c r="E949" s="5" t="n">
        <v>17677276000</v>
      </c>
      <c r="F949" s="5" t="n">
        <v>20560869000</v>
      </c>
      <c r="G949" s="5" t="n">
        <v>2650682000</v>
      </c>
      <c r="H949" s="5" t="n">
        <v>27021092000</v>
      </c>
      <c r="I949" s="5" t="n">
        <v>5304103000</v>
      </c>
      <c r="J949" s="4" t="n">
        <v>10.41109943389893</v>
      </c>
      <c r="K949" s="4" t="n">
        <v>0.07440000027418137</v>
      </c>
      <c r="L949" s="4" t="n">
        <v>0.1289000064134598</v>
      </c>
      <c r="M949" t="inlineStr">
        <is>
          <t>김정환</t>
        </is>
      </c>
      <c r="N949" t="inlineStr">
        <is>
          <t>043-275-6161</t>
        </is>
      </c>
      <c r="O949" t="inlineStr">
        <is>
          <t>043-217-6151</t>
        </is>
      </c>
      <c r="P949" s="3">
        <f>HYPERLINK("http://www.dongilglass.co.kr", "http://www.dongilglass.co.kr")</f>
        <v/>
      </c>
      <c r="Q949" t="inlineStr">
        <is>
          <t>3158100594</t>
        </is>
      </c>
      <c r="R949" t="inlineStr">
        <is>
          <t>1501110001193</t>
        </is>
      </c>
      <c r="S949" t="inlineStr">
        <is>
          <t>대상아님</t>
        </is>
      </c>
      <c r="T949" t="inlineStr">
        <is>
          <t>일반법인</t>
        </is>
      </c>
      <c r="U949" t="inlineStr">
        <is>
          <t>중소기업</t>
        </is>
      </c>
      <c r="V949" t="inlineStr">
        <is>
          <t>외부감사대상</t>
        </is>
      </c>
      <c r="W949" s="6" t="inlineStr">
        <is>
          <t>1978-03-18</t>
        </is>
      </c>
      <c r="X949" t="inlineStr">
        <is>
          <t>KRI:10F4242000</t>
        </is>
      </c>
      <c r="Y949" t="inlineStr">
        <is>
          <t>유리 및 창호 공사업</t>
        </is>
      </c>
      <c r="Z949" t="inlineStr">
        <is>
          <t>금속창호공사,건축공사,지붕건축물조립공사/복층유리,유리,알루미늄창호 제조/부동산 임대</t>
        </is>
      </c>
      <c r="AA949" t="inlineStr">
        <is>
          <t>충북 청주시 청원구 오창읍 모정리 189-1번지</t>
        </is>
      </c>
      <c r="AB949" t="inlineStr">
        <is>
          <t>충북 청주시 청원구 오창읍 두릉유리로 1315</t>
        </is>
      </c>
    </row>
    <row r="950" ht="19.2" customHeight="1" s="1">
      <c r="A950" t="inlineStr">
        <is>
          <t>NICE:IS0151</t>
        </is>
      </c>
      <c r="B950" t="inlineStr">
        <is>
          <t>서현메탈</t>
        </is>
      </c>
      <c r="C950" s="5" t="n">
        <v>72898547000</v>
      </c>
      <c r="D950" s="5" t="n">
        <v>61801042000</v>
      </c>
      <c r="E950" s="5" t="n">
        <v>11097505000</v>
      </c>
      <c r="F950" s="5" t="n">
        <v>29586830000</v>
      </c>
      <c r="G950" s="5" t="n">
        <v>12810725000</v>
      </c>
      <c r="H950" s="5" t="n">
        <v>14983115000</v>
      </c>
      <c r="I950" s="5" t="n">
        <v>3743986000</v>
      </c>
      <c r="J950" s="4" t="n">
        <v>0.7162999510765076</v>
      </c>
      <c r="K950" s="4" t="n">
        <v>5.568900108337402</v>
      </c>
      <c r="L950" s="4" t="n">
        <v>0.4329999685287476</v>
      </c>
      <c r="M950" t="inlineStr">
        <is>
          <t>김은혜</t>
        </is>
      </c>
      <c r="N950" t="inlineStr">
        <is>
          <t>02-552-7750</t>
        </is>
      </c>
      <c r="O950" t="inlineStr">
        <is>
          <t>02-551-7749</t>
        </is>
      </c>
      <c r="P950" s="3" t="n"/>
      <c r="Q950" t="inlineStr">
        <is>
          <t>6908700634</t>
        </is>
      </c>
      <c r="R950" t="inlineStr">
        <is>
          <t>1101116454047</t>
        </is>
      </c>
      <c r="S950" t="inlineStr">
        <is>
          <t>대상아님</t>
        </is>
      </c>
      <c r="T950" t="inlineStr">
        <is>
          <t>일반법인</t>
        </is>
      </c>
      <c r="U950" t="inlineStr">
        <is>
          <t>중소기업</t>
        </is>
      </c>
      <c r="V950" t="inlineStr">
        <is>
          <t>외부감사대상</t>
        </is>
      </c>
      <c r="W950" s="6" t="inlineStr">
        <is>
          <t>2017-07-06</t>
        </is>
      </c>
      <c r="X950" t="inlineStr">
        <is>
          <t>KRI:10G4649200</t>
        </is>
      </c>
      <c r="Y950" t="inlineStr">
        <is>
          <t>시계 및 귀금속제품 도매업</t>
        </is>
      </c>
      <c r="Z950" t="inlineStr">
        <is>
          <t>시계,귀금속제품,악세사리,신구 도소매,수출입/부동산 임대</t>
        </is>
      </c>
      <c r="AA950" t="inlineStr">
        <is>
          <t>서울 강동구 명일동 328-2번지 301호</t>
        </is>
      </c>
      <c r="AB950" t="inlineStr">
        <is>
          <t>서울 강동구 구천면로 438, 301호</t>
        </is>
      </c>
    </row>
    <row r="951" ht="19.2" customHeight="1" s="1">
      <c r="A951" t="inlineStr">
        <is>
          <t>NICE:I88243</t>
        </is>
      </c>
      <c r="B951" t="inlineStr">
        <is>
          <t>수원순환도로</t>
        </is>
      </c>
      <c r="C951" s="5" t="n">
        <v>241522310000</v>
      </c>
      <c r="D951" s="5" t="n">
        <v>219392947000</v>
      </c>
      <c r="E951" s="5" t="n">
        <v>22129364000</v>
      </c>
      <c r="F951" s="5" t="n">
        <v>27089483000</v>
      </c>
      <c r="G951" s="5" t="n">
        <v>13005208000</v>
      </c>
      <c r="H951" s="5" t="n">
        <v>24898922000</v>
      </c>
      <c r="I951" s="5" t="n">
        <v>11055523000</v>
      </c>
      <c r="J951" s="4" t="n">
        <v>2.409199953079224</v>
      </c>
      <c r="K951" s="4" t="n">
        <v>9.91409969329834</v>
      </c>
      <c r="L951" s="4" t="n">
        <v>0.4800999760627747</v>
      </c>
      <c r="M951" t="inlineStr">
        <is>
          <t>김경택</t>
        </is>
      </c>
      <c r="N951" t="inlineStr">
        <is>
          <t>070-7701-5359</t>
        </is>
      </c>
      <c r="O951" t="inlineStr">
        <is>
          <t>031-211-3257</t>
        </is>
      </c>
      <c r="P951" s="3" t="n"/>
      <c r="Q951" t="inlineStr">
        <is>
          <t>1208793105</t>
        </is>
      </c>
      <c r="R951" t="inlineStr">
        <is>
          <t>1101115046340</t>
        </is>
      </c>
      <c r="S951" t="inlineStr">
        <is>
          <t>대상아님</t>
        </is>
      </c>
      <c r="T951" t="inlineStr">
        <is>
          <t>일반법인</t>
        </is>
      </c>
      <c r="U951" t="inlineStr">
        <is>
          <t>중소기업</t>
        </is>
      </c>
      <c r="V951" t="inlineStr">
        <is>
          <t>외부감사대상</t>
        </is>
      </c>
      <c r="W951" s="6" t="inlineStr">
        <is>
          <t>2013-01-16</t>
        </is>
      </c>
      <c r="X951" t="inlineStr">
        <is>
          <t>KRI:10H5291400</t>
        </is>
      </c>
      <c r="Y951" t="inlineStr">
        <is>
          <t>도로 및 관련시설 운영업</t>
        </is>
      </c>
      <c r="Z951" t="inlineStr">
        <is>
          <t>도로,관련시설 운영</t>
        </is>
      </c>
      <c r="AA951" t="inlineStr">
        <is>
          <t>경기 수원시 장안구 송죽동 10-6번지 장안영업소 2층</t>
        </is>
      </c>
      <c r="AB951" t="inlineStr">
        <is>
          <t>경기 수원시 장안구 수원북부순환로 188, 2층 (송죽동,장안영업소)</t>
        </is>
      </c>
    </row>
    <row r="952" s="1">
      <c r="A952" t="inlineStr">
        <is>
          <t>NICE:375517</t>
        </is>
      </c>
      <c r="B952" t="inlineStr">
        <is>
          <t>이오에스</t>
        </is>
      </c>
      <c r="C952" s="5" t="n">
        <v>172350769000</v>
      </c>
      <c r="D952" s="5" t="n">
        <v>62310086000</v>
      </c>
      <c r="E952" s="5" t="n">
        <v>110040683000</v>
      </c>
      <c r="F952" s="5" t="n">
        <v>134615496000</v>
      </c>
      <c r="G952" s="5" t="n">
        <v>18175748000</v>
      </c>
      <c r="H952" s="5" t="n">
        <v>112374523000</v>
      </c>
      <c r="I952" s="5" t="n">
        <v>24319018000</v>
      </c>
      <c r="J952" s="4" t="n">
        <v>2.798599720001221</v>
      </c>
      <c r="K952" s="4" t="n">
        <v>0.5661999583244324</v>
      </c>
      <c r="L952" s="4" t="n">
        <v>0.1349999904632568</v>
      </c>
      <c r="M952" t="inlineStr">
        <is>
          <t>김미경/정채호</t>
        </is>
      </c>
      <c r="N952" t="inlineStr">
        <is>
          <t>032-816-5566</t>
        </is>
      </c>
      <c r="O952" t="inlineStr">
        <is>
          <t>032-816-5466</t>
        </is>
      </c>
      <c r="P952">
        <f>HYPERLINK("http://www.eos.co.kr", "http://www.eos.co.kr")</f>
        <v/>
      </c>
      <c r="Q952" t="inlineStr">
        <is>
          <t>1318183605</t>
        </is>
      </c>
      <c r="R952" t="inlineStr">
        <is>
          <t>1201110338740</t>
        </is>
      </c>
      <c r="S952" t="inlineStr">
        <is>
          <t>대상아님</t>
        </is>
      </c>
      <c r="T952" t="inlineStr">
        <is>
          <t>일반법인</t>
        </is>
      </c>
      <c r="U952" t="inlineStr">
        <is>
          <t>중소기업</t>
        </is>
      </c>
      <c r="V952" t="inlineStr">
        <is>
          <t>외부감사대상</t>
        </is>
      </c>
      <c r="W952" s="6" t="inlineStr">
        <is>
          <t>2004-02-18</t>
        </is>
      </c>
      <c r="X952" t="inlineStr">
        <is>
          <t>KRI:10C2622100</t>
        </is>
      </c>
      <c r="Y952" t="inlineStr">
        <is>
          <t>인쇄회로기판용 적층판 제조업</t>
        </is>
      </c>
      <c r="Z952" t="inlineStr">
        <is>
          <t>인쇄회로기판,전자부품 제조,도소매/전자상거래/부동산 임대/응용소프트웨어 개발,공급</t>
        </is>
      </c>
      <c r="AA952" t="inlineStr">
        <is>
          <t>인천 남동구 고잔동 628-12번지</t>
        </is>
      </c>
      <c r="AB952" t="inlineStr">
        <is>
          <t>인천 남동구 남동대로215번길 103</t>
        </is>
      </c>
    </row>
    <row r="953" ht="19.2" customHeight="1" s="1">
      <c r="A953" t="inlineStr">
        <is>
          <t>NICE:478575</t>
        </is>
      </c>
      <c r="B953" t="inlineStr">
        <is>
          <t>델타일렉트로닉스코리아</t>
        </is>
      </c>
      <c r="C953" s="5" t="n">
        <v>32641412000</v>
      </c>
      <c r="D953" s="5" t="n">
        <v>9273409000</v>
      </c>
      <c r="E953" s="5" t="n">
        <v>23368003000</v>
      </c>
      <c r="F953" s="5" t="n">
        <v>37771754000</v>
      </c>
      <c r="G953" s="5" t="n">
        <v>4175661000</v>
      </c>
      <c r="H953" s="5" t="n">
        <v>32354925000</v>
      </c>
      <c r="I953" s="5" t="n">
        <v>3870704000</v>
      </c>
      <c r="J953" s="4" t="n">
        <v>3.067099809646606</v>
      </c>
      <c r="K953" s="4" t="n">
        <v>0.3967999815940857</v>
      </c>
      <c r="L953" s="4" t="n">
        <v>0.1105000004172325</v>
      </c>
      <c r="M953" t="inlineStr">
        <is>
          <t>화치엔하오</t>
        </is>
      </c>
      <c r="N953" t="inlineStr">
        <is>
          <t>02-515-5303</t>
        </is>
      </c>
      <c r="O953" t="inlineStr">
        <is>
          <t>02-515-5302</t>
        </is>
      </c>
      <c r="P953" s="3">
        <f>HYPERLINK("https://www.delta-korea.com/ko-KR/index", "https://www.delta-korea.com/ko-KR/index")</f>
        <v/>
      </c>
      <c r="Q953" t="inlineStr">
        <is>
          <t>2118747042</t>
        </is>
      </c>
      <c r="R953" t="inlineStr">
        <is>
          <t>1101112977001</t>
        </is>
      </c>
      <c r="S953" t="inlineStr">
        <is>
          <t>대상아님</t>
        </is>
      </c>
      <c r="T953" t="inlineStr">
        <is>
          <t>일반법인</t>
        </is>
      </c>
      <c r="U953" t="inlineStr">
        <is>
          <t>중소기업</t>
        </is>
      </c>
      <c r="V953" t="inlineStr">
        <is>
          <t>외부감사대상</t>
        </is>
      </c>
      <c r="W953" s="6" t="inlineStr">
        <is>
          <t>2004-03-19</t>
        </is>
      </c>
      <c r="X953" t="inlineStr">
        <is>
          <t>KRI:10G4659500</t>
        </is>
      </c>
      <c r="Y953" t="inlineStr">
        <is>
          <t>전기용 기계ㆍ장비 및 관련 기자재 도매업</t>
        </is>
      </c>
      <c r="Z953" t="inlineStr">
        <is>
          <t>반도체 도매</t>
        </is>
      </c>
      <c r="AA953" t="inlineStr">
        <is>
          <t>서울 금천구 가산동 481-4번지 벽산디지털밸리6차 1511호</t>
        </is>
      </c>
      <c r="AB953" t="inlineStr">
        <is>
          <t>서울 금천구 가산디지털1로 219, 1511호 (가산동,벽산디지털밸리6차)</t>
        </is>
      </c>
    </row>
    <row r="954" ht="19.2" customHeight="1" s="1">
      <c r="A954" t="inlineStr">
        <is>
          <t>NICE:F19449</t>
        </is>
      </c>
      <c r="B954" t="inlineStr">
        <is>
          <t>푸드케어</t>
        </is>
      </c>
      <c r="C954" s="5" t="n">
        <v>31168474000</v>
      </c>
      <c r="D954" s="5" t="n">
        <v>7485086000</v>
      </c>
      <c r="E954" s="5" t="n">
        <v>23683388000</v>
      </c>
      <c r="F954" s="5" t="n">
        <v>35759825000</v>
      </c>
      <c r="G954" s="5" t="n">
        <v>3899962000</v>
      </c>
      <c r="H954" s="5" t="n">
        <v>32002224000</v>
      </c>
      <c r="I954" s="5" t="n">
        <v>4275371000</v>
      </c>
      <c r="J954" s="4" t="n">
        <v>2.797000169754028</v>
      </c>
      <c r="K954" s="4" t="n">
        <v>0.3159999847412109</v>
      </c>
      <c r="L954" s="4" t="n">
        <v>0.1090999990701675</v>
      </c>
      <c r="M954" t="inlineStr">
        <is>
          <t>송주영</t>
        </is>
      </c>
      <c r="N954" t="inlineStr">
        <is>
          <t>1577-7003</t>
        </is>
      </c>
      <c r="O954" t="inlineStr">
        <is>
          <t>032-624-3343</t>
        </is>
      </c>
      <c r="P954" s="3">
        <f>HYPERLINK("http://www.eusik.com", "http://www.eusik.com")</f>
        <v/>
      </c>
      <c r="Q954" t="inlineStr">
        <is>
          <t>1308648124</t>
        </is>
      </c>
      <c r="R954" t="inlineStr">
        <is>
          <t>1211110196676</t>
        </is>
      </c>
      <c r="S954" t="inlineStr">
        <is>
          <t>대상아님</t>
        </is>
      </c>
      <c r="T954" t="inlineStr">
        <is>
          <t>일반법인</t>
        </is>
      </c>
      <c r="U954" t="inlineStr">
        <is>
          <t>중소기업</t>
        </is>
      </c>
      <c r="V954" t="inlineStr">
        <is>
          <t>외부감사대상</t>
        </is>
      </c>
      <c r="W954" s="6" t="inlineStr">
        <is>
          <t>2009-12-24</t>
        </is>
      </c>
      <c r="X954" t="inlineStr">
        <is>
          <t>KRI:10C1079300</t>
        </is>
      </c>
      <c r="Y954" t="inlineStr">
        <is>
          <t>수프 및 균질화식품 제조업</t>
        </is>
      </c>
      <c r="Z954" t="inlineStr">
        <is>
          <t>이유식 제조</t>
        </is>
      </c>
      <c r="AA954" t="inlineStr">
        <is>
          <t>경기 부천시 오정구 삼정동 15-2번지 로에스푸드밸리</t>
        </is>
      </c>
      <c r="AB954" t="inlineStr">
        <is>
          <t>경기 부천시 오정구 석천로453번길 92-18 (삼정동,로에스푸드밸리)</t>
        </is>
      </c>
    </row>
    <row r="955" s="1">
      <c r="A955" t="inlineStr">
        <is>
          <t>NICE:QL3102</t>
        </is>
      </c>
      <c r="B955" t="inlineStr">
        <is>
          <t>오에이치엠씨</t>
        </is>
      </c>
      <c r="C955" s="5" t="n">
        <v>25882212000</v>
      </c>
      <c r="D955" s="5" t="n">
        <v>17774390000</v>
      </c>
      <c r="E955" s="5" t="n">
        <v>8107823000</v>
      </c>
      <c r="F955" s="5" t="n">
        <v>30602291000</v>
      </c>
      <c r="G955" s="5" t="n">
        <v>4528855000</v>
      </c>
      <c r="H955" s="5" t="n">
        <v>14156089000</v>
      </c>
      <c r="I955" s="5" t="n">
        <v>1120670000</v>
      </c>
      <c r="J955" s="4" t="n">
        <v>0.4397999942302704</v>
      </c>
      <c r="K955" s="4" t="n">
        <v>2.192299842834473</v>
      </c>
      <c r="L955" s="4" t="n">
        <v>0.1480000019073486</v>
      </c>
      <c r="M955" t="inlineStr">
        <is>
          <t>최영철</t>
        </is>
      </c>
      <c r="N955" t="inlineStr">
        <is>
          <t>02-540-0967</t>
        </is>
      </c>
      <c r="O955" t="inlineStr">
        <is>
          <t>02-540-0974</t>
        </is>
      </c>
      <c r="P955">
        <f>HYPERLINK("http://ohmckorea.com", "http://ohmckorea.com")</f>
        <v/>
      </c>
      <c r="Q955" t="inlineStr">
        <is>
          <t>1858703162</t>
        </is>
      </c>
      <c r="R955" t="inlineStr">
        <is>
          <t>1101118734512</t>
        </is>
      </c>
      <c r="S955" t="inlineStr">
        <is>
          <t>대상아님</t>
        </is>
      </c>
      <c r="T955" t="inlineStr">
        <is>
          <t>일반법인</t>
        </is>
      </c>
      <c r="U955" t="inlineStr">
        <is>
          <t>중소기업</t>
        </is>
      </c>
      <c r="V955" t="inlineStr">
        <is>
          <t>외부감사대상</t>
        </is>
      </c>
      <c r="W955" s="6" t="inlineStr">
        <is>
          <t>2023-09-05</t>
        </is>
      </c>
      <c r="X955" t="inlineStr">
        <is>
          <t>KRI:10N7599900</t>
        </is>
      </c>
      <c r="Y955" t="inlineStr">
        <is>
          <t>그 외 기타 분류 안된 사업지원 서비스업</t>
        </is>
      </c>
      <c r="Z955" t="inlineStr">
        <is>
          <t>호텔 위탁경영,컨설팅</t>
        </is>
      </c>
      <c r="AA955" t="inlineStr">
        <is>
          <t>서울 강남구 삼성동 75-6번지 수당빌딩 2층</t>
        </is>
      </c>
      <c r="AB955" t="inlineStr">
        <is>
          <t>서울 강남구 봉은사로 509, 2층 (삼성동,수당빌딩)</t>
        </is>
      </c>
    </row>
    <row r="956" ht="19.2" customHeight="1" s="1">
      <c r="A956" t="inlineStr">
        <is>
          <t>NICE:050442</t>
        </is>
      </c>
      <c r="B956" t="inlineStr">
        <is>
          <t>아시아첨가제</t>
        </is>
      </c>
      <c r="C956" s="5" t="n">
        <v>40612528000</v>
      </c>
      <c r="D956" s="5" t="n">
        <v>20303186000</v>
      </c>
      <c r="E956" s="5" t="n">
        <v>20309342000</v>
      </c>
      <c r="F956" s="5" t="n">
        <v>58361024000</v>
      </c>
      <c r="G956" s="5" t="n">
        <v>8891681000</v>
      </c>
      <c r="H956" s="5" t="n">
        <v>54104984000</v>
      </c>
      <c r="I956" s="5" t="n">
        <v>3302821000</v>
      </c>
      <c r="J956" s="4" t="n">
        <v>1.626999974250793</v>
      </c>
      <c r="K956" s="4" t="n">
        <v>0.9997000098228455</v>
      </c>
      <c r="L956" s="4" t="n">
        <v>0.1523999869823456</v>
      </c>
      <c r="M956" t="inlineStr">
        <is>
          <t>강신우/수양</t>
        </is>
      </c>
      <c r="N956" t="inlineStr">
        <is>
          <t>031-650-2000</t>
        </is>
      </c>
      <c r="O956" t="inlineStr">
        <is>
          <t>031-651-4602</t>
        </is>
      </c>
      <c r="P956" s="3">
        <f>HYPERLINK("http://www.asc.co.kr", "http://www.asc.co.kr")</f>
        <v/>
      </c>
      <c r="Q956" t="inlineStr">
        <is>
          <t>1258118604</t>
        </is>
      </c>
      <c r="R956" t="inlineStr">
        <is>
          <t>1347110016596</t>
        </is>
      </c>
      <c r="S956" t="inlineStr">
        <is>
          <t>대상아님</t>
        </is>
      </c>
      <c r="T956" t="inlineStr">
        <is>
          <t>일반법인</t>
        </is>
      </c>
      <c r="U956" t="inlineStr">
        <is>
          <t>중견기업</t>
        </is>
      </c>
      <c r="V956" t="inlineStr">
        <is>
          <t>외부감사대상</t>
        </is>
      </c>
      <c r="W956" s="6" t="inlineStr">
        <is>
          <t>1996-04-24</t>
        </is>
      </c>
      <c r="X956" t="inlineStr">
        <is>
          <t>KRI:10C2049900</t>
        </is>
      </c>
      <c r="Y956" t="inlineStr">
        <is>
          <t>그 외 기타 분류 안된 화학제품 제조업</t>
        </is>
      </c>
      <c r="Z956" t="inlineStr">
        <is>
          <t>화학제품(산화방지제,자외선,내열안정제) 제조,도매</t>
        </is>
      </c>
      <c r="AA956" t="inlineStr">
        <is>
          <t>경기 평택시 세교동 542-7번지</t>
        </is>
      </c>
      <c r="AB956" t="inlineStr">
        <is>
          <t>경기 평택시 세교산단로22번길 21</t>
        </is>
      </c>
    </row>
    <row r="957" s="1">
      <c r="A957" t="inlineStr">
        <is>
          <t>NICE:287279</t>
        </is>
      </c>
      <c r="B957" t="inlineStr">
        <is>
          <t>에이치제이</t>
        </is>
      </c>
      <c r="C957" s="5" t="n">
        <v>86072966000</v>
      </c>
      <c r="D957" s="5" t="n">
        <v>23616181000</v>
      </c>
      <c r="E957" s="5" t="n">
        <v>62456785000</v>
      </c>
      <c r="F957" s="5" t="n">
        <v>72670835000</v>
      </c>
      <c r="G957" s="5" t="n">
        <v>20637051000</v>
      </c>
      <c r="H957" s="5" t="n">
        <v>61612948000</v>
      </c>
      <c r="I957" s="5" t="n">
        <v>11776155000</v>
      </c>
      <c r="J957" s="4" t="n">
        <v>2.269199848175049</v>
      </c>
      <c r="K957" s="4" t="n">
        <v>0.3781000077724457</v>
      </c>
      <c r="L957" s="4" t="n">
        <v>0.2839999794960022</v>
      </c>
      <c r="M957" t="inlineStr">
        <is>
          <t>윤세원</t>
        </is>
      </c>
      <c r="N957" t="inlineStr">
        <is>
          <t>031-353-3030</t>
        </is>
      </c>
      <c r="O957" t="inlineStr">
        <is>
          <t>031-353-0016</t>
        </is>
      </c>
      <c r="P957">
        <f>HYPERLINK("http://www.hjlite.com", "http://www.hjlite.com")</f>
        <v/>
      </c>
      <c r="Q957" t="inlineStr">
        <is>
          <t>1348157294</t>
        </is>
      </c>
      <c r="R957" t="inlineStr">
        <is>
          <t>1355110107843</t>
        </is>
      </c>
      <c r="S957" t="inlineStr">
        <is>
          <t>대상아님</t>
        </is>
      </c>
      <c r="T957" t="inlineStr">
        <is>
          <t>일반법인</t>
        </is>
      </c>
      <c r="U957" t="inlineStr">
        <is>
          <t>중소기업</t>
        </is>
      </c>
      <c r="V957" t="inlineStr">
        <is>
          <t>외부감사대상</t>
        </is>
      </c>
      <c r="W957" s="6" t="inlineStr">
        <is>
          <t>2000-06-27</t>
        </is>
      </c>
      <c r="X957" t="inlineStr">
        <is>
          <t>KRI:10C1399400</t>
        </is>
      </c>
      <c r="Y957" t="inlineStr">
        <is>
          <t>표면처리 및 적층 직물 제조업</t>
        </is>
      </c>
      <c r="Z957" t="inlineStr">
        <is>
          <t>재귀반사제품 제조</t>
        </is>
      </c>
      <c r="AA957" t="inlineStr">
        <is>
          <t>경기 화성시 만세구 향남읍 구문천리 928-1번지</t>
        </is>
      </c>
      <c r="AB957" t="inlineStr">
        <is>
          <t>경기 화성시 만세구 향남읍 발안공단로4길 30</t>
        </is>
      </c>
    </row>
    <row r="958" ht="19.2" customHeight="1" s="1">
      <c r="A958" t="inlineStr">
        <is>
          <t>NICE:138749</t>
        </is>
      </c>
      <c r="B958" t="inlineStr">
        <is>
          <t>유닉사운드</t>
        </is>
      </c>
      <c r="C958" s="5" t="n">
        <v>21489094000</v>
      </c>
      <c r="D958" s="5" t="n">
        <v>2715179000</v>
      </c>
      <c r="E958" s="5" t="n">
        <v>18773915000</v>
      </c>
      <c r="F958" s="5" t="n">
        <v>21689277000</v>
      </c>
      <c r="G958" s="5" t="n">
        <v>2213330000</v>
      </c>
      <c r="H958" s="5" t="n">
        <v>17953132000</v>
      </c>
      <c r="I958" s="5" t="n">
        <v>2542059000</v>
      </c>
      <c r="J958" s="4" t="n">
        <v>4.691299915313721</v>
      </c>
      <c r="K958" s="4" t="n">
        <v>0.1446000039577484</v>
      </c>
      <c r="L958" s="4" t="n">
        <v>0.1019999980926514</v>
      </c>
      <c r="M958" t="inlineStr">
        <is>
          <t>유형식</t>
        </is>
      </c>
      <c r="N958" t="inlineStr">
        <is>
          <t>02-2697-8442</t>
        </is>
      </c>
      <c r="O958" t="inlineStr">
        <is>
          <t>02-2695-6985</t>
        </is>
      </c>
      <c r="P958" s="3">
        <f>HYPERLINK("http://www.unique-sound.co.kr", "http://www.unique-sound.co.kr")</f>
        <v/>
      </c>
      <c r="Q958" t="inlineStr">
        <is>
          <t>1178119387</t>
        </is>
      </c>
      <c r="R958" t="inlineStr">
        <is>
          <t>1101111414799</t>
        </is>
      </c>
      <c r="S958" t="inlineStr">
        <is>
          <t>대상아님</t>
        </is>
      </c>
      <c r="T958" t="inlineStr">
        <is>
          <t>일반법인</t>
        </is>
      </c>
      <c r="U958" t="inlineStr">
        <is>
          <t>중소기업</t>
        </is>
      </c>
      <c r="V958" t="inlineStr">
        <is>
          <t>외부감사대상</t>
        </is>
      </c>
      <c r="W958" s="6" t="inlineStr">
        <is>
          <t>1997-05-16</t>
        </is>
      </c>
      <c r="X958" t="inlineStr">
        <is>
          <t>KRI:10C2629900</t>
        </is>
      </c>
      <c r="Y958" t="inlineStr">
        <is>
          <t>그 외 기타 전자부품 제조업</t>
        </is>
      </c>
      <c r="Z958" t="inlineStr">
        <is>
          <t>전자부품(자동차용) 제조,도매</t>
        </is>
      </c>
      <c r="AA958" t="inlineStr">
        <is>
          <t>서울 양천구 신월동 48-8번지</t>
        </is>
      </c>
      <c r="AB958" t="inlineStr">
        <is>
          <t>서울 양천구 가로공원로 91</t>
        </is>
      </c>
    </row>
    <row r="959" ht="19.2" customHeight="1" s="1">
      <c r="A959" t="inlineStr">
        <is>
          <t>NICE:C83218</t>
        </is>
      </c>
      <c r="B959" t="inlineStr">
        <is>
          <t>토마토디앤씨</t>
        </is>
      </c>
      <c r="C959" s="5" t="n">
        <v>37894625000</v>
      </c>
      <c r="D959" s="5" t="n">
        <v>28378996000</v>
      </c>
      <c r="E959" s="5" t="n">
        <v>9515629000</v>
      </c>
      <c r="F959" s="5" t="n">
        <v>24151076000</v>
      </c>
      <c r="G959" s="5" t="n">
        <v>2463189000</v>
      </c>
      <c r="H959" s="5" t="n">
        <v>22426233000</v>
      </c>
      <c r="I959" s="5" t="n">
        <v>1671528000</v>
      </c>
      <c r="J959" s="4" t="n">
        <v>2.057899951934814</v>
      </c>
      <c r="K959" s="4" t="n">
        <v>2.982399940490723</v>
      </c>
      <c r="L959" s="4" t="n">
        <v>0.1019999980926514</v>
      </c>
      <c r="M959" t="inlineStr">
        <is>
          <t>김윤희</t>
        </is>
      </c>
      <c r="N959" t="inlineStr">
        <is>
          <t>02-3474-8400</t>
        </is>
      </c>
      <c r="O959" t="inlineStr">
        <is>
          <t>02-521-5046</t>
        </is>
      </c>
      <c r="P959" s="3">
        <f>HYPERLINK("http://www.1001optics.co.kr", "http://www.1001optics.co.kr")</f>
        <v/>
      </c>
      <c r="Q959" t="inlineStr">
        <is>
          <t>6178171210</t>
        </is>
      </c>
      <c r="R959" t="inlineStr">
        <is>
          <t>1801110627703</t>
        </is>
      </c>
      <c r="S959" t="inlineStr">
        <is>
          <t>대상아님</t>
        </is>
      </c>
      <c r="T959" t="inlineStr">
        <is>
          <t>일반법인</t>
        </is>
      </c>
      <c r="U959" t="inlineStr">
        <is>
          <t>중소기업</t>
        </is>
      </c>
      <c r="V959" t="inlineStr">
        <is>
          <t>외부감사대상</t>
        </is>
      </c>
      <c r="W959" s="6" t="inlineStr">
        <is>
          <t>2008-03-27</t>
        </is>
      </c>
      <c r="X959" t="inlineStr">
        <is>
          <t>KRI:10N7640000</t>
        </is>
      </c>
      <c r="Y959" t="inlineStr">
        <is>
          <t>무형재산권 임대업</t>
        </is>
      </c>
      <c r="Z959" t="inlineStr">
        <is>
          <t>무형재산권임대업, 화장품　도매업</t>
        </is>
      </c>
      <c r="AA959" t="inlineStr">
        <is>
          <t>서울 서초구 서초동 1457-1번지</t>
        </is>
      </c>
      <c r="AB959" t="inlineStr">
        <is>
          <t>서울 서초구 효령로 274</t>
        </is>
      </c>
    </row>
    <row r="960" ht="19.2" customHeight="1" s="1">
      <c r="A960" t="inlineStr">
        <is>
          <t>NICE:OW6922</t>
        </is>
      </c>
      <c r="B960" t="inlineStr">
        <is>
          <t>엘비엠</t>
        </is>
      </c>
      <c r="C960" s="5" t="n">
        <v>36541333000</v>
      </c>
      <c r="D960" s="5" t="n">
        <v>15532270000</v>
      </c>
      <c r="E960" s="5" t="n">
        <v>21009063000</v>
      </c>
      <c r="F960" s="5" t="n">
        <v>93833169000</v>
      </c>
      <c r="G960" s="5" t="n">
        <v>25544045000</v>
      </c>
      <c r="H960" s="5" t="n">
        <v>79633314000</v>
      </c>
      <c r="I960" s="5" t="n">
        <v>24251677000</v>
      </c>
      <c r="J960" s="4" t="n">
        <v>2.150500059127808</v>
      </c>
      <c r="K960" s="4" t="n">
        <v>0.739300012588501</v>
      </c>
      <c r="L960" s="4" t="n">
        <v>0.2721999883651733</v>
      </c>
      <c r="M960" t="inlineStr">
        <is>
          <t>서혜욱</t>
        </is>
      </c>
      <c r="N960" t="inlineStr">
        <is>
          <t>070-4116-7669</t>
        </is>
      </c>
      <c r="O960" t="inlineStr">
        <is>
          <t>02-6020-8492</t>
        </is>
      </c>
      <c r="P960" s="3" t="n"/>
      <c r="Q960" t="inlineStr">
        <is>
          <t>2198802288</t>
        </is>
      </c>
      <c r="R960" t="inlineStr">
        <is>
          <t>1101118191100</t>
        </is>
      </c>
      <c r="S960" t="inlineStr">
        <is>
          <t>대상아님</t>
        </is>
      </c>
      <c r="T960" t="inlineStr">
        <is>
          <t>일반법인</t>
        </is>
      </c>
      <c r="U960" t="inlineStr">
        <is>
          <t>중소기업</t>
        </is>
      </c>
      <c r="V960" t="inlineStr">
        <is>
          <t>외부감사대상</t>
        </is>
      </c>
      <c r="W960" s="6" t="inlineStr">
        <is>
          <t>2022-02-08</t>
        </is>
      </c>
      <c r="X960" t="inlineStr">
        <is>
          <t>KRI:10I5619100</t>
        </is>
      </c>
      <c r="Y960" t="inlineStr">
        <is>
          <t>제과점업</t>
        </is>
      </c>
      <c r="Z960" t="inlineStr">
        <is>
          <t>제과점/경영 컨설팅/식품 도소매/기념품,관광 민예품,장식용품 소매</t>
        </is>
      </c>
      <c r="AA960" t="inlineStr">
        <is>
          <t>서울 종로구 안국동 164번지 안국한국빌딩</t>
        </is>
      </c>
      <c r="AB960" t="inlineStr">
        <is>
          <t>서울 종로구 율곡로 45 (안국동,안국한국빌딩)</t>
        </is>
      </c>
    </row>
    <row r="961" ht="19.2" customHeight="1" s="1">
      <c r="A961" t="inlineStr">
        <is>
          <t>NICE:E10098</t>
        </is>
      </c>
      <c r="B961" t="inlineStr">
        <is>
          <t>뉴빛테크놀러지</t>
        </is>
      </c>
      <c r="C961" s="5" t="n">
        <v>25706358000</v>
      </c>
      <c r="D961" s="5" t="n">
        <v>10566937000</v>
      </c>
      <c r="E961" s="5" t="n">
        <v>15139421000</v>
      </c>
      <c r="F961" s="5" t="n">
        <v>21619076000</v>
      </c>
      <c r="G961" s="5" t="n">
        <v>3630216000</v>
      </c>
      <c r="H961" s="5" t="n">
        <v>19184081000</v>
      </c>
      <c r="I961" s="5" t="n">
        <v>3055196000</v>
      </c>
      <c r="J961" s="4" t="n">
        <v>1.987400054931641</v>
      </c>
      <c r="K961" s="4" t="n">
        <v>0.6980000138282776</v>
      </c>
      <c r="L961" s="4" t="n">
        <v>0.1679000109434128</v>
      </c>
      <c r="M961" t="inlineStr">
        <is>
          <t>김진묵</t>
        </is>
      </c>
      <c r="N961" t="inlineStr">
        <is>
          <t>031-719-9490</t>
        </is>
      </c>
      <c r="O961" t="inlineStr">
        <is>
          <t>031-719-9489</t>
        </is>
      </c>
      <c r="P961" s="3">
        <f>HYPERLINK("http://www.newbit.co.kr", "http://www.newbit.co.kr")</f>
        <v/>
      </c>
      <c r="Q961" t="inlineStr">
        <is>
          <t>1298182976</t>
        </is>
      </c>
      <c r="R961" t="inlineStr">
        <is>
          <t>1311110136472</t>
        </is>
      </c>
      <c r="S961" t="inlineStr">
        <is>
          <t>대상아님</t>
        </is>
      </c>
      <c r="T961" t="inlineStr">
        <is>
          <t>일반법인</t>
        </is>
      </c>
      <c r="U961" t="inlineStr">
        <is>
          <t>중소기업</t>
        </is>
      </c>
      <c r="V961" t="inlineStr">
        <is>
          <t>외부감사대상</t>
        </is>
      </c>
      <c r="W961" s="6" t="inlineStr">
        <is>
          <t>2005-03-21</t>
        </is>
      </c>
      <c r="X961" t="inlineStr">
        <is>
          <t>KRI:10M7012100</t>
        </is>
      </c>
      <c r="Y961" t="inlineStr">
        <is>
          <t>전기ㆍ전자공학 연구개발업</t>
        </is>
      </c>
      <c r="Z961" t="inlineStr">
        <is>
          <t>종합군수지원요소 개발/소프트웨어자문,개발,공급,통신,컴퓨터유지보수용역,컴퓨터,주변기기유지보수/기술교범인쇄/컴퓨터,주변기기,전기전자,통신장비 도소매</t>
        </is>
      </c>
      <c r="AA961" t="inlineStr">
        <is>
          <t>경기 성남시 분당구 구미동 153번지 로드랜드이지타워 3층 309호</t>
        </is>
      </c>
      <c r="AB961" t="inlineStr">
        <is>
          <t>경기 성남시 분당구 성남대로 69, 3층 309호 (구미동,로드랜드이지타워)</t>
        </is>
      </c>
    </row>
    <row r="962" s="1">
      <c r="A962" t="inlineStr">
        <is>
          <t>NICE:HD5930</t>
        </is>
      </c>
      <c r="B962" t="inlineStr">
        <is>
          <t>디에스시동탄</t>
        </is>
      </c>
      <c r="C962" s="5" t="n">
        <v>725186242000</v>
      </c>
      <c r="D962" s="5" t="n">
        <v>230807666000</v>
      </c>
      <c r="E962" s="5" t="n">
        <v>494378576000</v>
      </c>
      <c r="F962" s="5" t="n">
        <v>267599667000</v>
      </c>
      <c r="G962" s="5" t="n">
        <v>49562413000</v>
      </c>
      <c r="H962" s="5" t="n">
        <v>781071309000</v>
      </c>
      <c r="I962" s="5" t="n">
        <v>43778847000</v>
      </c>
      <c r="J962" s="4" t="n">
        <v>0.6122999787330627</v>
      </c>
      <c r="K962" s="4" t="n">
        <v>0.466899961233139</v>
      </c>
      <c r="L962" s="4" t="n">
        <v>0.1852000057697296</v>
      </c>
      <c r="M962" t="inlineStr">
        <is>
          <t>조희오</t>
        </is>
      </c>
      <c r="N962" t="inlineStr">
        <is>
          <t>031-8067-0100</t>
        </is>
      </c>
      <c r="O962" t="inlineStr">
        <is>
          <t>031-8067-0290</t>
        </is>
      </c>
      <c r="P962">
        <f>HYPERLINK("http://www.godsc.co.kr", "http://www.godsc.co.kr")</f>
        <v/>
      </c>
      <c r="Q962" t="inlineStr">
        <is>
          <t>2908100086</t>
        </is>
      </c>
      <c r="R962" t="inlineStr">
        <is>
          <t>1348110334029</t>
        </is>
      </c>
      <c r="S962" t="inlineStr">
        <is>
          <t>대상아님</t>
        </is>
      </c>
      <c r="T962" t="inlineStr">
        <is>
          <t>일반법인</t>
        </is>
      </c>
      <c r="U962" t="inlineStr">
        <is>
          <t>중견기업</t>
        </is>
      </c>
      <c r="V962" t="inlineStr">
        <is>
          <t>외부감사대상</t>
        </is>
      </c>
      <c r="W962" s="6" t="inlineStr">
        <is>
          <t>2015-05-14</t>
        </is>
      </c>
      <c r="X962" t="inlineStr">
        <is>
          <t>KRI:10M7012900</t>
        </is>
      </c>
      <c r="Y962" t="inlineStr">
        <is>
          <t>기타 공학 연구개발업</t>
        </is>
      </c>
      <c r="Z962" t="inlineStr">
        <is>
          <t>자동차부품(자동차용시트) 연구개발,제조</t>
        </is>
      </c>
      <c r="AA962" t="inlineStr">
        <is>
          <t>경기 화성시 동탄구 방교동 781-1번지</t>
        </is>
      </c>
      <c r="AB962" t="inlineStr">
        <is>
          <t>경기 화성시 동탄구 동탄산단10길 6</t>
        </is>
      </c>
    </row>
    <row r="963" ht="19.2" customHeight="1" s="1">
      <c r="A963" t="inlineStr">
        <is>
          <t>NICE:H80951</t>
        </is>
      </c>
      <c r="B963" t="inlineStr">
        <is>
          <t>현대오일터미널</t>
        </is>
      </c>
      <c r="C963" s="5" t="n">
        <v>418619277000</v>
      </c>
      <c r="D963" s="5" t="n">
        <v>244006483000</v>
      </c>
      <c r="E963" s="5" t="n">
        <v>174612794000</v>
      </c>
      <c r="F963" s="5" t="n">
        <v>71935881000</v>
      </c>
      <c r="G963" s="5" t="n">
        <v>18128774000</v>
      </c>
      <c r="H963" s="5" t="n">
        <v>55234902000</v>
      </c>
      <c r="I963" s="5" t="n">
        <v>14722803000</v>
      </c>
      <c r="J963" s="4" t="n">
        <v>1.629400014877319</v>
      </c>
      <c r="K963" s="4" t="n">
        <v>1.39740002155304</v>
      </c>
      <c r="L963" s="4" t="n">
        <v>0.2520000040531158</v>
      </c>
      <c r="M963" t="inlineStr">
        <is>
          <t>신동화</t>
        </is>
      </c>
      <c r="N963" t="inlineStr">
        <is>
          <t>052-240-7900</t>
        </is>
      </c>
      <c r="O963" t="inlineStr">
        <is>
          <t>052-240-7999</t>
        </is>
      </c>
      <c r="P963" s="3">
        <f>HYPERLINK("http://www.oilterminal.co.kr", "http://www.oilterminal.co.kr")</f>
        <v/>
      </c>
      <c r="Q963" t="inlineStr">
        <is>
          <t>6108612495</t>
        </is>
      </c>
      <c r="R963" t="inlineStr">
        <is>
          <t>2301110188027</t>
        </is>
      </c>
      <c r="S963" t="inlineStr">
        <is>
          <t>대상아님</t>
        </is>
      </c>
      <c r="T963" t="inlineStr">
        <is>
          <t>일반법인</t>
        </is>
      </c>
      <c r="U963" t="inlineStr">
        <is>
          <t>중소기업</t>
        </is>
      </c>
      <c r="V963" t="inlineStr">
        <is>
          <t>외부감사대상</t>
        </is>
      </c>
      <c r="W963" s="6" t="inlineStr">
        <is>
          <t>2012-02-14</t>
        </is>
      </c>
      <c r="X963" t="inlineStr">
        <is>
          <t>KRI:10H5210400</t>
        </is>
      </c>
      <c r="Y963" t="inlineStr">
        <is>
          <t>위험물품 보관업</t>
        </is>
      </c>
      <c r="Z963" t="inlineStr">
        <is>
          <t>석유,석유화학제품 보관,도소매</t>
        </is>
      </c>
      <c r="AA963" t="inlineStr">
        <is>
          <t>울산 울주군 온산읍 산암리 978번지</t>
        </is>
      </c>
      <c r="AB963" t="inlineStr">
        <is>
          <t>울산 울주군 온산읍 산암로 311-96</t>
        </is>
      </c>
    </row>
    <row r="964" ht="19.2" customHeight="1" s="1">
      <c r="A964" t="inlineStr">
        <is>
          <t>NICE:J33601</t>
        </is>
      </c>
      <c r="B964" t="inlineStr">
        <is>
          <t>비이에프</t>
        </is>
      </c>
      <c r="C964" s="5" t="n">
        <v>222457553000</v>
      </c>
      <c r="D964" s="5" t="n">
        <v>50279983000</v>
      </c>
      <c r="E964" s="5" t="n">
        <v>172177569000</v>
      </c>
      <c r="F964" s="5" t="n">
        <v>40005292000</v>
      </c>
      <c r="G964" s="5" t="n">
        <v>4280976000</v>
      </c>
      <c r="H964" s="5" t="n">
        <v>43599693000</v>
      </c>
      <c r="I964" s="5" t="n">
        <v>3012488000</v>
      </c>
      <c r="J964" s="4" t="n">
        <v>1.807999968528748</v>
      </c>
      <c r="K964" s="4" t="n">
        <v>0.2919999957084656</v>
      </c>
      <c r="L964" s="4" t="n">
        <v>0.1069999933242798</v>
      </c>
      <c r="M964" t="inlineStr">
        <is>
          <t>이재승</t>
        </is>
      </c>
      <c r="N964" t="inlineStr">
        <is>
          <t>041-546-0360</t>
        </is>
      </c>
      <c r="O964" t="inlineStr">
        <is>
          <t>041-546-0370</t>
        </is>
      </c>
      <c r="P964" s="3">
        <f>HYPERLINK("http://www.befasan.co.kr/", "http://www.befasan.co.kr/")</f>
        <v/>
      </c>
      <c r="Q964" t="inlineStr">
        <is>
          <t>4038166821</t>
        </is>
      </c>
      <c r="R964" t="inlineStr">
        <is>
          <t>2149110037210</t>
        </is>
      </c>
      <c r="S964" t="inlineStr">
        <is>
          <t>대상아님</t>
        </is>
      </c>
      <c r="T964" t="inlineStr">
        <is>
          <t>일반법인</t>
        </is>
      </c>
      <c r="U964" t="inlineStr">
        <is>
          <t>중소기업</t>
        </is>
      </c>
      <c r="V964" t="inlineStr">
        <is>
          <t>외부감사대상</t>
        </is>
      </c>
      <c r="W964" s="6" t="inlineStr">
        <is>
          <t>2012-02-22</t>
        </is>
      </c>
      <c r="X964" t="inlineStr">
        <is>
          <t>KRI:10E3702200</t>
        </is>
      </c>
      <c r="Y964" t="inlineStr">
        <is>
          <t>축산 분뇨 처리업</t>
        </is>
      </c>
      <c r="Z964" t="inlineStr">
        <is>
          <t>축산분뇨처리/중축,화훼작물 재배/액비 생산,살포/(바이오,가축분뇨)에너지화사업</t>
        </is>
      </c>
      <c r="AA964" t="inlineStr">
        <is>
          <t>충남 아산시 신창면 수장리 48-132번지</t>
        </is>
      </c>
      <c r="AB964" t="inlineStr">
        <is>
          <t>충남 아산시 신창면 환경공원로 190-26</t>
        </is>
      </c>
    </row>
    <row r="965" ht="19.2" customHeight="1" s="1">
      <c r="A965" t="inlineStr">
        <is>
          <t>NICE:450324</t>
        </is>
      </c>
      <c r="B965" t="inlineStr">
        <is>
          <t>우진</t>
        </is>
      </c>
      <c r="C965" s="5" t="n">
        <v>155385164000</v>
      </c>
      <c r="D965" s="5" t="n">
        <v>2939494000</v>
      </c>
      <c r="E965" s="5" t="n">
        <v>152445669000</v>
      </c>
      <c r="F965" s="5" t="n">
        <v>20094934000</v>
      </c>
      <c r="G965" s="5" t="n">
        <v>14045609000</v>
      </c>
      <c r="H965" s="5" t="n">
        <v>601417109000</v>
      </c>
      <c r="I965" s="5" t="n">
        <v>31546649000</v>
      </c>
      <c r="J965" s="4" t="n">
        <v>5.634299755096436</v>
      </c>
      <c r="K965" s="4" t="n">
        <v>0.01929999887943268</v>
      </c>
      <c r="L965" s="4" t="n">
        <v>0.6990000009536743</v>
      </c>
      <c r="M965" t="inlineStr">
        <is>
          <t>김영창/김정현</t>
        </is>
      </c>
      <c r="N965" t="inlineStr">
        <is>
          <t>043-820-4134</t>
        </is>
      </c>
      <c r="O965" t="inlineStr">
        <is>
          <t>043-836-7405</t>
        </is>
      </c>
      <c r="P965" s="3">
        <f>HYPERLINK("http://www.wjis.co.kr", "http://www.wjis.co.kr")</f>
        <v/>
      </c>
      <c r="Q965" t="inlineStr">
        <is>
          <t>3158101972</t>
        </is>
      </c>
      <c r="R965" t="inlineStr">
        <is>
          <t>1101110423741</t>
        </is>
      </c>
      <c r="S965" t="inlineStr">
        <is>
          <t>대상아님</t>
        </is>
      </c>
      <c r="T965" t="inlineStr">
        <is>
          <t>일반법인</t>
        </is>
      </c>
      <c r="U965" t="inlineStr">
        <is>
          <t>중견기업</t>
        </is>
      </c>
      <c r="V965" t="inlineStr">
        <is>
          <t>외부감사대상</t>
        </is>
      </c>
      <c r="W965" s="6" t="inlineStr">
        <is>
          <t>1974-04-10</t>
        </is>
      </c>
      <c r="X965" t="inlineStr">
        <is>
          <t>KRI:10K6499200</t>
        </is>
      </c>
      <c r="Y965" t="inlineStr">
        <is>
          <t>지주회사</t>
        </is>
      </c>
      <c r="Z965" t="inlineStr">
        <is>
          <t>비금융 지주회사</t>
        </is>
      </c>
      <c r="AA965" t="inlineStr">
        <is>
          <t>충북 괴산군 사리면 방축리 613-6번지</t>
        </is>
      </c>
      <c r="AB965" t="inlineStr">
        <is>
          <t>충북 괴산군 사리면 사리로 95</t>
        </is>
      </c>
    </row>
    <row r="966" ht="19.2" customHeight="1" s="1">
      <c r="A966" t="inlineStr">
        <is>
          <t>NICE:E66641</t>
        </is>
      </c>
      <c r="B966" t="inlineStr">
        <is>
          <t>이지켐</t>
        </is>
      </c>
      <c r="C966" s="5" t="n">
        <v>43564955000</v>
      </c>
      <c r="D966" s="5" t="n">
        <v>35927038000</v>
      </c>
      <c r="E966" s="5" t="n">
        <v>7637917000</v>
      </c>
      <c r="F966" s="5" t="n">
        <v>21360916000</v>
      </c>
      <c r="G966" s="5" t="n">
        <v>3163887000</v>
      </c>
      <c r="H966" s="5" t="n">
        <v>12586000000</v>
      </c>
      <c r="I966" s="5" t="n">
        <v>2980997000</v>
      </c>
      <c r="J966" s="4" t="n">
        <v>0.260699987411499</v>
      </c>
      <c r="K966" s="4" t="n">
        <v>4.703799724578857</v>
      </c>
      <c r="L966" s="4" t="n">
        <v>0.1481000036001205</v>
      </c>
      <c r="M966" t="inlineStr">
        <is>
          <t>조성일</t>
        </is>
      </c>
      <c r="N966" t="inlineStr">
        <is>
          <t>041-857-5984</t>
        </is>
      </c>
      <c r="O966" t="inlineStr">
        <is>
          <t>041-857-5986</t>
        </is>
      </c>
      <c r="P966" s="3">
        <f>HYPERLINK("http://www.egchem.com", "http://www.egchem.com")</f>
        <v/>
      </c>
      <c r="Q966" t="inlineStr">
        <is>
          <t>1358625179</t>
        </is>
      </c>
      <c r="R966" t="inlineStr">
        <is>
          <t>1348110249905</t>
        </is>
      </c>
      <c r="S966" t="inlineStr">
        <is>
          <t>대상아님</t>
        </is>
      </c>
      <c r="T966" t="inlineStr">
        <is>
          <t>일반법인</t>
        </is>
      </c>
      <c r="U966" t="inlineStr">
        <is>
          <t>중소기업</t>
        </is>
      </c>
      <c r="V966" t="inlineStr">
        <is>
          <t>외부감사대상</t>
        </is>
      </c>
      <c r="W966" s="6" t="inlineStr">
        <is>
          <t>2012-08-01</t>
        </is>
      </c>
      <c r="X966" t="inlineStr">
        <is>
          <t>KRI:10C2612900</t>
        </is>
      </c>
      <c r="Y966" t="inlineStr">
        <is>
          <t>기타 반도체소자 제조업</t>
        </is>
      </c>
      <c r="Z966" t="inlineStr">
        <is>
          <t>반도체 제조/전자재료 제조,도소매/태양광 재료,화학원료 도소매/부동산 임대</t>
        </is>
      </c>
      <c r="AA966" t="inlineStr">
        <is>
          <t>충남 공주시 탄천면 안영리 838-1번지</t>
        </is>
      </c>
      <c r="AB966" t="inlineStr">
        <is>
          <t>충남 공주시 탄천면 탄천산업단지길 33-26</t>
        </is>
      </c>
    </row>
    <row r="967" ht="19.2" customHeight="1" s="1">
      <c r="A967" t="inlineStr">
        <is>
          <t>NICE:376149</t>
        </is>
      </c>
      <c r="B967" t="inlineStr">
        <is>
          <t>한국펀드파트너스</t>
        </is>
      </c>
      <c r="C967" s="5" t="n">
        <v>37086143000</v>
      </c>
      <c r="D967" s="5" t="n">
        <v>5622386000</v>
      </c>
      <c r="E967" s="5" t="n">
        <v>31463758000</v>
      </c>
      <c r="F967" s="5" t="n">
        <v>39274392000</v>
      </c>
      <c r="G967" s="5" t="n">
        <v>23212954000</v>
      </c>
      <c r="H967" s="5" t="n">
        <v>33240534000</v>
      </c>
      <c r="I967" s="5" t="n">
        <v>18898166000</v>
      </c>
      <c r="J967" s="4" t="n">
        <v>5.433300018310547</v>
      </c>
      <c r="K967" s="4" t="n">
        <v>0.1787000000476837</v>
      </c>
      <c r="L967" s="4" t="n">
        <v>0.590999960899353</v>
      </c>
      <c r="M967" t="inlineStr">
        <is>
          <t>김영수</t>
        </is>
      </c>
      <c r="N967" t="inlineStr">
        <is>
          <t>02-769-7800</t>
        </is>
      </c>
      <c r="O967" t="inlineStr">
        <is>
          <t>02-786-7711</t>
        </is>
      </c>
      <c r="P967" s="3">
        <f>HYPERLINK("http://www.korfp.com", "http://www.korfp.com")</f>
        <v/>
      </c>
      <c r="Q967" t="inlineStr">
        <is>
          <t>2118647536</t>
        </is>
      </c>
      <c r="R967" t="inlineStr">
        <is>
          <t>1101111610470</t>
        </is>
      </c>
      <c r="S967" t="inlineStr">
        <is>
          <t>대상아님</t>
        </is>
      </c>
      <c r="T967" t="inlineStr">
        <is>
          <t>일반법인</t>
        </is>
      </c>
      <c r="U967" t="inlineStr">
        <is>
          <t>중소기업</t>
        </is>
      </c>
      <c r="V967" t="inlineStr">
        <is>
          <t>외부감사대상</t>
        </is>
      </c>
      <c r="W967" s="6" t="inlineStr">
        <is>
          <t>1998-11-20</t>
        </is>
      </c>
      <c r="X967" t="inlineStr">
        <is>
          <t>KRI:10K6420100</t>
        </is>
      </c>
      <c r="Y967" t="inlineStr">
        <is>
          <t>신탁업 및 집합투자업</t>
        </is>
      </c>
      <c r="Z967" t="inlineStr">
        <is>
          <t>자산운용/소프트웨어 개발,판매</t>
        </is>
      </c>
      <c r="AA967" t="inlineStr">
        <is>
          <t>서울 영등포구 여의도동 22번지 44층</t>
        </is>
      </c>
      <c r="AB967" t="inlineStr">
        <is>
          <t>서울 영등포구 여의대로 108, 44층</t>
        </is>
      </c>
    </row>
    <row r="968" s="1">
      <c r="A968" t="inlineStr">
        <is>
          <t>NICE:039703</t>
        </is>
      </c>
      <c r="B968" t="inlineStr">
        <is>
          <t>케이엘에이텐코코리아</t>
        </is>
      </c>
      <c r="C968" s="5" t="n">
        <v>262859672000</v>
      </c>
      <c r="D968" s="5" t="n">
        <v>139331229000</v>
      </c>
      <c r="E968" s="5" t="n">
        <v>123528444000</v>
      </c>
      <c r="F968" s="5" t="n">
        <v>396619268000</v>
      </c>
      <c r="G968" s="5" t="n">
        <v>61586228000</v>
      </c>
      <c r="H968" s="5" t="n">
        <v>335614274000</v>
      </c>
      <c r="I968" s="5" t="n">
        <v>33844072000</v>
      </c>
      <c r="J968" s="4" t="n">
        <v>2.624200105667114</v>
      </c>
      <c r="K968" s="4" t="n">
        <v>1.127900004386902</v>
      </c>
      <c r="L968" s="4" t="n">
        <v>0.1552999913692474</v>
      </c>
      <c r="M968" t="inlineStr">
        <is>
          <t>김양형/브렌더글라스히긴스</t>
        </is>
      </c>
      <c r="N968" t="inlineStr">
        <is>
          <t>031-728-9200</t>
        </is>
      </c>
      <c r="O968" t="inlineStr">
        <is>
          <t>031-728-9299</t>
        </is>
      </c>
      <c r="P968">
        <f>HYPERLINK("http://www.kla-tencor.com", "http://www.kla-tencor.com")</f>
        <v/>
      </c>
      <c r="Q968" t="inlineStr">
        <is>
          <t>2298105890</t>
        </is>
      </c>
      <c r="R968" t="inlineStr">
        <is>
          <t>1101110952849</t>
        </is>
      </c>
      <c r="S968" t="inlineStr">
        <is>
          <t>대상아님</t>
        </is>
      </c>
      <c r="T968" t="inlineStr">
        <is>
          <t>일반법인</t>
        </is>
      </c>
      <c r="U968" t="inlineStr">
        <is>
          <t>중견기업</t>
        </is>
      </c>
      <c r="V968" t="inlineStr">
        <is>
          <t>외부감사대상</t>
        </is>
      </c>
      <c r="W968" s="6" t="inlineStr">
        <is>
          <t>1993-06-25</t>
        </is>
      </c>
      <c r="X968" t="inlineStr">
        <is>
          <t>KRI:10G4653900</t>
        </is>
      </c>
      <c r="Y968" t="inlineStr">
        <is>
          <t>기타 산업용 기계 및 장비 도매업</t>
        </is>
      </c>
      <c r="Z968" t="inlineStr">
        <is>
          <t>산업용기계장비,반도체장비 도매,무역,수리/컴퓨터설비 자문</t>
        </is>
      </c>
      <c r="AA968" t="inlineStr">
        <is>
          <t>경기 화성시 동탄구 영천동 853-1번지 동탄에스케이브이원센터 14층, 15층</t>
        </is>
      </c>
      <c r="AB968" t="inlineStr">
        <is>
          <t>경기 화성시 동탄구 동탄순환대로 830, 14층, 15층 (영천동,동탄에스케이브이원센터)</t>
        </is>
      </c>
    </row>
    <row r="969" ht="19.2" customHeight="1" s="1">
      <c r="A969" t="inlineStr">
        <is>
          <t>NICE:212506</t>
        </is>
      </c>
      <c r="B969" t="inlineStr">
        <is>
          <t>대길환경</t>
        </is>
      </c>
      <c r="C969" s="5" t="n">
        <v>37783438000</v>
      </c>
      <c r="D969" s="5" t="n">
        <v>7261503000</v>
      </c>
      <c r="E969" s="5" t="n">
        <v>30521936000</v>
      </c>
      <c r="F969" s="5" t="n">
        <v>30984244000</v>
      </c>
      <c r="G969" s="5" t="n">
        <v>4755772000</v>
      </c>
      <c r="H969" s="5" t="n">
        <v>28923887000</v>
      </c>
      <c r="I969" s="5" t="n">
        <v>4348542000</v>
      </c>
      <c r="J969" s="4" t="n">
        <v>2.255599975585938</v>
      </c>
      <c r="K969" s="4" t="n">
        <v>0.2379000037908554</v>
      </c>
      <c r="L969" s="4" t="n">
        <v>0.1535000056028366</v>
      </c>
      <c r="M969" t="inlineStr">
        <is>
          <t>유만종</t>
        </is>
      </c>
      <c r="N969" t="inlineStr">
        <is>
          <t>041-856-3001</t>
        </is>
      </c>
      <c r="O969" t="inlineStr">
        <is>
          <t>041-856-3799</t>
        </is>
      </c>
      <c r="P969" s="3">
        <f>HYPERLINK("http://www.wik.co.kr", "http://www.wik.co.kr")</f>
        <v/>
      </c>
      <c r="Q969" t="inlineStr">
        <is>
          <t>3078116606</t>
        </is>
      </c>
      <c r="R969" t="inlineStr">
        <is>
          <t>1612110009267</t>
        </is>
      </c>
      <c r="S969" t="inlineStr">
        <is>
          <t>대상아님</t>
        </is>
      </c>
      <c r="T969" t="inlineStr">
        <is>
          <t>일반법인</t>
        </is>
      </c>
      <c r="U969" t="inlineStr">
        <is>
          <t>중소기업</t>
        </is>
      </c>
      <c r="V969" t="inlineStr">
        <is>
          <t>외부감사대상</t>
        </is>
      </c>
      <c r="W969" s="6" t="inlineStr">
        <is>
          <t>2001-02-15</t>
        </is>
      </c>
      <c r="X969" t="inlineStr">
        <is>
          <t>KRI:10E3823000</t>
        </is>
      </c>
      <c r="Y969" t="inlineStr">
        <is>
          <t>건설 폐기물 처리업</t>
        </is>
      </c>
      <c r="Z969" t="inlineStr">
        <is>
          <t>건설폐기물 중간처리,수집운반/아스콘 제조/포장공사,토공사,석면해체,비계구조물.해체공사</t>
        </is>
      </c>
      <c r="AA969" t="inlineStr">
        <is>
          <t>충남 공주시 이인면 만수리 502번지</t>
        </is>
      </c>
      <c r="AB969" t="inlineStr">
        <is>
          <t>충남 공주시 이인면 백제큰길 1096</t>
        </is>
      </c>
    </row>
    <row r="970" ht="19.2" customHeight="1" s="1">
      <c r="A970" t="inlineStr">
        <is>
          <t>NICE:082479</t>
        </is>
      </c>
      <c r="B970" t="inlineStr">
        <is>
          <t>화성코스메틱</t>
        </is>
      </c>
      <c r="C970" s="5" t="n">
        <v>86341634000</v>
      </c>
      <c r="D970" s="5" t="n">
        <v>22698513000</v>
      </c>
      <c r="E970" s="5" t="n">
        <v>63643121000</v>
      </c>
      <c r="F970" s="5" t="n">
        <v>110684401000</v>
      </c>
      <c r="G970" s="5" t="n">
        <v>19874006000</v>
      </c>
      <c r="H970" s="5" t="n">
        <v>91496001000</v>
      </c>
      <c r="I970" s="5" t="n">
        <v>16223436000</v>
      </c>
      <c r="J970" s="4" t="n">
        <v>3.067600011825562</v>
      </c>
      <c r="K970" s="4" t="n">
        <v>0.3566999733448029</v>
      </c>
      <c r="L970" s="4" t="n">
        <v>0.1795999854803085</v>
      </c>
      <c r="M970" t="inlineStr">
        <is>
          <t>김태원</t>
        </is>
      </c>
      <c r="N970" t="inlineStr">
        <is>
          <t>031-996-2187</t>
        </is>
      </c>
      <c r="O970" t="inlineStr">
        <is>
          <t>031-996-2188</t>
        </is>
      </c>
      <c r="P970" s="3">
        <f>HYPERLINK("http://www.hwasungcos.com", "http://www.hwasungcos.com")</f>
        <v/>
      </c>
      <c r="Q970" t="inlineStr">
        <is>
          <t>1308143987</t>
        </is>
      </c>
      <c r="R970" t="inlineStr">
        <is>
          <t>1243110042088</t>
        </is>
      </c>
      <c r="S970" t="inlineStr">
        <is>
          <t>대상아님</t>
        </is>
      </c>
      <c r="T970" t="inlineStr">
        <is>
          <t>일반법인</t>
        </is>
      </c>
      <c r="U970" t="inlineStr">
        <is>
          <t>중소기업</t>
        </is>
      </c>
      <c r="V970" t="inlineStr">
        <is>
          <t>외부감사대상</t>
        </is>
      </c>
      <c r="W970" s="6" t="inlineStr">
        <is>
          <t>1994-03-31</t>
        </is>
      </c>
      <c r="X970" t="inlineStr">
        <is>
          <t>KRI:10C2042300</t>
        </is>
      </c>
      <c r="Y970" t="inlineStr">
        <is>
          <t>화장품 제조업</t>
        </is>
      </c>
      <c r="Z970" t="inlineStr">
        <is>
          <t>화장품(화장용연필,색조화장품) 제조,도소매,무역/부동산 임대</t>
        </is>
      </c>
      <c r="AA970" t="inlineStr">
        <is>
          <t>경기 김포시 양촌읍 학운리 3233번지</t>
        </is>
      </c>
      <c r="AB970" t="inlineStr">
        <is>
          <t>경기 김포시 양촌읍 학운산단1로 23</t>
        </is>
      </c>
    </row>
    <row r="971" ht="19.2" customHeight="1" s="1">
      <c r="A971" t="inlineStr">
        <is>
          <t>NICE:L69041</t>
        </is>
      </c>
      <c r="B971" t="inlineStr">
        <is>
          <t>프리티스킨인터내셔널</t>
        </is>
      </c>
      <c r="C971" s="5" t="n">
        <v>58394541000</v>
      </c>
      <c r="D971" s="5" t="n">
        <v>46663507000</v>
      </c>
      <c r="E971" s="5" t="n">
        <v>11731035000</v>
      </c>
      <c r="F971" s="5" t="n">
        <v>23746181000</v>
      </c>
      <c r="G971" s="5" t="n">
        <v>6636738000</v>
      </c>
      <c r="H971" s="5" t="n">
        <v>21251805000</v>
      </c>
      <c r="I971" s="5" t="n">
        <v>4211282000</v>
      </c>
      <c r="J971" s="4" t="n">
        <v>0.2315999865531921</v>
      </c>
      <c r="K971" s="4" t="n">
        <v>3.977799892425537</v>
      </c>
      <c r="L971" s="4" t="n">
        <v>0.2795000076293945</v>
      </c>
      <c r="M971" t="inlineStr">
        <is>
          <t>정병섭</t>
        </is>
      </c>
      <c r="N971" t="inlineStr">
        <is>
          <t>070-4159-7020</t>
        </is>
      </c>
      <c r="P971" s="3" t="n"/>
      <c r="Q971" t="inlineStr">
        <is>
          <t>2018639456</t>
        </is>
      </c>
      <c r="R971" t="inlineStr">
        <is>
          <t>1101140143963</t>
        </is>
      </c>
      <c r="S971" t="inlineStr">
        <is>
          <t>대상아님</t>
        </is>
      </c>
      <c r="T971" t="inlineStr">
        <is>
          <t>일반법인</t>
        </is>
      </c>
      <c r="U971" t="inlineStr">
        <is>
          <t>중소기업</t>
        </is>
      </c>
      <c r="V971" t="inlineStr">
        <is>
          <t>외부감사대상</t>
        </is>
      </c>
      <c r="W971" s="6" t="inlineStr">
        <is>
          <t>2014-04-10</t>
        </is>
      </c>
      <c r="X971" t="inlineStr">
        <is>
          <t>KRI:10G4781300</t>
        </is>
      </c>
      <c r="Y971" t="inlineStr">
        <is>
          <t>화장품, 비누 및 방향제 소매업</t>
        </is>
      </c>
      <c r="Z971" t="inlineStr">
        <is>
          <t>화장품,화장품,수출입업,인터넷쇼핑몰업,전대,통번역업</t>
        </is>
      </c>
      <c r="AA971" t="inlineStr">
        <is>
          <t>서울 중구 충무로1가 23-1번지 사보이호텔 2동 1층</t>
        </is>
      </c>
      <c r="AB971" t="inlineStr">
        <is>
          <t>서울 중구 명동8나길 10, 2동 1층 (충무로1가,사보이호텔)</t>
        </is>
      </c>
    </row>
    <row r="972" ht="19.2" customHeight="1" s="1">
      <c r="A972" t="inlineStr">
        <is>
          <t>NICE:H26253</t>
        </is>
      </c>
      <c r="B972" t="inlineStr">
        <is>
          <t>케이엔케이</t>
        </is>
      </c>
      <c r="C972" s="5" t="n">
        <v>36386724000</v>
      </c>
      <c r="D972" s="5" t="n">
        <v>20547491000</v>
      </c>
      <c r="E972" s="5" t="n">
        <v>15839233000</v>
      </c>
      <c r="F972" s="5" t="n">
        <v>21689351000</v>
      </c>
      <c r="G972" s="5" t="n">
        <v>2795513000</v>
      </c>
      <c r="H972" s="5" t="n">
        <v>16858503000</v>
      </c>
      <c r="I972" s="5" t="n">
        <v>1202859000</v>
      </c>
      <c r="J972" s="4" t="n">
        <v>1.108299970626831</v>
      </c>
      <c r="K972" s="4" t="n">
        <v>1.297299981117249</v>
      </c>
      <c r="L972" s="4" t="n">
        <v>0.1289000064134598</v>
      </c>
      <c r="M972" t="inlineStr">
        <is>
          <t>김동후/김정락</t>
        </is>
      </c>
      <c r="N972" t="inlineStr">
        <is>
          <t>070-4045-0407</t>
        </is>
      </c>
      <c r="O972" t="inlineStr">
        <is>
          <t>031-267-0407</t>
        </is>
      </c>
      <c r="P972" s="3">
        <f>HYPERLINK("http://www.knknara.co.kr", "http://www.knknara.co.kr")</f>
        <v/>
      </c>
      <c r="Q972" t="inlineStr">
        <is>
          <t>1248694467</t>
        </is>
      </c>
      <c r="R972" t="inlineStr">
        <is>
          <t>1348110195372</t>
        </is>
      </c>
      <c r="S972" t="inlineStr">
        <is>
          <t>대상아님</t>
        </is>
      </c>
      <c r="T972" t="inlineStr">
        <is>
          <t>일반법인</t>
        </is>
      </c>
      <c r="U972" t="inlineStr">
        <is>
          <t>중소기업</t>
        </is>
      </c>
      <c r="V972" t="inlineStr">
        <is>
          <t>외부감사대상</t>
        </is>
      </c>
      <c r="W972" s="6" t="inlineStr">
        <is>
          <t>2010-05-31</t>
        </is>
      </c>
      <c r="X972" t="inlineStr">
        <is>
          <t>KRI:10C2927100</t>
        </is>
      </c>
      <c r="Y972" t="inlineStr">
        <is>
          <t>반도체 제조용 기계 제조업</t>
        </is>
      </c>
      <c r="Z972" t="inlineStr">
        <is>
          <t>반도체제조용기계,전자집적회로,공장자동화시스템,작업공정소프트웨어개발 제조/전기,전자부품 도매/비주거용건물 임대</t>
        </is>
      </c>
      <c r="AA972" t="inlineStr">
        <is>
          <t>경기 화성시 병점구 기산동 246-1번지</t>
        </is>
      </c>
      <c r="AB972" t="inlineStr">
        <is>
          <t>경기 화성시 병점구 기산로87번길 2</t>
        </is>
      </c>
    </row>
    <row r="973" ht="19.2" customHeight="1" s="1">
      <c r="A973" t="inlineStr">
        <is>
          <t>NICE:L98660</t>
        </is>
      </c>
      <c r="B973" t="inlineStr">
        <is>
          <t>드림엔지니어링</t>
        </is>
      </c>
      <c r="C973" s="5" t="n">
        <v>23852593000</v>
      </c>
      <c r="D973" s="5" t="n">
        <v>14479011000</v>
      </c>
      <c r="E973" s="5" t="n">
        <v>9373582000</v>
      </c>
      <c r="F973" s="5" t="n">
        <v>36511425000</v>
      </c>
      <c r="G973" s="5" t="n">
        <v>3658614000</v>
      </c>
      <c r="H973" s="5" t="n">
        <v>18754009000</v>
      </c>
      <c r="I973" s="5" t="n">
        <v>1835201000</v>
      </c>
      <c r="J973" s="4" t="n">
        <v>2.260200023651123</v>
      </c>
      <c r="K973" s="4" t="n">
        <v>1.544700026512146</v>
      </c>
      <c r="L973" s="4" t="n">
        <v>0.1002000048756599</v>
      </c>
      <c r="M973" t="inlineStr">
        <is>
          <t>오진택</t>
        </is>
      </c>
      <c r="N973" t="inlineStr">
        <is>
          <t>02-831-7890</t>
        </is>
      </c>
      <c r="O973" t="inlineStr">
        <is>
          <t>02-831-7891</t>
        </is>
      </c>
      <c r="P973" s="3" t="n"/>
      <c r="Q973" t="inlineStr">
        <is>
          <t>1088612371</t>
        </is>
      </c>
      <c r="R973" t="inlineStr">
        <is>
          <t>1101115472173</t>
        </is>
      </c>
      <c r="S973" t="inlineStr">
        <is>
          <t>대상아님</t>
        </is>
      </c>
      <c r="T973" t="inlineStr">
        <is>
          <t>일반법인</t>
        </is>
      </c>
      <c r="U973" t="inlineStr">
        <is>
          <t>중소기업</t>
        </is>
      </c>
      <c r="V973" t="inlineStr">
        <is>
          <t>외부감사대상</t>
        </is>
      </c>
      <c r="W973" s="6" t="inlineStr">
        <is>
          <t>2014-07-22</t>
        </is>
      </c>
      <c r="X973" t="inlineStr">
        <is>
          <t>KRI:10M7212100</t>
        </is>
      </c>
      <c r="Y973" t="inlineStr">
        <is>
          <t>건물 및 토목 엔지니어링 서비스업</t>
        </is>
      </c>
      <c r="Z973" t="inlineStr">
        <is>
          <t>엔지니어링/전기공사/전기기기,1차금속제품,안전장비 도소매/네트워크 구축,유지보수,소프트웨어 개발</t>
        </is>
      </c>
      <c r="AA973" t="inlineStr">
        <is>
          <t>서울 금천구 가산동 343-7번지 드림타워 이1 15층</t>
        </is>
      </c>
      <c r="AB973" t="inlineStr">
        <is>
          <t>서울 금천구 가산디지털2로 15, 15층 (가산동,드림타워 이1)</t>
        </is>
      </c>
    </row>
    <row r="974" ht="19.2" customHeight="1" s="1">
      <c r="A974" t="inlineStr">
        <is>
          <t>NICE:486025</t>
        </is>
      </c>
      <c r="B974" t="inlineStr">
        <is>
          <t>에이치씨글로벌</t>
        </is>
      </c>
      <c r="C974" s="5" t="n">
        <v>232080426000</v>
      </c>
      <c r="D974" s="5" t="n">
        <v>57200762000</v>
      </c>
      <c r="E974" s="5" t="n">
        <v>174879665000</v>
      </c>
      <c r="F974" s="5" t="n">
        <v>64082478000</v>
      </c>
      <c r="G974" s="5" t="n">
        <v>9942031000</v>
      </c>
      <c r="H974" s="5" t="n">
        <v>77679328000</v>
      </c>
      <c r="I974" s="5" t="n">
        <v>14881468000</v>
      </c>
      <c r="J974" s="4" t="n">
        <v>0.6901999711990356</v>
      </c>
      <c r="K974" s="4" t="n">
        <v>0.3270999789237976</v>
      </c>
      <c r="L974" s="4" t="n">
        <v>0.1551000028848648</v>
      </c>
      <c r="M974" t="inlineStr">
        <is>
          <t>박창현</t>
        </is>
      </c>
      <c r="N974" t="inlineStr">
        <is>
          <t>055-911-3000</t>
        </is>
      </c>
      <c r="O974" t="inlineStr">
        <is>
          <t>055-912-1212</t>
        </is>
      </c>
      <c r="P974" s="3">
        <f>HYPERLINK("http://www.heechang.com", "http://www.heechang.com")</f>
        <v/>
      </c>
      <c r="Q974" t="inlineStr">
        <is>
          <t>6218160309</t>
        </is>
      </c>
      <c r="R974" t="inlineStr">
        <is>
          <t>2341110036248</t>
        </is>
      </c>
      <c r="S974" t="inlineStr">
        <is>
          <t>대상아님</t>
        </is>
      </c>
      <c r="T974" t="inlineStr">
        <is>
          <t>일반법인</t>
        </is>
      </c>
      <c r="U974" t="inlineStr">
        <is>
          <t>중소기업</t>
        </is>
      </c>
      <c r="V974" t="inlineStr">
        <is>
          <t>외부감사대상</t>
        </is>
      </c>
      <c r="W974" s="6" t="inlineStr">
        <is>
          <t>2004-08-27</t>
        </is>
      </c>
      <c r="X974" t="inlineStr">
        <is>
          <t>KRI:10C1050100</t>
        </is>
      </c>
      <c r="Y974" t="inlineStr">
        <is>
          <t>액상시유 및 기타 낙농제품 제조업</t>
        </is>
      </c>
      <c r="Z974" t="inlineStr">
        <is>
          <t>분유,다류 제조,도소매/부동산 임대,컨설팅,상가신축 판매,매매</t>
        </is>
      </c>
      <c r="AA974" t="inlineStr">
        <is>
          <t>경남 양산시 유산동 250번지</t>
        </is>
      </c>
      <c r="AB974" t="inlineStr">
        <is>
          <t>경남 양산시 유산공단7길 45</t>
        </is>
      </c>
    </row>
    <row r="975" ht="19.2" customHeight="1" s="1">
      <c r="A975" t="inlineStr">
        <is>
          <t>NICE:009393</t>
        </is>
      </c>
      <c r="B975" t="inlineStr">
        <is>
          <t>어프로티움</t>
        </is>
      </c>
      <c r="C975" s="5" t="n">
        <v>475626811000</v>
      </c>
      <c r="D975" s="5" t="n">
        <v>263261454000</v>
      </c>
      <c r="E975" s="5" t="n">
        <v>212365357000</v>
      </c>
      <c r="F975" s="5" t="n">
        <v>399044880000</v>
      </c>
      <c r="G975" s="5" t="n">
        <v>47944729000</v>
      </c>
      <c r="H975" s="5" t="n">
        <v>433446472000</v>
      </c>
      <c r="I975" s="5" t="n">
        <v>50984895000</v>
      </c>
      <c r="J975" s="4" t="n">
        <v>0.8180000185966492</v>
      </c>
      <c r="K975" s="4" t="n">
        <v>1.239699959754944</v>
      </c>
      <c r="L975" s="4" t="n">
        <v>0.1200999990105629</v>
      </c>
      <c r="M975" t="inlineStr">
        <is>
          <t>원기돈</t>
        </is>
      </c>
      <c r="N975" t="inlineStr">
        <is>
          <t>052-270-8500</t>
        </is>
      </c>
      <c r="O975" t="inlineStr">
        <is>
          <t>052-270-8599</t>
        </is>
      </c>
      <c r="P975" s="3">
        <f>HYPERLINK("https://www.approtium.com/", "https://www.approtium.com/")</f>
        <v/>
      </c>
      <c r="Q975" t="inlineStr">
        <is>
          <t>6108102987</t>
        </is>
      </c>
      <c r="R975" t="inlineStr">
        <is>
          <t>1812110002530</t>
        </is>
      </c>
      <c r="S975" t="inlineStr">
        <is>
          <t>대상아님</t>
        </is>
      </c>
      <c r="T975" t="inlineStr">
        <is>
          <t>일반법인</t>
        </is>
      </c>
      <c r="U975" t="inlineStr">
        <is>
          <t>중견기업</t>
        </is>
      </c>
      <c r="V975" t="inlineStr">
        <is>
          <t>외부감사대상</t>
        </is>
      </c>
      <c r="W975" s="6" t="inlineStr">
        <is>
          <t>1982-06-24</t>
        </is>
      </c>
      <c r="X975" t="inlineStr">
        <is>
          <t>KRI:10C2012100</t>
        </is>
      </c>
      <c r="Y975" t="inlineStr">
        <is>
          <t>산업용 가스 제조업</t>
        </is>
      </c>
      <c r="Z975" t="inlineStr">
        <is>
          <t>산업용가스(수소,탄산가스,LPG,액체질소,알곤,산소,아세칠렌,암모니아,혼합가스) 제조/특정고압가스설비 도매/부동산 임대</t>
        </is>
      </c>
      <c r="AA975" t="inlineStr">
        <is>
          <t>울산 남구 여천동 863-3번지</t>
        </is>
      </c>
      <c r="AB975" t="inlineStr">
        <is>
          <t>울산 남구 처용로 35</t>
        </is>
      </c>
    </row>
    <row r="976" ht="19.2" customHeight="1" s="1">
      <c r="A976" t="inlineStr">
        <is>
          <t>NICE:L68231</t>
        </is>
      </c>
      <c r="B976" t="inlineStr">
        <is>
          <t>엔카닷컴</t>
        </is>
      </c>
      <c r="C976" s="5" t="n">
        <v>165301595000</v>
      </c>
      <c r="D976" s="5" t="n">
        <v>51965836000</v>
      </c>
      <c r="E976" s="5" t="n">
        <v>113335759000</v>
      </c>
      <c r="F976" s="5" t="n">
        <v>120723164000</v>
      </c>
      <c r="G976" s="5" t="n">
        <v>32951987000</v>
      </c>
      <c r="H976" s="5" t="n">
        <v>102141582000</v>
      </c>
      <c r="I976" s="5" t="n">
        <v>28720436000</v>
      </c>
      <c r="J976" s="4" t="n">
        <v>2.242700099945068</v>
      </c>
      <c r="K976" s="4" t="n">
        <v>0.4584999680519104</v>
      </c>
      <c r="L976" s="4" t="n">
        <v>0.2729999721050262</v>
      </c>
      <c r="M976" t="inlineStr">
        <is>
          <t>김상범</t>
        </is>
      </c>
      <c r="N976" t="inlineStr">
        <is>
          <t>1599-5455</t>
        </is>
      </c>
      <c r="O976" t="inlineStr">
        <is>
          <t>02-6190-8964</t>
        </is>
      </c>
      <c r="P976" s="3">
        <f>HYPERLINK("http://www.encar.com", "http://www.encar.com")</f>
        <v/>
      </c>
      <c r="Q976" t="inlineStr">
        <is>
          <t>1048654476</t>
        </is>
      </c>
      <c r="R976" t="inlineStr">
        <is>
          <t>1101115384146</t>
        </is>
      </c>
      <c r="S976" t="inlineStr">
        <is>
          <t>대상아님</t>
        </is>
      </c>
      <c r="T976" t="inlineStr">
        <is>
          <t>일반법인</t>
        </is>
      </c>
      <c r="U976" t="inlineStr">
        <is>
          <t>중견기업</t>
        </is>
      </c>
      <c r="V976" t="inlineStr">
        <is>
          <t>외부감사대상</t>
        </is>
      </c>
      <c r="W976" s="6" t="inlineStr">
        <is>
          <t>2014-04-03</t>
        </is>
      </c>
      <c r="X976" t="inlineStr">
        <is>
          <t>KRI:10J6399100</t>
        </is>
      </c>
      <c r="Y976" t="inlineStr">
        <is>
          <t>데이터베이스 및 온라인정보 제공업</t>
        </is>
      </c>
      <c r="Z976" t="inlineStr">
        <is>
          <t>온라인정보 제공/자동차 매매,통신판매,전자상거래/자동차 성능,상태점검,교육서비스</t>
        </is>
      </c>
      <c r="AA976" t="inlineStr">
        <is>
          <t>서울 중구 순화동 216번지 에이아이에이타워 18층,19층</t>
        </is>
      </c>
      <c r="AB976" t="inlineStr">
        <is>
          <t>서울 중구 통일로2길 16, 18층,19층 (순화동,에이아이에이타워)</t>
        </is>
      </c>
    </row>
    <row r="977" ht="19.2" customHeight="1" s="1">
      <c r="A977" t="inlineStr">
        <is>
          <t>NICE:JT1796</t>
        </is>
      </c>
      <c r="B977" t="inlineStr">
        <is>
          <t>비올메디컬</t>
        </is>
      </c>
      <c r="C977" s="5" t="n">
        <v>124560079000</v>
      </c>
      <c r="D977" s="5" t="n">
        <v>13063939000</v>
      </c>
      <c r="E977" s="5" t="n">
        <v>111496141000</v>
      </c>
      <c r="F977" s="5" t="n">
        <v>60142395000</v>
      </c>
      <c r="G977" s="5" t="n">
        <v>28611403000</v>
      </c>
      <c r="H977" s="5" t="n">
        <v>58193099000</v>
      </c>
      <c r="I977" s="5" t="n">
        <v>36061882000</v>
      </c>
      <c r="J977" s="4" t="n">
        <v>11.99390029907227</v>
      </c>
      <c r="K977" s="4" t="n">
        <v>0.1172000020742416</v>
      </c>
      <c r="L977" s="4" t="n">
        <v>0.4756999909877777</v>
      </c>
      <c r="M977" t="inlineStr">
        <is>
          <t>이은천</t>
        </is>
      </c>
      <c r="N977" t="inlineStr">
        <is>
          <t>031-8017-7893</t>
        </is>
      </c>
      <c r="O977" t="inlineStr">
        <is>
          <t>031-8016-7894</t>
        </is>
      </c>
      <c r="P977" s="3">
        <f>HYPERLINK("http://www.viol.co.kr", "http://www.viol.co.kr")</f>
        <v/>
      </c>
      <c r="Q977" t="inlineStr">
        <is>
          <t>1268682517</t>
        </is>
      </c>
      <c r="R977" t="inlineStr">
        <is>
          <t>1101117221677</t>
        </is>
      </c>
      <c r="S977" t="inlineStr">
        <is>
          <t>대상아님</t>
        </is>
      </c>
      <c r="T977" t="inlineStr">
        <is>
          <t>일반법인</t>
        </is>
      </c>
      <c r="U977" t="inlineStr">
        <is>
          <t>중소기업</t>
        </is>
      </c>
      <c r="V977" t="inlineStr">
        <is>
          <t>외부감사대상</t>
        </is>
      </c>
      <c r="W977" s="6" t="inlineStr">
        <is>
          <t>2019-09-02</t>
        </is>
      </c>
      <c r="X977" t="inlineStr">
        <is>
          <t>KRI:10C2719900</t>
        </is>
      </c>
      <c r="Y977" t="inlineStr">
        <is>
          <t>그 외 기타 의료용 기기 제조업</t>
        </is>
      </c>
      <c r="Z977" t="inlineStr">
        <is>
          <t>의료용기기 제조</t>
        </is>
      </c>
      <c r="AA977" t="inlineStr">
        <is>
          <t>경기 성남시 분당구 야탑동 145번지 분당테크노파크 C동 808호.809호</t>
        </is>
      </c>
      <c r="AB977" t="inlineStr">
        <is>
          <t>경기 성남시 분당구 판교로 744, C동 808호.809호 (야탑동,분당테크노파크)</t>
        </is>
      </c>
    </row>
    <row r="978" ht="19.2" customHeight="1" s="1">
      <c r="A978" t="inlineStr">
        <is>
          <t>NICE:227767</t>
        </is>
      </c>
      <c r="B978" t="inlineStr">
        <is>
          <t>한솔오리온텍</t>
        </is>
      </c>
      <c r="C978" s="5" t="n">
        <v>71034926000</v>
      </c>
      <c r="D978" s="5" t="n">
        <v>14248472000</v>
      </c>
      <c r="E978" s="5" t="n">
        <v>56786454000</v>
      </c>
      <c r="F978" s="5" t="n">
        <v>95124597000</v>
      </c>
      <c r="G978" s="5" t="n">
        <v>14423632000</v>
      </c>
      <c r="H978" s="5" t="n">
        <v>100167011000</v>
      </c>
      <c r="I978" s="5" t="n">
        <v>15967623000</v>
      </c>
      <c r="J978" s="4" t="n">
        <v>4.545199871063232</v>
      </c>
      <c r="K978" s="4" t="n">
        <v>0.250900000333786</v>
      </c>
      <c r="L978" s="4" t="n">
        <v>0.1515999883413315</v>
      </c>
      <c r="M978" t="inlineStr">
        <is>
          <t>유명수</t>
        </is>
      </c>
      <c r="N978" t="inlineStr">
        <is>
          <t>054-430-8902</t>
        </is>
      </c>
      <c r="O978" t="inlineStr">
        <is>
          <t>054-430-8904</t>
        </is>
      </c>
      <c r="P978" s="3">
        <f>HYPERLINK("http://www.hansoloriontech.co.kr", "http://www.hansoloriontech.co.kr")</f>
        <v/>
      </c>
      <c r="Q978" t="inlineStr">
        <is>
          <t>1328151256</t>
        </is>
      </c>
      <c r="R978" t="inlineStr">
        <is>
          <t>1152110047437</t>
        </is>
      </c>
      <c r="S978" t="inlineStr">
        <is>
          <t>대상아님</t>
        </is>
      </c>
      <c r="T978" t="inlineStr">
        <is>
          <t>일반법인</t>
        </is>
      </c>
      <c r="U978" t="inlineStr">
        <is>
          <t>중견기업</t>
        </is>
      </c>
      <c r="V978" t="inlineStr">
        <is>
          <t>외부감사대상</t>
        </is>
      </c>
      <c r="W978" s="6" t="inlineStr">
        <is>
          <t>2003-08-04</t>
        </is>
      </c>
      <c r="X978" t="inlineStr">
        <is>
          <t>KRI:10C3111400</t>
        </is>
      </c>
      <c r="Y978" t="inlineStr">
        <is>
          <t>선박 구성 부분품 제조업</t>
        </is>
      </c>
      <c r="Z978" t="inlineStr">
        <is>
          <t>선박구성품,전자부품,폐쇄회로텔레비젼 제조/전자부품 도매/부동산 임대</t>
        </is>
      </c>
      <c r="AA978" t="inlineStr">
        <is>
          <t>경북 김천시 아포읍 인리 1242번지</t>
        </is>
      </c>
      <c r="AB978" t="inlineStr">
        <is>
          <t>경북 김천시 아포읍 아포공단길 147</t>
        </is>
      </c>
    </row>
    <row r="979" ht="19.2" customHeight="1" s="1">
      <c r="A979" t="inlineStr">
        <is>
          <t>NICE:C35189</t>
        </is>
      </c>
      <c r="B979" t="inlineStr">
        <is>
          <t>켐피아</t>
        </is>
      </c>
      <c r="C979" s="5" t="n">
        <v>42364808000</v>
      </c>
      <c r="D979" s="5" t="n">
        <v>12937592000</v>
      </c>
      <c r="E979" s="5" t="n">
        <v>29427215000</v>
      </c>
      <c r="F979" s="5" t="n">
        <v>87013099000</v>
      </c>
      <c r="G979" s="5" t="n">
        <v>10951641000</v>
      </c>
      <c r="H979" s="5" t="n">
        <v>58590274000</v>
      </c>
      <c r="I979" s="5" t="n">
        <v>5601417000</v>
      </c>
      <c r="J979" s="4" t="n">
        <v>2.791599988937378</v>
      </c>
      <c r="K979" s="4" t="n">
        <v>0.4395999908447266</v>
      </c>
      <c r="L979" s="4" t="n">
        <v>0.125900000333786</v>
      </c>
      <c r="M979" t="inlineStr">
        <is>
          <t>신용화</t>
        </is>
      </c>
      <c r="N979" t="inlineStr">
        <is>
          <t>031-606-9510</t>
        </is>
      </c>
      <c r="O979" t="inlineStr">
        <is>
          <t>050-7555-0139</t>
        </is>
      </c>
      <c r="P979" s="3">
        <f>HYPERLINK("http://www.chempia.net", "http://www.chempia.net")</f>
        <v/>
      </c>
      <c r="Q979" t="inlineStr">
        <is>
          <t>1348642777</t>
        </is>
      </c>
      <c r="R979" t="inlineStr">
        <is>
          <t>1314110202764</t>
        </is>
      </c>
      <c r="S979" t="inlineStr">
        <is>
          <t>대상아님</t>
        </is>
      </c>
      <c r="T979" t="inlineStr">
        <is>
          <t>일반법인</t>
        </is>
      </c>
      <c r="U979" t="inlineStr">
        <is>
          <t>중소기업</t>
        </is>
      </c>
      <c r="V979" t="inlineStr">
        <is>
          <t>외부감사대상</t>
        </is>
      </c>
      <c r="W979" s="6" t="inlineStr">
        <is>
          <t>2007-10-09</t>
        </is>
      </c>
      <c r="X979" t="inlineStr">
        <is>
          <t>KRI:10G4673900</t>
        </is>
      </c>
      <c r="Y979" t="inlineStr">
        <is>
          <t>기타 화학물질 및 화학제품 도매업</t>
        </is>
      </c>
      <c r="Z979" t="inlineStr">
        <is>
          <t>화학약품,나노소재 도소매,무역/합성수지,첨가제 제조/연구 개발(나노소재,화장품원료,합성수지,첨가제)</t>
        </is>
      </c>
      <c r="AA979" t="inlineStr">
        <is>
          <t>경기 수원시 영통구 이의동 1283번지 광교센트럴비즈타워지식산업센터 제11층 1108호, 1109호, 1110호, 1111호</t>
        </is>
      </c>
      <c r="AB979" t="inlineStr">
        <is>
          <t>경기 수원시 영통구 창룡대로 260, 제11층 1108호, 1109호, 1110호, 1111호 (이의동,광교센트럴비즈타워지식산업센터)</t>
        </is>
      </c>
    </row>
    <row r="980" ht="19.2" customHeight="1" s="1">
      <c r="A980" t="inlineStr">
        <is>
          <t>NICE:189718</t>
        </is>
      </c>
      <c r="B980" t="inlineStr">
        <is>
          <t>우면산인프라웨이</t>
        </is>
      </c>
      <c r="C980" s="5" t="n">
        <v>74183912000</v>
      </c>
      <c r="D980" s="5" t="n">
        <v>54260702000</v>
      </c>
      <c r="E980" s="5" t="n">
        <v>19923211000</v>
      </c>
      <c r="F980" s="5" t="n">
        <v>23934099000</v>
      </c>
      <c r="G980" s="5" t="n">
        <v>11918673000</v>
      </c>
      <c r="H980" s="5" t="n">
        <v>23692735000</v>
      </c>
      <c r="I980" s="5" t="n">
        <v>12000483000</v>
      </c>
      <c r="J980" s="4" t="n">
        <v>3.503200054168701</v>
      </c>
      <c r="K980" s="4" t="n">
        <v>2.72350001335144</v>
      </c>
      <c r="L980" s="4" t="n">
        <v>0.4979999959468842</v>
      </c>
      <c r="M980" t="inlineStr">
        <is>
          <t>김용덕</t>
        </is>
      </c>
      <c r="N980" t="inlineStr">
        <is>
          <t>02-526-8104</t>
        </is>
      </c>
      <c r="O980" t="inlineStr">
        <is>
          <t>02-574-9201</t>
        </is>
      </c>
      <c r="P980" s="3" t="n"/>
      <c r="Q980" t="inlineStr">
        <is>
          <t>2298133606</t>
        </is>
      </c>
      <c r="R980" t="inlineStr">
        <is>
          <t>1101111584211</t>
        </is>
      </c>
      <c r="S980" t="inlineStr">
        <is>
          <t>대상아님</t>
        </is>
      </c>
      <c r="T980" t="inlineStr">
        <is>
          <t>일반법인</t>
        </is>
      </c>
      <c r="U980" t="inlineStr">
        <is>
          <t>중소기업</t>
        </is>
      </c>
      <c r="V980" t="inlineStr">
        <is>
          <t>외부감사대상</t>
        </is>
      </c>
      <c r="W980" s="6" t="inlineStr">
        <is>
          <t>1998-09-09</t>
        </is>
      </c>
      <c r="X980" t="inlineStr">
        <is>
          <t>KRI:10H5291400</t>
        </is>
      </c>
      <c r="Y980" t="inlineStr">
        <is>
          <t>도로 및 관련시설 운영업</t>
        </is>
      </c>
      <c r="Z980" t="inlineStr">
        <is>
          <t>도로,도로부대시설 관리운영</t>
        </is>
      </c>
      <c r="AA980" t="inlineStr">
        <is>
          <t>서울 서초구 우면동 453번지</t>
        </is>
      </c>
      <c r="AB980" t="inlineStr">
        <is>
          <t>서울 서초구 우면산로 369</t>
        </is>
      </c>
    </row>
    <row r="981" ht="19.2" customHeight="1" s="1">
      <c r="A981" t="inlineStr">
        <is>
          <t>NICE:213542</t>
        </is>
      </c>
      <c r="B981" t="inlineStr">
        <is>
          <t>광주순환</t>
        </is>
      </c>
      <c r="C981" s="5" t="n">
        <v>71930857000</v>
      </c>
      <c r="D981" s="5" t="n">
        <v>2464571000</v>
      </c>
      <c r="E981" s="5" t="n">
        <v>69466286000</v>
      </c>
      <c r="F981" s="5" t="n">
        <v>29977551000</v>
      </c>
      <c r="G981" s="5" t="n">
        <v>15915177000</v>
      </c>
      <c r="H981" s="5" t="n">
        <v>29405513000</v>
      </c>
      <c r="I981" s="5" t="n">
        <v>15688013000</v>
      </c>
      <c r="J981" s="4" t="n">
        <v>8.822099685668945</v>
      </c>
      <c r="K981" s="4" t="n">
        <v>0.03549999743700027</v>
      </c>
      <c r="L981" s="4" t="n">
        <v>0.5309000015258789</v>
      </c>
      <c r="M981" t="inlineStr">
        <is>
          <t>이영훈</t>
        </is>
      </c>
      <c r="N981" t="inlineStr">
        <is>
          <t>062-670-7114</t>
        </is>
      </c>
      <c r="O981" t="inlineStr">
        <is>
          <t>062-675-0167</t>
        </is>
      </c>
      <c r="P981" s="3">
        <f>HYPERLINK("http://www.krrc3.co.kr", "http://www.krrc3.co.kr")</f>
        <v/>
      </c>
      <c r="Q981" t="inlineStr">
        <is>
          <t>4088149318</t>
        </is>
      </c>
      <c r="R981" t="inlineStr">
        <is>
          <t>2001110143910</t>
        </is>
      </c>
      <c r="S981" t="inlineStr">
        <is>
          <t>대상아님</t>
        </is>
      </c>
      <c r="T981" t="inlineStr">
        <is>
          <t>일반법인</t>
        </is>
      </c>
      <c r="U981" t="inlineStr">
        <is>
          <t>중소기업</t>
        </is>
      </c>
      <c r="V981" t="inlineStr">
        <is>
          <t>외부감사대상</t>
        </is>
      </c>
      <c r="W981" s="6" t="inlineStr">
        <is>
          <t>2001-10-24</t>
        </is>
      </c>
      <c r="X981" t="inlineStr">
        <is>
          <t>KRI:10H5291400</t>
        </is>
      </c>
      <c r="Y981" t="inlineStr">
        <is>
          <t>도로 및 관련시설 운영업</t>
        </is>
      </c>
      <c r="Z981" t="inlineStr">
        <is>
          <t>광주순환도로 관리,운영</t>
        </is>
      </c>
      <c r="AA981" t="inlineStr">
        <is>
          <t>광주 남구 송하동 319번지</t>
        </is>
      </c>
      <c r="AB981" t="inlineStr">
        <is>
          <t>광주 남구 2순환로 1508</t>
        </is>
      </c>
    </row>
    <row r="982" ht="19.2" customHeight="1" s="1">
      <c r="A982" t="inlineStr">
        <is>
          <t>NICE:088452</t>
        </is>
      </c>
      <c r="B982" t="inlineStr">
        <is>
          <t>오리엔트</t>
        </is>
      </c>
      <c r="C982" s="5" t="n">
        <v>189446091000</v>
      </c>
      <c r="D982" s="5" t="n">
        <v>73815563000</v>
      </c>
      <c r="E982" s="5" t="n">
        <v>115630528000</v>
      </c>
      <c r="F982" s="5" t="n">
        <v>35791726000</v>
      </c>
      <c r="G982" s="5" t="n">
        <v>6600608000</v>
      </c>
      <c r="H982" s="5" t="n">
        <v>40149820000</v>
      </c>
      <c r="I982" s="5" t="n">
        <v>14648418000</v>
      </c>
      <c r="J982" s="4" t="n">
        <v>0.8774999976158142</v>
      </c>
      <c r="K982" s="4" t="n">
        <v>0.6383999586105347</v>
      </c>
      <c r="L982" s="4" t="n">
        <v>0.1844000071287155</v>
      </c>
      <c r="M982" t="inlineStr">
        <is>
          <t>박재민</t>
        </is>
      </c>
      <c r="N982" t="inlineStr">
        <is>
          <t>031-730-6018</t>
        </is>
      </c>
      <c r="O982" t="inlineStr">
        <is>
          <t>031-746-6412</t>
        </is>
      </c>
      <c r="P982" s="3">
        <f>HYPERLINK("http://www.orient-eng.co.kr", "http://www.orient-eng.co.kr")</f>
        <v/>
      </c>
      <c r="Q982" t="inlineStr">
        <is>
          <t>1288163369</t>
        </is>
      </c>
      <c r="R982" t="inlineStr">
        <is>
          <t>1159110057721</t>
        </is>
      </c>
      <c r="S982" t="inlineStr">
        <is>
          <t>대상아님</t>
        </is>
      </c>
      <c r="T982" t="inlineStr">
        <is>
          <t>일반법인</t>
        </is>
      </c>
      <c r="U982" t="inlineStr">
        <is>
          <t>중소기업</t>
        </is>
      </c>
      <c r="V982" t="inlineStr">
        <is>
          <t>외부감사대상</t>
        </is>
      </c>
      <c r="W982" s="6" t="inlineStr">
        <is>
          <t>2001-10-04</t>
        </is>
      </c>
      <c r="X982" t="inlineStr">
        <is>
          <t>KRI:10G4659300</t>
        </is>
      </c>
      <c r="Y982" t="inlineStr">
        <is>
          <t>정밀기기 및 과학기기 도매업</t>
        </is>
      </c>
      <c r="Z982" t="inlineStr">
        <is>
          <t>실험용기기(사육기자재),클린룸 도매,제조/실험동물 공급/환경위생설비건설공사,토목공사,건축공사</t>
        </is>
      </c>
      <c r="AA982" t="inlineStr">
        <is>
          <t>경기 성남시 중원구 상대원동 143-1번지</t>
        </is>
      </c>
      <c r="AB982" t="inlineStr">
        <is>
          <t>경기 성남시 중원구 갈마치로 322</t>
        </is>
      </c>
    </row>
    <row r="983" ht="19.2" customHeight="1" s="1">
      <c r="A983" t="inlineStr">
        <is>
          <t>NICE:M04075</t>
        </is>
      </c>
      <c r="B983" t="inlineStr">
        <is>
          <t>코앤컴</t>
        </is>
      </c>
      <c r="C983" s="5" t="n">
        <v>189518380000</v>
      </c>
      <c r="D983" s="5" t="n">
        <v>28665005000</v>
      </c>
      <c r="E983" s="5" t="n">
        <v>160853375000</v>
      </c>
      <c r="F983" s="5" t="n">
        <v>120028753000</v>
      </c>
      <c r="G983" s="5" t="n">
        <v>19789670000</v>
      </c>
      <c r="H983" s="5" t="n">
        <v>134054148000</v>
      </c>
      <c r="I983" s="5" t="n">
        <v>24852269000</v>
      </c>
      <c r="J983" s="4" t="n">
        <v>2.320800065994263</v>
      </c>
      <c r="K983" s="4" t="n">
        <v>0.1781999915838242</v>
      </c>
      <c r="L983" s="4" t="n">
        <v>0.1648999899625778</v>
      </c>
      <c r="M983" t="inlineStr">
        <is>
          <t>백명곤</t>
        </is>
      </c>
      <c r="N983" t="inlineStr">
        <is>
          <t>02-2239-1427</t>
        </is>
      </c>
      <c r="O983" t="inlineStr">
        <is>
          <t>02-540-0833</t>
        </is>
      </c>
      <c r="P983" s="3">
        <f>HYPERLINK("http://www.codesinner.kr", "http://www.codesinner.kr")</f>
        <v/>
      </c>
      <c r="Q983" t="inlineStr">
        <is>
          <t>2618116353</t>
        </is>
      </c>
      <c r="R983" t="inlineStr">
        <is>
          <t>1101115487362</t>
        </is>
      </c>
      <c r="S983" t="inlineStr">
        <is>
          <t>대상아님</t>
        </is>
      </c>
      <c r="T983" t="inlineStr">
        <is>
          <t>일반법인</t>
        </is>
      </c>
      <c r="U983" t="inlineStr">
        <is>
          <t>중소기업</t>
        </is>
      </c>
      <c r="V983" t="inlineStr">
        <is>
          <t>외부감사대상</t>
        </is>
      </c>
      <c r="W983" s="6" t="inlineStr">
        <is>
          <t>2014-08-11</t>
        </is>
      </c>
      <c r="X983" t="inlineStr">
        <is>
          <t>KRI:10C1412000</t>
        </is>
      </c>
      <c r="Y983" t="inlineStr">
        <is>
          <t>속옷 및 잠옷 제조업</t>
        </is>
      </c>
      <c r="Z983" t="inlineStr">
        <is>
          <t>속옷,의류 제조,도소매,무역,전자상거래(통신판매)</t>
        </is>
      </c>
      <c r="AA983" t="inlineStr">
        <is>
          <t>서울 강남구 논현동 41-5번지 5층</t>
        </is>
      </c>
      <c r="AB983" t="inlineStr">
        <is>
          <t>서울 강남구 강남대로136길 64, 5층</t>
        </is>
      </c>
    </row>
    <row r="984" ht="19.2" customHeight="1" s="1">
      <c r="A984" t="inlineStr">
        <is>
          <t>NICE:C17929</t>
        </is>
      </c>
      <c r="B984" t="inlineStr">
        <is>
          <t>동방파스텍</t>
        </is>
      </c>
      <c r="C984" s="5" t="n">
        <v>28592154000</v>
      </c>
      <c r="D984" s="5" t="n">
        <v>13152407000</v>
      </c>
      <c r="E984" s="5" t="n">
        <v>15439748000</v>
      </c>
      <c r="F984" s="5" t="n">
        <v>26550163000</v>
      </c>
      <c r="G984" s="5" t="n">
        <v>2729575000</v>
      </c>
      <c r="H984" s="5" t="n">
        <v>34969458000</v>
      </c>
      <c r="I984" s="5" t="n">
        <v>3824984000</v>
      </c>
      <c r="J984" s="4" t="n">
        <v>1.184199929237366</v>
      </c>
      <c r="K984" s="4" t="n">
        <v>0.8518999814987183</v>
      </c>
      <c r="L984" s="4" t="n">
        <v>0.1027999967336655</v>
      </c>
      <c r="M984" t="inlineStr">
        <is>
          <t>지춘남</t>
        </is>
      </c>
      <c r="N984" t="inlineStr">
        <is>
          <t>031-847-9872</t>
        </is>
      </c>
      <c r="O984" t="inlineStr">
        <is>
          <t>031-847-9987</t>
        </is>
      </c>
      <c r="P984" s="3">
        <f>HYPERLINK("http://www.dbang.co.kr", "http://www.dbang.co.kr")</f>
        <v/>
      </c>
      <c r="Q984" t="inlineStr">
        <is>
          <t>1278197755</t>
        </is>
      </c>
      <c r="R984" t="inlineStr">
        <is>
          <t>2801110073955</t>
        </is>
      </c>
      <c r="S984" t="inlineStr">
        <is>
          <t>대상아님</t>
        </is>
      </c>
      <c r="T984" t="inlineStr">
        <is>
          <t>일반법인</t>
        </is>
      </c>
      <c r="U984" t="inlineStr">
        <is>
          <t>중소기업</t>
        </is>
      </c>
      <c r="V984" t="inlineStr">
        <is>
          <t>외부감사대상</t>
        </is>
      </c>
      <c r="W984" s="6" t="inlineStr">
        <is>
          <t>2006-02-22</t>
        </is>
      </c>
      <c r="X984" t="inlineStr">
        <is>
          <t>KRI:10F4242000</t>
        </is>
      </c>
      <c r="Y984" t="inlineStr">
        <is>
          <t>유리 및 창호 공사업</t>
        </is>
      </c>
      <c r="Z984" t="inlineStr">
        <is>
          <t>금속구조물공사/프레임바,스텐실바,멀티칼라강판(방화문제작용) 제조,판매</t>
        </is>
      </c>
      <c r="AA984" t="inlineStr">
        <is>
          <t>경기 양주시 백석읍 홍죽리 954-12번지</t>
        </is>
      </c>
      <c r="AB984" t="inlineStr">
        <is>
          <t>경기 양주시 백석읍 권율로1203번길 39-31</t>
        </is>
      </c>
    </row>
    <row r="985" ht="19.2" customHeight="1" s="1">
      <c r="A985" t="inlineStr">
        <is>
          <t>NICE:QM8423</t>
        </is>
      </c>
      <c r="B985" t="inlineStr">
        <is>
          <t>일지</t>
        </is>
      </c>
      <c r="C985" s="5" t="n">
        <v>26456444000</v>
      </c>
      <c r="D985" s="5" t="n">
        <v>17946373000</v>
      </c>
      <c r="E985" s="5" t="n">
        <v>8510071000</v>
      </c>
      <c r="F985" s="5" t="n">
        <v>53124403000</v>
      </c>
      <c r="G985" s="5" t="n">
        <v>7367021000</v>
      </c>
      <c r="H985" s="5" t="n">
        <v>35816974000</v>
      </c>
      <c r="I985" s="5" t="n">
        <v>2881406000</v>
      </c>
      <c r="J985" s="4" t="n">
        <v>1.448699951171875</v>
      </c>
      <c r="K985" s="4" t="n">
        <v>2.108799934387207</v>
      </c>
      <c r="L985" s="4" t="n">
        <v>0.1386999934911728</v>
      </c>
      <c r="M985" t="inlineStr">
        <is>
          <t>최민호</t>
        </is>
      </c>
      <c r="N985" t="inlineStr">
        <is>
          <t>041-531-8220</t>
        </is>
      </c>
      <c r="O985" t="inlineStr">
        <is>
          <t>041-531-8222</t>
        </is>
      </c>
      <c r="P985" s="3" t="n"/>
      <c r="Q985" t="inlineStr">
        <is>
          <t>1708803037</t>
        </is>
      </c>
      <c r="R985" t="inlineStr">
        <is>
          <t>1648110174130</t>
        </is>
      </c>
      <c r="S985" t="inlineStr">
        <is>
          <t>대상아님</t>
        </is>
      </c>
      <c r="T985" t="inlineStr">
        <is>
          <t>일반법인</t>
        </is>
      </c>
      <c r="U985" t="inlineStr">
        <is>
          <t>중소기업</t>
        </is>
      </c>
      <c r="V985" t="inlineStr">
        <is>
          <t>외부감사대상</t>
        </is>
      </c>
      <c r="W985" s="6" t="inlineStr">
        <is>
          <t>2023-10-25</t>
        </is>
      </c>
      <c r="X985" t="inlineStr">
        <is>
          <t>KRI:10C3039900</t>
        </is>
      </c>
      <c r="Y985" t="inlineStr">
        <is>
          <t>그 외 자동차용 신품 부품 제조업</t>
        </is>
      </c>
      <c r="Z985" t="inlineStr">
        <is>
          <t>자동차부품,부직포,펠트 제조/자동차 신품 부품,내장품 도소매</t>
        </is>
      </c>
      <c r="AA985" t="inlineStr">
        <is>
          <t>충남 아산시 둔포면 석곡리 1328번지</t>
        </is>
      </c>
      <c r="AB985" t="inlineStr">
        <is>
          <t>충남 아산시 둔포면 아산밸리북로 125</t>
        </is>
      </c>
    </row>
    <row r="986" ht="19.2" customHeight="1" s="1">
      <c r="A986" t="inlineStr">
        <is>
          <t>NICE:M04083</t>
        </is>
      </c>
      <c r="B986" t="inlineStr">
        <is>
          <t>인터코스코리아</t>
        </is>
      </c>
      <c r="C986" s="5" t="n">
        <v>135218321000</v>
      </c>
      <c r="D986" s="5" t="n">
        <v>93626626000</v>
      </c>
      <c r="E986" s="5" t="n">
        <v>41591695000</v>
      </c>
      <c r="F986" s="5" t="n">
        <v>193451958000</v>
      </c>
      <c r="G986" s="5" t="n">
        <v>20016006000</v>
      </c>
      <c r="H986" s="5" t="n">
        <v>169826975000</v>
      </c>
      <c r="I986" s="5" t="n">
        <v>23009340000</v>
      </c>
      <c r="J986" s="4" t="n">
        <v>1.01010000705719</v>
      </c>
      <c r="K986" s="4" t="n">
        <v>2.251100063323975</v>
      </c>
      <c r="L986" s="4" t="n">
        <v>0.1035000011324883</v>
      </c>
      <c r="M986" t="inlineStr">
        <is>
          <t>안나다토</t>
        </is>
      </c>
      <c r="N986" t="inlineStr">
        <is>
          <t>031-8065-7500</t>
        </is>
      </c>
      <c r="O986" t="inlineStr">
        <is>
          <t>031-8065-7574</t>
        </is>
      </c>
      <c r="P986" s="3">
        <f>HYPERLINK("http://www.intercoskr.com", "http://www.intercoskr.com")</f>
        <v/>
      </c>
      <c r="Q986" t="inlineStr">
        <is>
          <t>1018692296</t>
        </is>
      </c>
      <c r="R986" t="inlineStr">
        <is>
          <t>1311110431666</t>
        </is>
      </c>
      <c r="S986" t="inlineStr">
        <is>
          <t>대상아님</t>
        </is>
      </c>
      <c r="T986" t="inlineStr">
        <is>
          <t>일반법인</t>
        </is>
      </c>
      <c r="U986" t="inlineStr">
        <is>
          <t>중소기업</t>
        </is>
      </c>
      <c r="V986" t="inlineStr">
        <is>
          <t>외부감사대상</t>
        </is>
      </c>
      <c r="W986" s="6" t="inlineStr">
        <is>
          <t>2015-12-11</t>
        </is>
      </c>
      <c r="X986" t="inlineStr">
        <is>
          <t>KRI:10C2042300</t>
        </is>
      </c>
      <c r="Y986" t="inlineStr">
        <is>
          <t>화장품 제조업</t>
        </is>
      </c>
      <c r="Z986" t="inlineStr">
        <is>
          <t>화장품 제조,도소매</t>
        </is>
      </c>
      <c r="AA986" t="inlineStr">
        <is>
          <t>경기 오산시 가장동 387-2번지 5층</t>
        </is>
      </c>
      <c r="AB986" t="inlineStr">
        <is>
          <t>경기 오산시 가장산업서북로 40-38, 5층</t>
        </is>
      </c>
    </row>
    <row r="987" ht="19.2" customHeight="1" s="1">
      <c r="A987" t="inlineStr">
        <is>
          <t>NICE:H83652</t>
        </is>
      </c>
      <c r="B987" t="inlineStr">
        <is>
          <t>에이치디현대쉘베이스오일</t>
        </is>
      </c>
      <c r="C987" s="5" t="n">
        <v>541274419000</v>
      </c>
      <c r="D987" s="5" t="n">
        <v>108621950000</v>
      </c>
      <c r="E987" s="5" t="n">
        <v>432652469000</v>
      </c>
      <c r="F987" s="5" t="n">
        <v>1330035651000</v>
      </c>
      <c r="G987" s="5" t="n">
        <v>199228971000</v>
      </c>
      <c r="H987" s="5" t="n">
        <v>1343768874000</v>
      </c>
      <c r="I987" s="5" t="n">
        <v>168119848000</v>
      </c>
      <c r="J987" s="4" t="n">
        <v>2.991700172424316</v>
      </c>
      <c r="K987" s="4" t="n">
        <v>0.2511000037193298</v>
      </c>
      <c r="L987" s="4" t="n">
        <v>0.1497999876737595</v>
      </c>
      <c r="M987" t="inlineStr">
        <is>
          <t>조성호</t>
        </is>
      </c>
      <c r="N987" t="inlineStr">
        <is>
          <t>02-500-4656</t>
        </is>
      </c>
      <c r="O987" t="inlineStr">
        <is>
          <t>02-500-4933</t>
        </is>
      </c>
      <c r="P987" s="3">
        <f>HYPERLINK("http://www.hd-hyundaishellbaseoil.co.kr", "http://www.hd-hyundaishellbaseoil.co.kr")</f>
        <v/>
      </c>
      <c r="Q987" t="inlineStr">
        <is>
          <t>3168119188</t>
        </is>
      </c>
      <c r="R987" t="inlineStr">
        <is>
          <t>1614110027067</t>
        </is>
      </c>
      <c r="S987" t="inlineStr">
        <is>
          <t>대상아님</t>
        </is>
      </c>
      <c r="T987" t="inlineStr">
        <is>
          <t>일반법인</t>
        </is>
      </c>
      <c r="U987" t="inlineStr">
        <is>
          <t>대기업</t>
        </is>
      </c>
      <c r="V987" t="inlineStr">
        <is>
          <t>외부감사대상</t>
        </is>
      </c>
      <c r="W987" s="6" t="inlineStr">
        <is>
          <t>2012-04-12</t>
        </is>
      </c>
      <c r="X987" t="inlineStr">
        <is>
          <t>KRI:10C1921000</t>
        </is>
      </c>
      <c r="Y987" t="inlineStr">
        <is>
          <t>원유 정제처리업</t>
        </is>
      </c>
      <c r="Z987" t="inlineStr">
        <is>
          <t>윤활기유 제조,판매</t>
        </is>
      </c>
      <c r="AA987" t="inlineStr">
        <is>
          <t>충남 서산시 대산읍 대죽리 640-6번지</t>
        </is>
      </c>
      <c r="AB987" t="inlineStr">
        <is>
          <t>충남 서산시 대산읍 평신2로 182</t>
        </is>
      </c>
    </row>
    <row r="988" ht="19.2" customHeight="1" s="1">
      <c r="A988" t="inlineStr">
        <is>
          <t>NICE:487318</t>
        </is>
      </c>
      <c r="B988" t="inlineStr">
        <is>
          <t>한국화낙서비스</t>
        </is>
      </c>
      <c r="C988" s="5" t="n">
        <v>66965476000</v>
      </c>
      <c r="D988" s="5" t="n">
        <v>8195026000</v>
      </c>
      <c r="E988" s="5" t="n">
        <v>58770450000</v>
      </c>
      <c r="F988" s="5" t="n">
        <v>27604532000</v>
      </c>
      <c r="G988" s="5" t="n">
        <v>5412408000</v>
      </c>
      <c r="H988" s="5" t="n">
        <v>30100634000</v>
      </c>
      <c r="I988" s="5" t="n">
        <v>11559500000</v>
      </c>
      <c r="J988" s="4" t="n">
        <v>6.202700138092041</v>
      </c>
      <c r="K988" s="4" t="n">
        <v>0.139399990439415</v>
      </c>
      <c r="L988" s="4" t="n">
        <v>0.1960999965667725</v>
      </c>
      <c r="M988" t="inlineStr">
        <is>
          <t>고영운</t>
        </is>
      </c>
      <c r="N988" t="inlineStr">
        <is>
          <t>055-278-1254</t>
        </is>
      </c>
      <c r="O988" t="inlineStr">
        <is>
          <t>055-261-6958</t>
        </is>
      </c>
      <c r="P988" s="3">
        <f>HYPERLINK("http://www.fkc.co.kr/", "http://www.fkc.co.kr/")</f>
        <v/>
      </c>
      <c r="Q988" t="inlineStr">
        <is>
          <t>6098173629</t>
        </is>
      </c>
      <c r="R988" t="inlineStr">
        <is>
          <t>1942110080127</t>
        </is>
      </c>
      <c r="S988" t="inlineStr">
        <is>
          <t>대상아님</t>
        </is>
      </c>
      <c r="T988" t="inlineStr">
        <is>
          <t>일반법인</t>
        </is>
      </c>
      <c r="U988" t="inlineStr">
        <is>
          <t>중견기업</t>
        </is>
      </c>
      <c r="V988" t="inlineStr">
        <is>
          <t>외부감사대상</t>
        </is>
      </c>
      <c r="W988" s="6" t="inlineStr">
        <is>
          <t>2006-06-09</t>
        </is>
      </c>
      <c r="X988" t="inlineStr">
        <is>
          <t>KRI:10C3402000</t>
        </is>
      </c>
      <c r="Y988" t="inlineStr">
        <is>
          <t>전기.전자 및 정밀기기 수리업</t>
        </is>
      </c>
      <c r="Z988" t="inlineStr">
        <is>
          <t>수치제어장치 수리,제조/초정밀나노가공기,수체제어식드릴링기 제조,와이어컷방전가공기,전동사출성형기등 유지보수</t>
        </is>
      </c>
      <c r="AA988" t="inlineStr">
        <is>
          <t>경남 창원시 의창구 팔용동 41-1번지</t>
        </is>
      </c>
      <c r="AB988" t="inlineStr">
        <is>
          <t>경남 창원시 의창구 사화로 188</t>
        </is>
      </c>
    </row>
    <row r="989" ht="19.2" customHeight="1" s="1">
      <c r="A989" t="inlineStr">
        <is>
          <t>NICE:484746</t>
        </is>
      </c>
      <c r="B989" t="inlineStr">
        <is>
          <t>영남복합물류공사</t>
        </is>
      </c>
      <c r="C989" s="5" t="n">
        <v>298989131000</v>
      </c>
      <c r="D989" s="5" t="n">
        <v>165801996000</v>
      </c>
      <c r="E989" s="5" t="n">
        <v>133187135000</v>
      </c>
      <c r="F989" s="5" t="n">
        <v>21015461000</v>
      </c>
      <c r="G989" s="5" t="n">
        <v>9753264000</v>
      </c>
      <c r="H989" s="5" t="n">
        <v>20669161000</v>
      </c>
      <c r="I989" s="5" t="n">
        <v>10860967000</v>
      </c>
      <c r="J989" s="4" t="n">
        <v>7.228400230407715</v>
      </c>
      <c r="K989" s="4" t="n">
        <v>1.244899988174438</v>
      </c>
      <c r="L989" s="4" t="n">
        <v>0.4640999734401703</v>
      </c>
      <c r="M989" t="inlineStr">
        <is>
          <t>이창호</t>
        </is>
      </c>
      <c r="N989" t="inlineStr">
        <is>
          <t>054-380-1000</t>
        </is>
      </c>
      <c r="O989" t="inlineStr">
        <is>
          <t>054-380-1001</t>
        </is>
      </c>
      <c r="P989" s="3">
        <f>HYPERLINK("http://www.yift.co.kr/kor", "http://www.yift.co.kr/kor")</f>
        <v/>
      </c>
      <c r="Q989" t="inlineStr">
        <is>
          <t>2068199279</t>
        </is>
      </c>
      <c r="R989" t="inlineStr">
        <is>
          <t>1101113231480</t>
        </is>
      </c>
      <c r="S989" t="inlineStr">
        <is>
          <t>대상아님</t>
        </is>
      </c>
      <c r="T989" t="inlineStr">
        <is>
          <t>일반법인</t>
        </is>
      </c>
      <c r="U989" t="inlineStr">
        <is>
          <t>중소기업</t>
        </is>
      </c>
      <c r="V989" t="inlineStr">
        <is>
          <t>외부감사대상</t>
        </is>
      </c>
      <c r="W989" s="6" t="inlineStr">
        <is>
          <t>2005-05-19</t>
        </is>
      </c>
      <c r="X989" t="inlineStr">
        <is>
          <t>KRI:10H5291300</t>
        </is>
      </c>
      <c r="Y989" t="inlineStr">
        <is>
          <t>물류 터미널 운영업</t>
        </is>
      </c>
      <c r="Z989" t="inlineStr">
        <is>
          <t>복합화물터미널,내륙컨테이너기지 운영</t>
        </is>
      </c>
      <c r="AA989" t="inlineStr">
        <is>
          <t>경북 칠곡군 지천면 연화리 700번지</t>
        </is>
      </c>
      <c r="AB989" t="inlineStr">
        <is>
          <t>경북 칠곡군 지천면 금호로 272</t>
        </is>
      </c>
    </row>
    <row r="990" ht="19.2" customHeight="1" s="1">
      <c r="A990" t="inlineStr">
        <is>
          <t>NICE:JX0597</t>
        </is>
      </c>
      <c r="B990" t="inlineStr">
        <is>
          <t>노이펠리체</t>
        </is>
      </c>
      <c r="C990" s="5" t="n">
        <v>101632761000</v>
      </c>
      <c r="D990" s="5" t="n">
        <v>79394373000</v>
      </c>
      <c r="E990" s="5" t="n">
        <v>22238388000</v>
      </c>
      <c r="F990" s="5" t="n">
        <v>152750422000</v>
      </c>
      <c r="G990" s="5" t="n">
        <v>34395521000</v>
      </c>
      <c r="H990" s="5" t="n">
        <v>74504376000</v>
      </c>
      <c r="I990" s="5" t="n">
        <v>11842497000</v>
      </c>
      <c r="J990" s="4" t="n">
        <v>3.766599893569946</v>
      </c>
      <c r="K990" s="4" t="n">
        <v>3.570100069046021</v>
      </c>
      <c r="L990" s="4" t="n">
        <v>0.2251999974250793</v>
      </c>
      <c r="M990" t="inlineStr">
        <is>
          <t>윤경선</t>
        </is>
      </c>
      <c r="N990" t="inlineStr">
        <is>
          <t>02-501-901</t>
        </is>
      </c>
      <c r="P990" s="3" t="n"/>
      <c r="Q990" t="inlineStr">
        <is>
          <t>3398601920</t>
        </is>
      </c>
      <c r="R990" t="inlineStr">
        <is>
          <t>1101117322061</t>
        </is>
      </c>
      <c r="S990" t="inlineStr">
        <is>
          <t>대상아님</t>
        </is>
      </c>
      <c r="T990" t="inlineStr">
        <is>
          <t>일반법인</t>
        </is>
      </c>
      <c r="U990" t="inlineStr">
        <is>
          <t>중소기업</t>
        </is>
      </c>
      <c r="V990" t="inlineStr">
        <is>
          <t>외부감사대상</t>
        </is>
      </c>
      <c r="W990" s="6" t="inlineStr">
        <is>
          <t>2019-12-12</t>
        </is>
      </c>
      <c r="X990" t="inlineStr">
        <is>
          <t>KRI:10L6812100</t>
        </is>
      </c>
      <c r="Y990" t="inlineStr">
        <is>
          <t>주거용 건물 개발 및 공급업</t>
        </is>
      </c>
      <c r="Z990" t="inlineStr">
        <is>
          <t>부동산 개발,공급,시행</t>
        </is>
      </c>
      <c r="AA990" t="inlineStr">
        <is>
          <t>서울 강남구 대치동 890-60번지 에이치타워 401호</t>
        </is>
      </c>
      <c r="AB990" t="inlineStr">
        <is>
          <t>서울 강남구 테헤란로70길 12, 401호 (대치동,에이치타워)</t>
        </is>
      </c>
    </row>
    <row r="991" ht="19.2" customHeight="1" s="1">
      <c r="A991" t="inlineStr">
        <is>
          <t>NICE:557609</t>
        </is>
      </c>
      <c r="B991" t="inlineStr">
        <is>
          <t>인텍전기전자</t>
        </is>
      </c>
      <c r="C991" s="5" t="n">
        <v>209663927000</v>
      </c>
      <c r="D991" s="5" t="n">
        <v>128644078000</v>
      </c>
      <c r="E991" s="5" t="n">
        <v>81019849000</v>
      </c>
      <c r="F991" s="5" t="n">
        <v>190607953000</v>
      </c>
      <c r="G991" s="5" t="n">
        <v>21608859000</v>
      </c>
      <c r="H991" s="5" t="n">
        <v>155536331000</v>
      </c>
      <c r="I991" s="5" t="n">
        <v>15319497000</v>
      </c>
      <c r="J991" s="4" t="n">
        <v>1.275899887084961</v>
      </c>
      <c r="K991" s="4" t="n">
        <v>1.587799906730652</v>
      </c>
      <c r="L991" s="4" t="n">
        <v>0.1133999973535538</v>
      </c>
      <c r="M991" t="inlineStr">
        <is>
          <t>고영진/고인석/이화세</t>
        </is>
      </c>
      <c r="N991" t="inlineStr">
        <is>
          <t>031-299-8400</t>
        </is>
      </c>
      <c r="O991" t="inlineStr">
        <is>
          <t>031-299-8401</t>
        </is>
      </c>
      <c r="P991" s="3">
        <f>HYPERLINK("http://www.entecene.co.kr", "http://www.entecene.co.kr")</f>
        <v/>
      </c>
      <c r="Q991" t="inlineStr">
        <is>
          <t>1388112945</t>
        </is>
      </c>
      <c r="R991" t="inlineStr">
        <is>
          <t>1341110052683</t>
        </is>
      </c>
      <c r="S991" t="inlineStr">
        <is>
          <t>대상아님</t>
        </is>
      </c>
      <c r="T991" t="inlineStr">
        <is>
          <t>일반법인</t>
        </is>
      </c>
      <c r="U991" t="inlineStr">
        <is>
          <t>중소기업</t>
        </is>
      </c>
      <c r="V991" t="inlineStr">
        <is>
          <t>외부감사대상</t>
        </is>
      </c>
      <c r="W991" s="6" t="inlineStr">
        <is>
          <t>1996-12-10</t>
        </is>
      </c>
      <c r="X991" t="inlineStr">
        <is>
          <t>KRI:10C2812100</t>
        </is>
      </c>
      <c r="Y991" t="inlineStr">
        <is>
          <t>전기회로 개폐, 보호장치 제조업</t>
        </is>
      </c>
      <c r="Z991" t="inlineStr">
        <is>
          <t>전기전자통신기기,전기회로,수배전반,속도계,적산계기 제조/전기공사,정보통신공사/무역/부동산 임대</t>
        </is>
      </c>
      <c r="AA991" t="inlineStr">
        <is>
          <t>경기 화성시 효행구 봉담읍 분천리 78-2번지</t>
        </is>
      </c>
      <c r="AB991" t="inlineStr">
        <is>
          <t>경기 화성시 효행구 봉담읍 최루백로 225-38</t>
        </is>
      </c>
    </row>
    <row r="992" ht="19.2" customHeight="1" s="1">
      <c r="A992" t="inlineStr">
        <is>
          <t>NICE:JK2577</t>
        </is>
      </c>
      <c r="B992" t="inlineStr">
        <is>
          <t>트리노드</t>
        </is>
      </c>
      <c r="C992" s="5" t="n">
        <v>57296600000</v>
      </c>
      <c r="D992" s="5" t="n">
        <v>4455002000</v>
      </c>
      <c r="E992" s="5" t="n">
        <v>52841598000</v>
      </c>
      <c r="F992" s="5" t="n">
        <v>49160137000</v>
      </c>
      <c r="G992" s="5" t="n">
        <v>16835781000</v>
      </c>
      <c r="H992" s="5" t="n">
        <v>50250161000</v>
      </c>
      <c r="I992" s="5" t="n">
        <v>17888393000</v>
      </c>
      <c r="J992" s="4" t="n">
        <v>7.927499771118164</v>
      </c>
      <c r="K992" s="4" t="n">
        <v>0.08430000394582748</v>
      </c>
      <c r="L992" s="4" t="n">
        <v>0.3425000011920929</v>
      </c>
      <c r="M992" t="inlineStr">
        <is>
          <t>김준수</t>
        </is>
      </c>
      <c r="N992" t="inlineStr">
        <is>
          <t>051-747-1426</t>
        </is>
      </c>
      <c r="O992" t="inlineStr">
        <is>
          <t>051-747-1427</t>
        </is>
      </c>
      <c r="P992" s="3">
        <f>HYPERLINK("http://www.treenod.com/", "http://www.treenod.com/")</f>
        <v/>
      </c>
      <c r="Q992" t="inlineStr">
        <is>
          <t>7968601176</t>
        </is>
      </c>
      <c r="R992" t="inlineStr">
        <is>
          <t>1801111193399</t>
        </is>
      </c>
      <c r="S992" t="inlineStr">
        <is>
          <t>대상아님</t>
        </is>
      </c>
      <c r="T992" t="inlineStr">
        <is>
          <t>일반법인</t>
        </is>
      </c>
      <c r="U992" t="inlineStr">
        <is>
          <t>중소기업</t>
        </is>
      </c>
      <c r="V992" t="inlineStr">
        <is>
          <t>외부감사대상</t>
        </is>
      </c>
      <c r="W992" s="6" t="inlineStr">
        <is>
          <t>2018-12-31</t>
        </is>
      </c>
      <c r="X992" t="inlineStr">
        <is>
          <t>KRI:10J5821200</t>
        </is>
      </c>
      <c r="Y992" t="inlineStr">
        <is>
          <t>모바일 게임 소프트웨어 개발 및 공급업</t>
        </is>
      </c>
      <c r="Z992" t="inlineStr">
        <is>
          <t>게임소프트웨어 개발,공급/문구 도소매/디자인(자사로고)</t>
        </is>
      </c>
      <c r="AA992" t="inlineStr">
        <is>
          <t>부산 해운대구 우동 1510번지 센텀드림월드 503호, 701호, 802호, 803호, 1302호, 15층</t>
        </is>
      </c>
      <c r="AB992" t="inlineStr">
        <is>
          <t>부산 해운대구 센텀2로 25, 503호, 701호, 802호, 803호, 1302호, 15층 (우동,센텀드림월드)</t>
        </is>
      </c>
    </row>
    <row r="993" s="1">
      <c r="A993" t="inlineStr">
        <is>
          <t>NICE:I33777</t>
        </is>
      </c>
      <c r="B993" t="inlineStr">
        <is>
          <t>제이엘유나이티드</t>
        </is>
      </c>
      <c r="C993" s="5" t="n">
        <v>476210434000</v>
      </c>
      <c r="D993" s="5" t="n">
        <v>407895132000</v>
      </c>
      <c r="E993" s="5" t="n">
        <v>68315302000</v>
      </c>
      <c r="F993" s="5" t="n">
        <v>22274296000</v>
      </c>
      <c r="G993" s="5" t="n">
        <v>7762668000</v>
      </c>
      <c r="H993" s="5" t="n">
        <v>21127931000</v>
      </c>
      <c r="I993" s="5" t="n">
        <v>4483280000</v>
      </c>
      <c r="J993" s="4" t="n">
        <v>4.762599945068359</v>
      </c>
      <c r="K993" s="4" t="n">
        <v>5.970799922943115</v>
      </c>
      <c r="L993" s="4" t="n">
        <v>0.348499983549118</v>
      </c>
      <c r="M993" t="inlineStr">
        <is>
          <t>전은수</t>
        </is>
      </c>
      <c r="N993" t="inlineStr">
        <is>
          <t>031-283-8558</t>
        </is>
      </c>
      <c r="O993" t="inlineStr">
        <is>
          <t>031-283-8595</t>
        </is>
      </c>
      <c r="Q993" t="inlineStr">
        <is>
          <t>1248600334</t>
        </is>
      </c>
      <c r="R993" t="inlineStr">
        <is>
          <t>1358110084988</t>
        </is>
      </c>
      <c r="S993" t="inlineStr">
        <is>
          <t>대상아님</t>
        </is>
      </c>
      <c r="T993" t="inlineStr">
        <is>
          <t>일반법인</t>
        </is>
      </c>
      <c r="U993" t="inlineStr">
        <is>
          <t>중견기업</t>
        </is>
      </c>
      <c r="V993" t="inlineStr">
        <is>
          <t>외부감사대상</t>
        </is>
      </c>
      <c r="W993" s="6" t="inlineStr">
        <is>
          <t>2009-05-20</t>
        </is>
      </c>
      <c r="X993" t="inlineStr">
        <is>
          <t>KRI:10L6811200</t>
        </is>
      </c>
      <c r="Y993" t="inlineStr">
        <is>
          <t>비주거용 건물 임대업</t>
        </is>
      </c>
      <c r="Z993" t="inlineStr">
        <is>
          <t>부동산(건물) 임대,개발,공급,분양대행,컨설팅/주택건설</t>
        </is>
      </c>
      <c r="AA993" t="inlineStr">
        <is>
          <t>경기 용인시 기흥구 구갈동 657번지 기흥역롯데캐슬레이시티 시티동 22층</t>
        </is>
      </c>
      <c r="AB993" t="inlineStr">
        <is>
          <t>경기 용인시 기흥구 기흥역로 9, 시티동 22층 (구갈동,기흥역롯데캐슬레이시티)</t>
        </is>
      </c>
    </row>
    <row r="994" s="1">
      <c r="A994" t="inlineStr">
        <is>
          <t>NICE:JN1355</t>
        </is>
      </c>
      <c r="B994" t="inlineStr">
        <is>
          <t>비금주민태양광발전</t>
        </is>
      </c>
      <c r="C994" s="5" t="n">
        <v>414810129000</v>
      </c>
      <c r="D994" s="5" t="n">
        <v>387322167000</v>
      </c>
      <c r="E994" s="5" t="n">
        <v>27487962000</v>
      </c>
      <c r="F994" s="5" t="n">
        <v>40468110000</v>
      </c>
      <c r="G994" s="5" t="n">
        <v>13483706000</v>
      </c>
      <c r="H994" s="5" t="n">
        <v>10878487000</v>
      </c>
      <c r="I994" s="5" t="n">
        <v>1056444000</v>
      </c>
      <c r="J994" s="4" t="n">
        <v>1.16540002822876</v>
      </c>
      <c r="K994" s="4" t="n">
        <v>14.09060001373291</v>
      </c>
      <c r="L994" s="4" t="n">
        <v>0.3331999778747559</v>
      </c>
      <c r="M994" t="inlineStr">
        <is>
          <t>이형범</t>
        </is>
      </c>
      <c r="N994" t="inlineStr">
        <is>
          <t>070-4607-6727</t>
        </is>
      </c>
      <c r="O994" t="inlineStr">
        <is>
          <t>070-8250-6766</t>
        </is>
      </c>
      <c r="P994">
        <f>HYPERLINK("http://www.bgsp.kr", "http://www.bgsp.kr")</f>
        <v/>
      </c>
      <c r="Q994" t="inlineStr">
        <is>
          <t>4798601500</t>
        </is>
      </c>
      <c r="R994" t="inlineStr">
        <is>
          <t>2011110055982</t>
        </is>
      </c>
      <c r="S994" t="inlineStr">
        <is>
          <t>대상아님</t>
        </is>
      </c>
      <c r="T994" t="inlineStr">
        <is>
          <t>일반법인</t>
        </is>
      </c>
      <c r="U994" t="inlineStr">
        <is>
          <t>중소기업</t>
        </is>
      </c>
      <c r="V994" t="inlineStr">
        <is>
          <t>외부감사대상</t>
        </is>
      </c>
      <c r="W994" s="6" t="inlineStr">
        <is>
          <t>2019-03-25</t>
        </is>
      </c>
      <c r="X994" t="inlineStr">
        <is>
          <t>KRI:10D3511400</t>
        </is>
      </c>
      <c r="Y994" t="inlineStr">
        <is>
          <t>태양력 발전업</t>
        </is>
      </c>
      <c r="Z994" t="inlineStr">
        <is>
          <t>태양광발전/태양광발전 컨설팅</t>
        </is>
      </c>
      <c r="AA994" t="inlineStr">
        <is>
          <t>전남 신안군 비금면 도고리 175-2번지</t>
        </is>
      </c>
      <c r="AB994" t="inlineStr">
        <is>
          <t>전남 신안군 비금면 서남문로 307</t>
        </is>
      </c>
    </row>
    <row r="995" ht="19.2" customHeight="1" s="1">
      <c r="A995" t="inlineStr">
        <is>
          <t>NICE:HE6398</t>
        </is>
      </c>
      <c r="B995" t="inlineStr">
        <is>
          <t>대원에스앤디</t>
        </is>
      </c>
      <c r="C995" s="5" t="n">
        <v>49456743000</v>
      </c>
      <c r="D995" s="5" t="n">
        <v>11546472000</v>
      </c>
      <c r="E995" s="5" t="n">
        <v>37910271000</v>
      </c>
      <c r="F995" s="5" t="n">
        <v>58495385000</v>
      </c>
      <c r="G995" s="5" t="n">
        <v>16166858000</v>
      </c>
      <c r="H995" s="5" t="n">
        <v>49018666000</v>
      </c>
      <c r="I995" s="5" t="n">
        <v>12834892000</v>
      </c>
      <c r="J995" s="4" t="n">
        <v>4.14609956741333</v>
      </c>
      <c r="K995" s="4" t="n">
        <v>0.3045999705791473</v>
      </c>
      <c r="L995" s="4" t="n">
        <v>0.2763999998569489</v>
      </c>
      <c r="M995" t="inlineStr">
        <is>
          <t>강창길</t>
        </is>
      </c>
      <c r="N995" t="inlineStr">
        <is>
          <t>043-251-3746</t>
        </is>
      </c>
      <c r="O995" t="inlineStr">
        <is>
          <t>070-4170-4675</t>
        </is>
      </c>
      <c r="P995" s="3" t="n"/>
      <c r="Q995" t="inlineStr">
        <is>
          <t>5118600085</t>
        </is>
      </c>
      <c r="R995" t="inlineStr">
        <is>
          <t>1501110203905</t>
        </is>
      </c>
      <c r="S995" t="inlineStr">
        <is>
          <t>대상아님</t>
        </is>
      </c>
      <c r="T995" t="inlineStr">
        <is>
          <t>일반법인</t>
        </is>
      </c>
      <c r="U995" t="inlineStr">
        <is>
          <t>중소기업</t>
        </is>
      </c>
      <c r="V995" t="inlineStr">
        <is>
          <t>외부감사대상</t>
        </is>
      </c>
      <c r="W995" s="6" t="inlineStr">
        <is>
          <t>2015-05-22</t>
        </is>
      </c>
      <c r="X995" t="inlineStr">
        <is>
          <t>KRI:10F4111000</t>
        </is>
      </c>
      <c r="Y995" t="inlineStr">
        <is>
          <t>주거용 건물 건설업</t>
        </is>
      </c>
      <c r="Z995" t="inlineStr">
        <is>
          <t>주택공사/부동산 임대,매매</t>
        </is>
      </c>
      <c r="AA995" t="inlineStr">
        <is>
          <t>충북 청주시 상당구 문화동 118번지 센트럴칸타빌 1층</t>
        </is>
      </c>
      <c r="AB995" t="inlineStr">
        <is>
          <t>충북 청주시 상당구 용담로 7, 1층 (문화동,센트럴칸타빌)</t>
        </is>
      </c>
    </row>
    <row r="996" ht="19.2" customHeight="1" s="1">
      <c r="A996" t="inlineStr">
        <is>
          <t>NICE:LH0874</t>
        </is>
      </c>
      <c r="B996" t="inlineStr">
        <is>
          <t>와이에이치이코퍼레이션</t>
        </is>
      </c>
      <c r="C996" s="5" t="n">
        <v>44634168000</v>
      </c>
      <c r="D996" s="5" t="n">
        <v>11604326000</v>
      </c>
      <c r="E996" s="5" t="n">
        <v>33029842000</v>
      </c>
      <c r="F996" s="5" t="n">
        <v>55393559000</v>
      </c>
      <c r="G996" s="5" t="n">
        <v>10050446000</v>
      </c>
      <c r="H996" s="5" t="n">
        <v>38690746000</v>
      </c>
      <c r="I996" s="5" t="n">
        <v>4120452000</v>
      </c>
      <c r="J996" s="4" t="n">
        <v>3.355400085449219</v>
      </c>
      <c r="K996" s="4" t="n">
        <v>0.3513000011444092</v>
      </c>
      <c r="L996" s="4" t="n">
        <v>0.1813999861478806</v>
      </c>
      <c r="M996" t="inlineStr">
        <is>
          <t>김주환</t>
        </is>
      </c>
      <c r="N996" t="inlineStr">
        <is>
          <t>031-980-0222</t>
        </is>
      </c>
      <c r="O996" t="inlineStr">
        <is>
          <t>031-982-3691</t>
        </is>
      </c>
      <c r="P996" s="3" t="n"/>
      <c r="Q996" t="inlineStr">
        <is>
          <t>2078801821</t>
        </is>
      </c>
      <c r="R996" t="inlineStr">
        <is>
          <t>1244110268020</t>
        </is>
      </c>
      <c r="S996" t="inlineStr">
        <is>
          <t>대상아님</t>
        </is>
      </c>
      <c r="T996" t="inlineStr">
        <is>
          <t>일반법인</t>
        </is>
      </c>
      <c r="U996" t="inlineStr">
        <is>
          <t>중소기업</t>
        </is>
      </c>
      <c r="V996" t="inlineStr">
        <is>
          <t>외부감사대상</t>
        </is>
      </c>
      <c r="W996" s="6" t="inlineStr">
        <is>
          <t>2020-06-03</t>
        </is>
      </c>
      <c r="X996" t="inlineStr">
        <is>
          <t>KRI:10C2927100</t>
        </is>
      </c>
      <c r="Y996" t="inlineStr">
        <is>
          <t>반도체 제조용 기계 제조업</t>
        </is>
      </c>
      <c r="Z996" t="inlineStr">
        <is>
          <t>반도체장비부품 제조/무역</t>
        </is>
      </c>
      <c r="AA996" t="inlineStr">
        <is>
          <t>경기 김포시 양촌읍 대포리 479번지</t>
        </is>
      </c>
      <c r="AB996" t="inlineStr">
        <is>
          <t>경기 김포시 양촌읍 대포산단로 24</t>
        </is>
      </c>
    </row>
    <row r="997" ht="19.2" customHeight="1" s="1">
      <c r="A997" t="inlineStr">
        <is>
          <t>NICE:127823</t>
        </is>
      </c>
      <c r="B997" t="inlineStr">
        <is>
          <t>조광선박</t>
        </is>
      </c>
      <c r="C997" s="5" t="n">
        <v>43254869000</v>
      </c>
      <c r="D997" s="5" t="n">
        <v>6806141000</v>
      </c>
      <c r="E997" s="5" t="n">
        <v>36448728000</v>
      </c>
      <c r="F997" s="5" t="n">
        <v>22722759000</v>
      </c>
      <c r="G997" s="5" t="n">
        <v>4837277000</v>
      </c>
      <c r="H997" s="5" t="n">
        <v>21724775000</v>
      </c>
      <c r="I997" s="5" t="n">
        <v>4245787000</v>
      </c>
      <c r="J997" s="4" t="n">
        <v>2.927900075912476</v>
      </c>
      <c r="K997" s="4" t="n">
        <v>0.1867000013589859</v>
      </c>
      <c r="L997" s="4" t="n">
        <v>0.2128999978303909</v>
      </c>
      <c r="M997" t="inlineStr">
        <is>
          <t>김경민</t>
        </is>
      </c>
      <c r="N997" t="inlineStr">
        <is>
          <t>052-265-7756</t>
        </is>
      </c>
      <c r="O997" t="inlineStr">
        <is>
          <t>052-267-4496</t>
        </is>
      </c>
      <c r="P997" s="3" t="n"/>
      <c r="Q997" t="inlineStr">
        <is>
          <t>6108104971</t>
        </is>
      </c>
      <c r="R997" t="inlineStr">
        <is>
          <t>1812110002473</t>
        </is>
      </c>
      <c r="S997" t="inlineStr">
        <is>
          <t>대상아님</t>
        </is>
      </c>
      <c r="T997" t="inlineStr">
        <is>
          <t>일반법인</t>
        </is>
      </c>
      <c r="U997" t="inlineStr">
        <is>
          <t>중소기업</t>
        </is>
      </c>
      <c r="V997" t="inlineStr">
        <is>
          <t>외부감사대상</t>
        </is>
      </c>
      <c r="W997" s="6" t="inlineStr">
        <is>
          <t>1982-05-13</t>
        </is>
      </c>
      <c r="X997" t="inlineStr">
        <is>
          <t>KRI:10H5013000</t>
        </is>
      </c>
      <c r="Y997" t="inlineStr">
        <is>
          <t>기타 해상 운송업</t>
        </is>
      </c>
      <c r="Z997" t="inlineStr">
        <is>
          <t>해상예인선 운송/방제/선박 수리</t>
        </is>
      </c>
      <c r="AA997" t="inlineStr">
        <is>
          <t>울산 남구 장생포동 60-5번지</t>
        </is>
      </c>
      <c r="AB997" t="inlineStr">
        <is>
          <t>울산 남구 장생포고래로 225</t>
        </is>
      </c>
    </row>
  </sheetData>
  <autoFilter ref="A1:Z1">
    <sortState ref="A2:Z1030">
      <sortCondition descending="1" ref="Y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05"/>
  <sheetViews>
    <sheetView tabSelected="1" workbookViewId="0">
      <selection activeCell="B1" sqref="B1"/>
    </sheetView>
  </sheetViews>
  <sheetFormatPr baseColWidth="8" defaultRowHeight="17.4"/>
  <cols>
    <col width="13" customWidth="1" style="1" min="1" max="1"/>
    <col width="51" customWidth="1" style="1" min="2" max="2"/>
    <col width="17.59765625" customWidth="1" style="1" min="3" max="3"/>
    <col width="17" customWidth="1" style="1" min="4" max="5"/>
    <col width="48" customWidth="1" style="1" min="6" max="6"/>
    <col width="14" customWidth="1" style="1" min="7" max="7"/>
    <col width="15" customWidth="1" style="1" min="8" max="8"/>
    <col width="11" customWidth="1" style="1" min="9" max="9"/>
    <col width="17" customWidth="1" style="1" min="10" max="10"/>
    <col width="19" customWidth="1" style="1" min="11" max="11"/>
    <col width="16" customWidth="1" style="1" min="12" max="12"/>
    <col width="23" customWidth="1" style="1" min="13" max="13"/>
    <col width="16" customWidth="1" style="1" min="14" max="14"/>
    <col width="53" customWidth="1" style="1" min="15" max="15"/>
    <col width="152" customWidth="1" style="1" min="16" max="16"/>
    <col width="132" customWidth="1" style="1" min="17" max="18"/>
    <col width="8.796875" customWidth="1" style="1" min="19" max="21"/>
  </cols>
  <sheetData>
    <row r="1">
      <c r="A1" t="inlineStr">
        <is>
          <t>symbol</t>
        </is>
      </c>
      <c r="B1" t="inlineStr">
        <is>
          <t>name</t>
        </is>
      </c>
      <c r="C1" t="inlineStr">
        <is>
          <t>ceo</t>
        </is>
      </c>
      <c r="D1" t="inlineStr">
        <is>
          <t>tel</t>
        </is>
      </c>
      <c r="E1" t="inlineStr">
        <is>
          <t>fax</t>
        </is>
      </c>
      <c r="F1" t="inlineStr">
        <is>
          <t>website</t>
        </is>
      </c>
      <c r="G1" t="inlineStr">
        <is>
          <t>사업자번호</t>
        </is>
      </c>
      <c r="H1" t="inlineStr">
        <is>
          <t>company_rid</t>
        </is>
      </c>
      <c r="I1" t="inlineStr">
        <is>
          <t>market_id</t>
        </is>
      </c>
      <c r="J1" t="inlineStr">
        <is>
          <t>company_type_l1</t>
        </is>
      </c>
      <c r="K1" t="inlineStr">
        <is>
          <t>company_type_size</t>
        </is>
      </c>
      <c r="L1" t="inlineStr">
        <is>
          <t>audit_type</t>
        </is>
      </c>
      <c r="M1" t="inlineStr">
        <is>
          <t>date of establishment</t>
        </is>
      </c>
      <c r="N1" t="inlineStr">
        <is>
          <t>industry_id</t>
        </is>
      </c>
      <c r="O1" t="inlineStr">
        <is>
          <t>industry_name</t>
        </is>
      </c>
      <c r="P1" t="inlineStr">
        <is>
          <t>business_area</t>
        </is>
      </c>
      <c r="Q1" t="inlineStr">
        <is>
          <t>address_land_lot</t>
        </is>
      </c>
      <c r="R1" t="inlineStr">
        <is>
          <t>address_road_name</t>
        </is>
      </c>
    </row>
    <row r="2" ht="19.2" customHeight="1" s="1">
      <c r="A2" t="inlineStr">
        <is>
          <t>NICE:000604</t>
        </is>
      </c>
      <c r="B2" t="inlineStr">
        <is>
          <t>대한파카라이징</t>
        </is>
      </c>
      <c r="C2" t="inlineStr">
        <is>
          <t>혼다타쿠미</t>
        </is>
      </c>
      <c r="D2" t="inlineStr">
        <is>
          <t>02-333-5821</t>
        </is>
      </c>
      <c r="E2" t="inlineStr">
        <is>
          <t>02-333-6092</t>
        </is>
      </c>
      <c r="F2" s="3">
        <f>HYPERLINK("http://www.d-parker.co.kr", "http://www.d-parker.co.kr")</f>
        <v/>
      </c>
      <c r="G2" t="inlineStr">
        <is>
          <t>1058127512</t>
        </is>
      </c>
      <c r="H2" t="inlineStr">
        <is>
          <t>1101110316392</t>
        </is>
      </c>
      <c r="I2" t="inlineStr">
        <is>
          <t>대상아님</t>
        </is>
      </c>
      <c r="J2" t="inlineStr">
        <is>
          <t>일반법인</t>
        </is>
      </c>
      <c r="K2" t="inlineStr">
        <is>
          <t>중견기업</t>
        </is>
      </c>
      <c r="L2" t="inlineStr">
        <is>
          <t>외부감사대상</t>
        </is>
      </c>
      <c r="M2" s="6" t="inlineStr">
        <is>
          <t>1982-04-02</t>
        </is>
      </c>
      <c r="N2" t="inlineStr">
        <is>
          <t>KRI:10C2013200</t>
        </is>
      </c>
      <c r="O2" t="inlineStr">
        <is>
          <t>염료, 조제 무기안료, 유연제 및 기타 착색제 제조업</t>
        </is>
      </c>
      <c r="P2" t="inlineStr">
        <is>
          <t>화공약품(피막제,친수제,방청유) 제조/무역</t>
        </is>
      </c>
      <c r="Q2" t="inlineStr">
        <is>
          <t>서울 마포구 대흥동 445번지 광성벤처프라자빌딩 5층</t>
        </is>
      </c>
      <c r="R2" t="inlineStr">
        <is>
          <t>서울 마포구 독막로 275, 5층 (대흥동,광성벤처프라자빌딩)</t>
        </is>
      </c>
    </row>
    <row r="3" ht="19.2" customHeight="1" s="1">
      <c r="A3" t="inlineStr">
        <is>
          <t>NICE:000706</t>
        </is>
      </c>
      <c r="B3" t="inlineStr">
        <is>
          <t>태양자동문</t>
        </is>
      </c>
      <c r="C3" t="inlineStr">
        <is>
          <t>김선국</t>
        </is>
      </c>
      <c r="D3" t="inlineStr">
        <is>
          <t>02-2606-1517</t>
        </is>
      </c>
      <c r="E3" t="inlineStr">
        <is>
          <t>02-2606-1519</t>
        </is>
      </c>
      <c r="F3" s="3">
        <f>HYPERLINK("http://www.sunautodoor.com", "http://www.sunautodoor.com")</f>
        <v/>
      </c>
      <c r="G3" t="inlineStr">
        <is>
          <t>1068160979</t>
        </is>
      </c>
      <c r="H3" t="inlineStr">
        <is>
          <t>1101111281651</t>
        </is>
      </c>
      <c r="I3" t="inlineStr">
        <is>
          <t>대상아님</t>
        </is>
      </c>
      <c r="J3" t="inlineStr">
        <is>
          <t>일반법인</t>
        </is>
      </c>
      <c r="K3" t="inlineStr">
        <is>
          <t>중소기업</t>
        </is>
      </c>
      <c r="L3" t="inlineStr">
        <is>
          <t>외부감사대상</t>
        </is>
      </c>
      <c r="M3" s="6" t="inlineStr">
        <is>
          <t>1996-06-13</t>
        </is>
      </c>
      <c r="N3" t="inlineStr">
        <is>
          <t>KRI:10C2511100</t>
        </is>
      </c>
      <c r="O3" t="inlineStr">
        <is>
          <t>금속 문, 창, 셔터 및 관련제품 제조업</t>
        </is>
      </c>
      <c r="P3" t="inlineStr">
        <is>
          <t>자동문 제조,설치/금속구조물,창호공사/알루미늄,PVC 압출,자동문 도소매,무역/부동산 임대</t>
        </is>
      </c>
      <c r="Q3" t="inlineStr">
        <is>
          <t>서울 양천구 신월동 412-10번지</t>
        </is>
      </c>
      <c r="R3" t="inlineStr">
        <is>
          <t>서울 양천구 국회대로 48</t>
        </is>
      </c>
    </row>
    <row r="4" ht="19.2" customHeight="1" s="1">
      <c r="A4" t="inlineStr">
        <is>
          <t>NICE:001406</t>
        </is>
      </c>
      <c r="B4" t="inlineStr">
        <is>
          <t>무등</t>
        </is>
      </c>
      <c r="C4" t="inlineStr">
        <is>
          <t>김인</t>
        </is>
      </c>
      <c r="D4" t="inlineStr">
        <is>
          <t>062-600-8225</t>
        </is>
      </c>
      <c r="E4" t="inlineStr">
        <is>
          <t>062-941-0486</t>
        </is>
      </c>
      <c r="F4" s="3">
        <f>HYPERLINK("http://www.moodeung.com", "http://www.moodeung.com")</f>
        <v/>
      </c>
      <c r="G4" t="inlineStr">
        <is>
          <t>4108103348</t>
        </is>
      </c>
      <c r="H4" t="inlineStr">
        <is>
          <t>2001110006465</t>
        </is>
      </c>
      <c r="I4" t="inlineStr">
        <is>
          <t>대상아님</t>
        </is>
      </c>
      <c r="J4" t="inlineStr">
        <is>
          <t>일반법인</t>
        </is>
      </c>
      <c r="K4" t="inlineStr">
        <is>
          <t>중소기업</t>
        </is>
      </c>
      <c r="L4" t="inlineStr">
        <is>
          <t>외부감사대상</t>
        </is>
      </c>
      <c r="M4" s="6" t="inlineStr">
        <is>
          <t>1984-10-08</t>
        </is>
      </c>
      <c r="N4" t="inlineStr">
        <is>
          <t>KRI:10C2225100</t>
        </is>
      </c>
      <c r="O4" t="inlineStr">
        <is>
          <t>폴리스티렌 발포 성형제품 제조업</t>
        </is>
      </c>
      <c r="P4" t="inlineStr">
        <is>
          <t>열수축성 튜브,내외장절연피복,전자부품 피복재 제조</t>
        </is>
      </c>
      <c r="Q4" t="inlineStr">
        <is>
          <t>광주 광산구 월전동 1031번지</t>
        </is>
      </c>
      <c r="R4" t="inlineStr">
        <is>
          <t>광주 광산구 평동산단6번로 102</t>
        </is>
      </c>
    </row>
    <row r="5" ht="19.2" customHeight="1" s="1">
      <c r="A5" t="inlineStr">
        <is>
          <t>NICE:001557</t>
        </is>
      </c>
      <c r="B5" t="inlineStr">
        <is>
          <t>리팩</t>
        </is>
      </c>
      <c r="C5" t="inlineStr">
        <is>
          <t>이상건</t>
        </is>
      </c>
      <c r="D5" t="inlineStr">
        <is>
          <t>1544-9932</t>
        </is>
      </c>
      <c r="E5" t="inlineStr">
        <is>
          <t>032-577-9905</t>
        </is>
      </c>
      <c r="F5" s="3">
        <f>HYPERLINK("http://www.leepack.com", "http://www.leepack.com")</f>
        <v/>
      </c>
      <c r="G5" t="inlineStr">
        <is>
          <t>1378149911</t>
        </is>
      </c>
      <c r="H5" t="inlineStr">
        <is>
          <t>1201110303826</t>
        </is>
      </c>
      <c r="I5" t="inlineStr">
        <is>
          <t>대상아님</t>
        </is>
      </c>
      <c r="J5" t="inlineStr">
        <is>
          <t>일반법인</t>
        </is>
      </c>
      <c r="K5" t="inlineStr">
        <is>
          <t>중소기업</t>
        </is>
      </c>
      <c r="L5" t="inlineStr">
        <is>
          <t>외부감사대상</t>
        </is>
      </c>
      <c r="M5" s="6" t="inlineStr">
        <is>
          <t>1967-03-01</t>
        </is>
      </c>
      <c r="N5" t="inlineStr">
        <is>
          <t>KRI:10C2919200</t>
        </is>
      </c>
      <c r="O5" t="inlineStr">
        <is>
          <t>용기 세척, 포장 및 충전기 제조업</t>
        </is>
      </c>
      <c r="P5" t="inlineStr">
        <is>
          <t>포장기계,산업용로보트 제조/무역,기계공구 도소매/부동산 임대</t>
        </is>
      </c>
      <c r="Q5" t="inlineStr">
        <is>
          <t>인천 서구 가좌동 552-27번지</t>
        </is>
      </c>
      <c r="R5" t="inlineStr">
        <is>
          <t>인천 서구 가재울로 27</t>
        </is>
      </c>
    </row>
    <row r="6">
      <c r="A6" t="inlineStr">
        <is>
          <t>NICE:001767</t>
        </is>
      </c>
      <c r="B6" t="inlineStr">
        <is>
          <t>동광화학</t>
        </is>
      </c>
      <c r="C6" t="inlineStr">
        <is>
          <t>최남호/최두준</t>
        </is>
      </c>
      <c r="D6" t="inlineStr">
        <is>
          <t>02-538-0386</t>
        </is>
      </c>
      <c r="E6" t="inlineStr">
        <is>
          <t>02-538-8107</t>
        </is>
      </c>
      <c r="G6" t="inlineStr">
        <is>
          <t>1178114460</t>
        </is>
      </c>
      <c r="H6" t="inlineStr">
        <is>
          <t>1101110349179</t>
        </is>
      </c>
      <c r="I6" t="inlineStr">
        <is>
          <t>대상아님</t>
        </is>
      </c>
      <c r="J6" t="inlineStr">
        <is>
          <t>일반법인</t>
        </is>
      </c>
      <c r="K6" t="inlineStr">
        <is>
          <t>중소기업</t>
        </is>
      </c>
      <c r="L6" t="inlineStr">
        <is>
          <t>외부감사대상</t>
        </is>
      </c>
      <c r="M6" s="6" t="inlineStr">
        <is>
          <t>1983-05-02</t>
        </is>
      </c>
      <c r="N6" t="inlineStr">
        <is>
          <t>KRI:10C2012100</t>
        </is>
      </c>
      <c r="O6" t="inlineStr">
        <is>
          <t>산업용 가스 제조업</t>
        </is>
      </c>
      <c r="P6" t="inlineStr">
        <is>
          <t>고체,액체 탄산가스,드라이아이스 제조,도매</t>
        </is>
      </c>
      <c r="Q6" t="inlineStr">
        <is>
          <t>서울 강남구 대치동 1001-8번지 동남유화빌딩</t>
        </is>
      </c>
      <c r="R6" t="inlineStr">
        <is>
          <t>서울 강남구 영동대로86길 12 (대치동,동남유화빌딩)</t>
        </is>
      </c>
    </row>
    <row r="7" ht="19.2" customHeight="1" s="1">
      <c r="A7" t="inlineStr">
        <is>
          <t>NICE:002208</t>
        </is>
      </c>
      <c r="B7" t="inlineStr">
        <is>
          <t>태원식품산업</t>
        </is>
      </c>
      <c r="C7" t="inlineStr">
        <is>
          <t>송규재</t>
        </is>
      </c>
      <c r="D7" t="inlineStr">
        <is>
          <t>031-491-7912</t>
        </is>
      </c>
      <c r="E7" t="inlineStr">
        <is>
          <t>031-491-7909</t>
        </is>
      </c>
      <c r="F7" s="3">
        <f>HYPERLINK("http://www.taewonfd.com", "http://www.taewonfd.com")</f>
        <v/>
      </c>
      <c r="G7" t="inlineStr">
        <is>
          <t>1348105044</t>
        </is>
      </c>
      <c r="H7" t="inlineStr">
        <is>
          <t>1301110009977</t>
        </is>
      </c>
      <c r="I7" t="inlineStr">
        <is>
          <t>대상아님</t>
        </is>
      </c>
      <c r="J7" t="inlineStr">
        <is>
          <t>일반법인</t>
        </is>
      </c>
      <c r="K7" t="inlineStr">
        <is>
          <t>중소기업</t>
        </is>
      </c>
      <c r="L7" t="inlineStr">
        <is>
          <t>외부감사대상</t>
        </is>
      </c>
      <c r="M7" s="6" t="inlineStr">
        <is>
          <t>1984-12-13</t>
        </is>
      </c>
      <c r="N7" t="inlineStr">
        <is>
          <t>KRI:10C1074200</t>
        </is>
      </c>
      <c r="O7" t="inlineStr">
        <is>
          <t>천연 및 혼합조제 조미료 제조업</t>
        </is>
      </c>
      <c r="P7" t="inlineStr">
        <is>
          <t>조미료,식품첨가물,화공약품,식료품가공기계 제조,도매,수출입/포장재료 도매/부동산 임대/오파</t>
        </is>
      </c>
      <c r="Q7" t="inlineStr">
        <is>
          <t>경기 안산시 단원구 신길동 1125-2번지</t>
        </is>
      </c>
      <c r="R7" t="inlineStr">
        <is>
          <t>경기 안산시 단원구 능안로 78</t>
        </is>
      </c>
    </row>
    <row r="8" ht="19.2" customHeight="1" s="1">
      <c r="A8" t="inlineStr">
        <is>
          <t>NICE:002962</t>
        </is>
      </c>
      <c r="B8" t="inlineStr">
        <is>
          <t>아머스포츠코리아</t>
        </is>
      </c>
      <c r="C8" t="inlineStr">
        <is>
          <t>김훈도</t>
        </is>
      </c>
      <c r="D8" t="inlineStr">
        <is>
          <t>02-518-0781</t>
        </is>
      </c>
      <c r="E8" t="inlineStr">
        <is>
          <t>02-3445-0660</t>
        </is>
      </c>
      <c r="F8" s="3">
        <f>HYPERLINK("http://www.amersports.com", "http://www.amersports.com")</f>
        <v/>
      </c>
      <c r="G8" t="inlineStr">
        <is>
          <t>1208157446</t>
        </is>
      </c>
      <c r="H8" t="inlineStr">
        <is>
          <t>1101111230012</t>
        </is>
      </c>
      <c r="I8" t="inlineStr">
        <is>
          <t>대상아님</t>
        </is>
      </c>
      <c r="J8" t="inlineStr">
        <is>
          <t>일반법인</t>
        </is>
      </c>
      <c r="K8" t="inlineStr">
        <is>
          <t>중소기업</t>
        </is>
      </c>
      <c r="L8" t="inlineStr">
        <is>
          <t>외부감사대상</t>
        </is>
      </c>
      <c r="M8" s="6" t="inlineStr">
        <is>
          <t>1988-04-01</t>
        </is>
      </c>
      <c r="N8" t="inlineStr">
        <is>
          <t>KRI:10G4646400</t>
        </is>
      </c>
      <c r="O8" t="inlineStr">
        <is>
          <t>운동 및 경기용품 도매업</t>
        </is>
      </c>
      <c r="P8" t="inlineStr">
        <is>
          <t>운동용품(라켓,골프용품,스키,스노우보드외) 도소매,수출입,통신 판매,오파/골프채 제조</t>
        </is>
      </c>
      <c r="Q8" t="inlineStr">
        <is>
          <t>서울 성동구 성수동1가 656-1731번지 10층</t>
        </is>
      </c>
      <c r="R8" t="inlineStr">
        <is>
          <t>서울 성동구 아차산로 6, 10층</t>
        </is>
      </c>
    </row>
    <row r="9">
      <c r="A9" t="inlineStr">
        <is>
          <t>NICE:003053</t>
        </is>
      </c>
      <c r="B9" t="inlineStr">
        <is>
          <t>이조디엔씨</t>
        </is>
      </c>
      <c r="C9" t="inlineStr">
        <is>
          <t>안경수</t>
        </is>
      </c>
      <c r="D9" t="inlineStr">
        <is>
          <t>053-358-9111</t>
        </is>
      </c>
      <c r="E9" t="inlineStr">
        <is>
          <t>053-351-4581</t>
        </is>
      </c>
      <c r="G9" t="inlineStr">
        <is>
          <t>5038130133</t>
        </is>
      </c>
      <c r="H9" t="inlineStr">
        <is>
          <t>1701110097651</t>
        </is>
      </c>
      <c r="I9" t="inlineStr">
        <is>
          <t>대상아님</t>
        </is>
      </c>
      <c r="J9" t="inlineStr">
        <is>
          <t>일반법인</t>
        </is>
      </c>
      <c r="K9" t="inlineStr">
        <is>
          <t>중소기업</t>
        </is>
      </c>
      <c r="L9" t="inlineStr">
        <is>
          <t>외부감사대상</t>
        </is>
      </c>
      <c r="M9" s="6" t="inlineStr">
        <is>
          <t>1989-04-11</t>
        </is>
      </c>
      <c r="N9" t="inlineStr">
        <is>
          <t>KRI:10C1340200</t>
        </is>
      </c>
      <c r="O9" t="inlineStr">
        <is>
          <t>직물, 편조원단 및 의복류 염색 가공업</t>
        </is>
      </c>
      <c r="P9" t="inlineStr">
        <is>
          <t>섬유 염색,가공/무역</t>
        </is>
      </c>
      <c r="Q9" t="inlineStr">
        <is>
          <t>대구 서구 비산동 1890번지</t>
        </is>
      </c>
      <c r="R9" t="inlineStr">
        <is>
          <t>대구 서구 염색공단로 27</t>
        </is>
      </c>
    </row>
    <row r="10" ht="19.2" customHeight="1" s="1">
      <c r="A10" t="inlineStr">
        <is>
          <t>NICE:004347</t>
        </is>
      </c>
      <c r="B10" t="inlineStr">
        <is>
          <t>페르노리카코리아</t>
        </is>
      </c>
      <c r="C10" t="inlineStr">
        <is>
          <t>파딜타쉬긴</t>
        </is>
      </c>
      <c r="D10" t="inlineStr">
        <is>
          <t>02-3466-5700</t>
        </is>
      </c>
      <c r="E10" t="inlineStr">
        <is>
          <t>02-3466-5995</t>
        </is>
      </c>
      <c r="F10" s="3">
        <f>HYPERLINK("http://www.pernod-ricard-korea.com", "http://www.pernod-ricard-korea.com")</f>
        <v/>
      </c>
      <c r="G10" t="inlineStr">
        <is>
          <t>1208164461</t>
        </is>
      </c>
      <c r="H10" t="inlineStr">
        <is>
          <t>1101110903412</t>
        </is>
      </c>
      <c r="I10" t="inlineStr">
        <is>
          <t>대상아님</t>
        </is>
      </c>
      <c r="J10" t="inlineStr">
        <is>
          <t>일반법인</t>
        </is>
      </c>
      <c r="K10" t="inlineStr">
        <is>
          <t>중견기업</t>
        </is>
      </c>
      <c r="L10" t="inlineStr">
        <is>
          <t>외부감사대상</t>
        </is>
      </c>
      <c r="M10" s="6" t="inlineStr">
        <is>
          <t>1992-11-24</t>
        </is>
      </c>
      <c r="N10" t="inlineStr">
        <is>
          <t>KRI:10G4633100</t>
        </is>
      </c>
      <c r="O10" t="inlineStr">
        <is>
          <t>주류 도매업</t>
        </is>
      </c>
      <c r="P10" t="inlineStr">
        <is>
          <t>수입양주 도매</t>
        </is>
      </c>
      <c r="Q10" t="inlineStr">
        <is>
          <t>경기 이천시 마장면 이치리 688번지</t>
        </is>
      </c>
      <c r="R10" t="inlineStr">
        <is>
          <t>경기 이천시 마장면 서이천로 91</t>
        </is>
      </c>
    </row>
    <row r="11" ht="19.2" customHeight="1" s="1">
      <c r="A11" t="inlineStr">
        <is>
          <t>NICE:004405</t>
        </is>
      </c>
      <c r="B11" t="inlineStr">
        <is>
          <t>한국인닥타썸</t>
        </is>
      </c>
      <c r="C11" t="inlineStr">
        <is>
          <t>유재섭</t>
        </is>
      </c>
      <c r="D11" t="inlineStr">
        <is>
          <t>054-954-5682</t>
        </is>
      </c>
      <c r="E11" t="inlineStr">
        <is>
          <t>054-954-5685</t>
        </is>
      </c>
      <c r="F11" s="3">
        <f>HYPERLINK("http://www.inductotherm.co.kr", "http://www.inductotherm.co.kr")</f>
        <v/>
      </c>
      <c r="G11" t="inlineStr">
        <is>
          <t>1348108279</t>
        </is>
      </c>
      <c r="H11" t="inlineStr">
        <is>
          <t>1243110012304</t>
        </is>
      </c>
      <c r="I11" t="inlineStr">
        <is>
          <t>대상아님</t>
        </is>
      </c>
      <c r="J11" t="inlineStr">
        <is>
          <t>일반법인</t>
        </is>
      </c>
      <c r="K11" t="inlineStr">
        <is>
          <t>중소기업</t>
        </is>
      </c>
      <c r="L11" t="inlineStr">
        <is>
          <t>외부감사대상</t>
        </is>
      </c>
      <c r="M11" s="6" t="inlineStr">
        <is>
          <t>1985-05-04</t>
        </is>
      </c>
      <c r="N11" t="inlineStr">
        <is>
          <t>KRI:10C2915000</t>
        </is>
      </c>
      <c r="O11" t="inlineStr">
        <is>
          <t>산업용 오븐, 노 및 노용 버너 제조업</t>
        </is>
      </c>
      <c r="P11" t="inlineStr">
        <is>
          <t>고주파전기유도용해로,전기가열로,전자변성기,열처리장비 제조/산업용기계장비 도매/부동산 임대</t>
        </is>
      </c>
      <c r="Q11" t="inlineStr">
        <is>
          <t>경북 고령군 다산면 송곡리 1757번지</t>
        </is>
      </c>
      <c r="R11" t="inlineStr">
        <is>
          <t>경북 고령군 다산면 다산산단로 188</t>
        </is>
      </c>
    </row>
    <row r="12" ht="19.2" customHeight="1" s="1">
      <c r="A12" t="inlineStr">
        <is>
          <t>NICE:005596</t>
        </is>
      </c>
      <c r="B12" t="inlineStr">
        <is>
          <t>금아하이드파워</t>
        </is>
      </c>
      <c r="C12" t="inlineStr">
        <is>
          <t>김장주/이동호</t>
        </is>
      </c>
      <c r="D12" t="inlineStr">
        <is>
          <t>055-286-9316</t>
        </is>
      </c>
      <c r="E12" t="inlineStr">
        <is>
          <t>055-286-9322</t>
        </is>
      </c>
      <c r="F12" s="3">
        <f>HYPERLINK("http://www.kumahydpower.com", "http://www.kumahydpower.com")</f>
        <v/>
      </c>
      <c r="G12" t="inlineStr">
        <is>
          <t>6088115285</t>
        </is>
      </c>
      <c r="H12" t="inlineStr">
        <is>
          <t>1901110019700</t>
        </is>
      </c>
      <c r="I12" t="inlineStr">
        <is>
          <t>대상아님</t>
        </is>
      </c>
      <c r="J12" t="inlineStr">
        <is>
          <t>일반법인</t>
        </is>
      </c>
      <c r="K12" t="inlineStr">
        <is>
          <t>중소기업</t>
        </is>
      </c>
      <c r="L12" t="inlineStr">
        <is>
          <t>외부감사대상</t>
        </is>
      </c>
      <c r="M12" s="6" t="inlineStr">
        <is>
          <t>1988-04-01</t>
        </is>
      </c>
      <c r="N12" t="inlineStr">
        <is>
          <t>KRI:10C2912000</t>
        </is>
      </c>
      <c r="O12" t="inlineStr">
        <is>
          <t>유압기기 제조업</t>
        </is>
      </c>
      <c r="P12" t="inlineStr">
        <is>
          <t>유압기기,유압자동화,기계부품 제조,도매/정밀가공부품 제조/부동산 임대</t>
        </is>
      </c>
      <c r="Q12" t="inlineStr">
        <is>
          <t>경남 창원시 성산구 신촌동 192-5번지</t>
        </is>
      </c>
      <c r="R12" t="inlineStr">
        <is>
          <t>경남 창원시 성산구 공단로 116</t>
        </is>
      </c>
    </row>
    <row r="13">
      <c r="A13" t="inlineStr">
        <is>
          <t>NICE:005800</t>
        </is>
      </c>
      <c r="B13" t="inlineStr">
        <is>
          <t>동승통상</t>
        </is>
      </c>
      <c r="C13" t="inlineStr">
        <is>
          <t>김철웅</t>
        </is>
      </c>
      <c r="D13" t="inlineStr">
        <is>
          <t>02-335-2551-4</t>
        </is>
      </c>
      <c r="E13" t="inlineStr">
        <is>
          <t>02-333-2868</t>
        </is>
      </c>
      <c r="G13" t="inlineStr">
        <is>
          <t>1058104692</t>
        </is>
      </c>
      <c r="H13" t="inlineStr">
        <is>
          <t>1101110217897</t>
        </is>
      </c>
      <c r="I13" t="inlineStr">
        <is>
          <t>대상아님</t>
        </is>
      </c>
      <c r="J13" t="inlineStr">
        <is>
          <t>일반법인</t>
        </is>
      </c>
      <c r="K13" t="inlineStr">
        <is>
          <t>중소기업</t>
        </is>
      </c>
      <c r="L13" t="inlineStr">
        <is>
          <t>외부감사대상</t>
        </is>
      </c>
      <c r="M13" s="6" t="inlineStr">
        <is>
          <t>1977-08-18</t>
        </is>
      </c>
      <c r="N13" t="inlineStr">
        <is>
          <t>KRI:10G4646400</t>
        </is>
      </c>
      <c r="O13" t="inlineStr">
        <is>
          <t>운동 및 경기용품 도매업</t>
        </is>
      </c>
      <c r="P13" t="inlineStr">
        <is>
          <t>배드민턴 셔틀콕,운동용구 도소매,제조/전자상거래</t>
        </is>
      </c>
      <c r="Q13" t="inlineStr">
        <is>
          <t>서울 서초구 서초동 1354번지</t>
        </is>
      </c>
      <c r="R13" t="inlineStr">
        <is>
          <t>서울 서초구 남부순환로 2543</t>
        </is>
      </c>
    </row>
    <row r="14" ht="19.2" customHeight="1" s="1">
      <c r="A14" t="inlineStr">
        <is>
          <t>NICE:005846</t>
        </is>
      </c>
      <c r="B14" t="inlineStr">
        <is>
          <t>흥아기연</t>
        </is>
      </c>
      <c r="C14" t="inlineStr">
        <is>
          <t>강신영/강은식</t>
        </is>
      </c>
      <c r="D14" t="inlineStr">
        <is>
          <t>032-680-7511</t>
        </is>
      </c>
      <c r="E14" t="inlineStr">
        <is>
          <t>032-511-1511</t>
        </is>
      </c>
      <c r="F14" s="3">
        <f>HYPERLINK("http://www.hoonga.com", "http://www.hoonga.com")</f>
        <v/>
      </c>
      <c r="G14" t="inlineStr">
        <is>
          <t>1308133247</t>
        </is>
      </c>
      <c r="H14" t="inlineStr">
        <is>
          <t>1243110033988</t>
        </is>
      </c>
      <c r="I14" t="inlineStr">
        <is>
          <t>대상아님</t>
        </is>
      </c>
      <c r="J14" t="inlineStr">
        <is>
          <t>일반법인</t>
        </is>
      </c>
      <c r="K14" t="inlineStr">
        <is>
          <t>중소기업</t>
        </is>
      </c>
      <c r="L14" t="inlineStr">
        <is>
          <t>외부감사대상</t>
        </is>
      </c>
      <c r="M14" s="6" t="inlineStr">
        <is>
          <t>1970-12-01</t>
        </is>
      </c>
      <c r="N14" t="inlineStr">
        <is>
          <t>KRI:10C2919200</t>
        </is>
      </c>
      <c r="O14" t="inlineStr">
        <is>
          <t>용기 세척, 포장 및 충전기 제조업</t>
        </is>
      </c>
      <c r="P14" t="inlineStr">
        <is>
          <t>포장기계,주변기계 제작</t>
        </is>
      </c>
      <c r="Q14" t="inlineStr">
        <is>
          <t>인천 계양구 서운동 208-1번지</t>
        </is>
      </c>
      <c r="R14" t="inlineStr">
        <is>
          <t>인천 계양구 서운산단로1길 65</t>
        </is>
      </c>
    </row>
    <row r="15" ht="19.2" customHeight="1" s="1">
      <c r="A15" t="inlineStr">
        <is>
          <t>NICE:005871</t>
        </is>
      </c>
      <c r="B15" t="inlineStr">
        <is>
          <t>이노테크</t>
        </is>
      </c>
      <c r="C15" t="inlineStr">
        <is>
          <t>이금현/이희방</t>
        </is>
      </c>
      <c r="D15" t="inlineStr">
        <is>
          <t>053-581-0177</t>
        </is>
      </c>
      <c r="E15" t="inlineStr">
        <is>
          <t>053-584-0442</t>
        </is>
      </c>
      <c r="F15" s="3">
        <f>HYPERLINK("http://www.innotech07.com", "http://www.innotech07.com")</f>
        <v/>
      </c>
      <c r="G15" t="inlineStr">
        <is>
          <t>5148120203</t>
        </is>
      </c>
      <c r="H15" t="inlineStr">
        <is>
          <t>1701110035669</t>
        </is>
      </c>
      <c r="I15" t="inlineStr">
        <is>
          <t>대상아님</t>
        </is>
      </c>
      <c r="J15" t="inlineStr">
        <is>
          <t>일반법인</t>
        </is>
      </c>
      <c r="K15" t="inlineStr">
        <is>
          <t>중소기업</t>
        </is>
      </c>
      <c r="L15" t="inlineStr">
        <is>
          <t>외부감사대상</t>
        </is>
      </c>
      <c r="M15" s="6" t="inlineStr">
        <is>
          <t>1988-09-22</t>
        </is>
      </c>
      <c r="N15" t="inlineStr">
        <is>
          <t>KRI:10C3031000</t>
        </is>
      </c>
      <c r="O15" t="inlineStr">
        <is>
          <t>자동차 엔진용 신품 부품 제조업</t>
        </is>
      </c>
      <c r="P15" t="inlineStr">
        <is>
          <t>자동차부품 제조/수출/부동산 임대</t>
        </is>
      </c>
      <c r="Q15" t="inlineStr">
        <is>
          <t>대구 달서구 월암동 925-10번지</t>
        </is>
      </c>
      <c r="R15" t="inlineStr">
        <is>
          <t>대구 달서구 성서동로 43</t>
        </is>
      </c>
    </row>
    <row r="16" ht="19.2" customHeight="1" s="1">
      <c r="A16" t="inlineStr">
        <is>
          <t>NICE:006347</t>
        </is>
      </c>
      <c r="B16" t="inlineStr">
        <is>
          <t>새한실리켐</t>
        </is>
      </c>
      <c r="C16" t="inlineStr">
        <is>
          <t>김광련</t>
        </is>
      </c>
      <c r="D16" t="inlineStr">
        <is>
          <t>031-433-1313</t>
        </is>
      </c>
      <c r="E16" t="inlineStr">
        <is>
          <t>031-433-1855</t>
        </is>
      </c>
      <c r="F16" s="3">
        <f>HYPERLINK("http://www.sscc.kr", "http://www.sscc.kr")</f>
        <v/>
      </c>
      <c r="G16" t="inlineStr">
        <is>
          <t>2028142279</t>
        </is>
      </c>
      <c r="H16" t="inlineStr">
        <is>
          <t>1101110820575</t>
        </is>
      </c>
      <c r="I16" t="inlineStr">
        <is>
          <t>대상아님</t>
        </is>
      </c>
      <c r="J16" t="inlineStr">
        <is>
          <t>일반법인</t>
        </is>
      </c>
      <c r="K16" t="inlineStr">
        <is>
          <t>중소기업</t>
        </is>
      </c>
      <c r="L16" t="inlineStr">
        <is>
          <t>외부감사대상</t>
        </is>
      </c>
      <c r="M16" s="6" t="inlineStr">
        <is>
          <t>1973-10-01</t>
        </is>
      </c>
      <c r="N16" t="inlineStr">
        <is>
          <t>KRI:10C2049900</t>
        </is>
      </c>
      <c r="O16" t="inlineStr">
        <is>
          <t>그 외 기타 분류 안된 화학제품 제조업</t>
        </is>
      </c>
      <c r="P16" t="inlineStr">
        <is>
          <t>화공약품 제조,도소매/건물 관리/부동산 임대</t>
        </is>
      </c>
      <c r="Q16" t="inlineStr">
        <is>
          <t>경기 시흥시 정왕동 1235-1번지 101-1호</t>
        </is>
      </c>
      <c r="R16" t="inlineStr">
        <is>
          <t>경기 시흥시 서해안로 208, 101-1호</t>
        </is>
      </c>
    </row>
    <row r="17" ht="19.2" customHeight="1" s="1">
      <c r="A17" t="inlineStr">
        <is>
          <t>NICE:006894</t>
        </is>
      </c>
      <c r="B17" t="inlineStr">
        <is>
          <t>한국유화</t>
        </is>
      </c>
      <c r="C17" t="inlineStr">
        <is>
          <t>신구봉</t>
        </is>
      </c>
      <c r="D17" t="inlineStr">
        <is>
          <t>051-831-0901</t>
        </is>
      </c>
      <c r="E17" t="inlineStr">
        <is>
          <t>051-831-0900</t>
        </is>
      </c>
      <c r="F17" s="3">
        <f>HYPERLINK("http://www.kfcchem.com", "http://www.kfcchem.com")</f>
        <v/>
      </c>
      <c r="G17" t="inlineStr">
        <is>
          <t>6038117954</t>
        </is>
      </c>
      <c r="H17" t="inlineStr">
        <is>
          <t>1801110134831</t>
        </is>
      </c>
      <c r="I17" t="inlineStr">
        <is>
          <t>대상아님</t>
        </is>
      </c>
      <c r="J17" t="inlineStr">
        <is>
          <t>일반법인</t>
        </is>
      </c>
      <c r="K17" t="inlineStr">
        <is>
          <t>중소기업</t>
        </is>
      </c>
      <c r="L17" t="inlineStr">
        <is>
          <t>외부감사대상</t>
        </is>
      </c>
      <c r="M17" s="6" t="inlineStr">
        <is>
          <t>1992-11-16</t>
        </is>
      </c>
      <c r="N17" t="inlineStr">
        <is>
          <t>KRI:10C2219900</t>
        </is>
      </c>
      <c r="O17" t="inlineStr">
        <is>
          <t>그 외 기타 고무제품 제조업</t>
        </is>
      </c>
      <c r="P17" t="inlineStr">
        <is>
          <t>고무배합제,산업용특수필름,시트 제조</t>
        </is>
      </c>
      <c r="Q17" t="inlineStr">
        <is>
          <t>부산 강서구 송정동 1530-1번지</t>
        </is>
      </c>
      <c r="R17" t="inlineStr">
        <is>
          <t>부산 강서구 녹산산단165로 36-20</t>
        </is>
      </c>
    </row>
    <row r="18" ht="19.2" customHeight="1" s="1">
      <c r="A18" t="inlineStr">
        <is>
          <t>NICE:006924</t>
        </is>
      </c>
      <c r="B18" t="inlineStr">
        <is>
          <t>한길통상</t>
        </is>
      </c>
      <c r="C18" t="inlineStr">
        <is>
          <t>이영우</t>
        </is>
      </c>
      <c r="D18" t="inlineStr">
        <is>
          <t>02-419-3110</t>
        </is>
      </c>
      <c r="E18" t="inlineStr">
        <is>
          <t>02-419-2111</t>
        </is>
      </c>
      <c r="F18" s="3">
        <f>HYPERLINK("http://www.hanwaytrading.com", "http://www.hanwaytrading.com")</f>
        <v/>
      </c>
      <c r="G18" t="inlineStr">
        <is>
          <t>2198110964</t>
        </is>
      </c>
      <c r="H18" t="inlineStr">
        <is>
          <t>1101110975693</t>
        </is>
      </c>
      <c r="I18" t="inlineStr">
        <is>
          <t>대상아님</t>
        </is>
      </c>
      <c r="J18" t="inlineStr">
        <is>
          <t>일반법인</t>
        </is>
      </c>
      <c r="K18" t="inlineStr">
        <is>
          <t>중소기업</t>
        </is>
      </c>
      <c r="L18" t="inlineStr">
        <is>
          <t>외부감사대상</t>
        </is>
      </c>
      <c r="M18" s="6" t="inlineStr">
        <is>
          <t>1983-10-10</t>
        </is>
      </c>
      <c r="N18" t="inlineStr">
        <is>
          <t>KRI:10G4643300</t>
        </is>
      </c>
      <c r="O18" t="inlineStr">
        <is>
          <t>생활용 유리ㆍ요업ㆍ목재ㆍ금속 제품 및 날붙이 도매업</t>
        </is>
      </c>
      <c r="P18" t="inlineStr">
        <is>
          <t>주방용품 도소매</t>
        </is>
      </c>
      <c r="Q18" t="inlineStr">
        <is>
          <t>서울 송파구 방이동 65-7번지 한길빌딩 701호</t>
        </is>
      </c>
      <c r="R18" t="inlineStr">
        <is>
          <t>서울 송파구 오금로13길 3-11, 701호 (방이동,한길빌딩)</t>
        </is>
      </c>
    </row>
    <row r="19" ht="19.2" customHeight="1" s="1">
      <c r="A19" t="inlineStr">
        <is>
          <t>NICE:006943</t>
        </is>
      </c>
      <c r="B19" t="inlineStr">
        <is>
          <t>아이이엔한창</t>
        </is>
      </c>
      <c r="C19" t="inlineStr">
        <is>
          <t>장연덕</t>
        </is>
      </c>
      <c r="D19" t="inlineStr">
        <is>
          <t>051-728-3470</t>
        </is>
      </c>
      <c r="E19" t="inlineStr">
        <is>
          <t>051-831-3477</t>
        </is>
      </c>
      <c r="F19" s="3">
        <f>HYPERLINK("http://www.hctr.co.kr", "http://www.hctr.co.kr")</f>
        <v/>
      </c>
      <c r="G19" t="inlineStr">
        <is>
          <t>6218108360</t>
        </is>
      </c>
      <c r="H19" t="inlineStr">
        <is>
          <t>1801110136720</t>
        </is>
      </c>
      <c r="I19" t="inlineStr">
        <is>
          <t>대상아님</t>
        </is>
      </c>
      <c r="J19" t="inlineStr">
        <is>
          <t>일반법인</t>
        </is>
      </c>
      <c r="K19" t="inlineStr">
        <is>
          <t>중소기업</t>
        </is>
      </c>
      <c r="L19" t="inlineStr">
        <is>
          <t>외부감사대상</t>
        </is>
      </c>
      <c r="M19" s="6" t="inlineStr">
        <is>
          <t>1975-11-01</t>
        </is>
      </c>
      <c r="N19" t="inlineStr">
        <is>
          <t>KRI:10C2811200</t>
        </is>
      </c>
      <c r="O19" t="inlineStr">
        <is>
          <t>변압기 제조업</t>
        </is>
      </c>
      <c r="P19" t="inlineStr">
        <is>
          <t>변압기,전기부품,자재 제조</t>
        </is>
      </c>
      <c r="Q19" t="inlineStr">
        <is>
          <t>부산 기장군 장안읍 반룡리 835-1번지</t>
        </is>
      </c>
      <c r="R19" t="inlineStr">
        <is>
          <t>부산 기장군 장안읍 장안산단로 111</t>
        </is>
      </c>
    </row>
    <row r="20">
      <c r="A20" t="inlineStr">
        <is>
          <t>NICE:007556</t>
        </is>
      </c>
      <c r="B20" t="inlineStr">
        <is>
          <t>우신산업</t>
        </is>
      </c>
      <c r="C20" t="inlineStr">
        <is>
          <t>서중호</t>
        </is>
      </c>
      <c r="D20" t="inlineStr">
        <is>
          <t>053-859-9134</t>
        </is>
      </c>
      <c r="E20" t="inlineStr">
        <is>
          <t>053-859-9140</t>
        </is>
      </c>
      <c r="G20" t="inlineStr">
        <is>
          <t>5028124185</t>
        </is>
      </c>
      <c r="H20" t="inlineStr">
        <is>
          <t>1701110071283</t>
        </is>
      </c>
      <c r="I20" t="inlineStr">
        <is>
          <t>대상아님</t>
        </is>
      </c>
      <c r="J20" t="inlineStr">
        <is>
          <t>일반법인</t>
        </is>
      </c>
      <c r="K20" t="inlineStr">
        <is>
          <t>중소기업</t>
        </is>
      </c>
      <c r="L20" t="inlineStr">
        <is>
          <t>외부감사대상</t>
        </is>
      </c>
      <c r="M20" s="6" t="inlineStr">
        <is>
          <t>1987-03-01</t>
        </is>
      </c>
      <c r="N20" t="inlineStr">
        <is>
          <t>KRI:10C3039900</t>
        </is>
      </c>
      <c r="O20" t="inlineStr">
        <is>
          <t>그 외 자동차용 신품 부품 제조업</t>
        </is>
      </c>
      <c r="P20" t="inlineStr">
        <is>
          <t>자동차부품,영상기기 제조/소프트웨어 개발,공급</t>
        </is>
      </c>
      <c r="Q20" t="inlineStr">
        <is>
          <t>경북 경산시 진량읍 신상리 1208-8번지</t>
        </is>
      </c>
      <c r="R20" t="inlineStr">
        <is>
          <t>경북 경산시 진량읍 공단6로 69</t>
        </is>
      </c>
    </row>
    <row r="21" ht="19.2" customHeight="1" s="1">
      <c r="A21" t="inlineStr">
        <is>
          <t>NICE:007560</t>
        </is>
      </c>
      <c r="B21" t="inlineStr">
        <is>
          <t>한국카라겐</t>
        </is>
      </c>
      <c r="C21" t="inlineStr">
        <is>
          <t>김진선</t>
        </is>
      </c>
      <c r="D21" t="inlineStr">
        <is>
          <t>02-773-6501</t>
        </is>
      </c>
      <c r="E21" t="inlineStr">
        <is>
          <t>02-774-9740</t>
        </is>
      </c>
      <c r="F21" s="3">
        <f>HYPERLINK("http://www.kocara.com", "http://www.kocara.com")</f>
        <v/>
      </c>
      <c r="G21" t="inlineStr">
        <is>
          <t>1048124166</t>
        </is>
      </c>
      <c r="H21" t="inlineStr">
        <is>
          <t>1101110241119</t>
        </is>
      </c>
      <c r="I21" t="inlineStr">
        <is>
          <t>대상아님</t>
        </is>
      </c>
      <c r="J21" t="inlineStr">
        <is>
          <t>일반법인</t>
        </is>
      </c>
      <c r="K21" t="inlineStr">
        <is>
          <t>중소기업</t>
        </is>
      </c>
      <c r="L21" t="inlineStr">
        <is>
          <t>외부감사대상</t>
        </is>
      </c>
      <c r="M21" s="6" t="inlineStr">
        <is>
          <t>1978-11-01</t>
        </is>
      </c>
      <c r="N21" t="inlineStr">
        <is>
          <t>KRI:10C1074900</t>
        </is>
      </c>
      <c r="O21" t="inlineStr">
        <is>
          <t>기타 식품 첨가물 제조업</t>
        </is>
      </c>
      <c r="P21" t="inlineStr">
        <is>
          <t>식품첨가물,식품 제조,가공/농수산물 도매</t>
        </is>
      </c>
      <c r="Q21" t="inlineStr">
        <is>
          <t>서울 중구 북창동 21번지 해남빌딩 신관 1022호</t>
        </is>
      </c>
      <c r="R21" t="inlineStr">
        <is>
          <t>서울 중구 세종대로 64, 신관 1022호 (북창동,해남빌딩)</t>
        </is>
      </c>
    </row>
    <row r="22" ht="19.2" customHeight="1" s="1">
      <c r="A22" t="inlineStr">
        <is>
          <t>NICE:008931</t>
        </is>
      </c>
      <c r="B22" t="inlineStr">
        <is>
          <t>비아이피</t>
        </is>
      </c>
      <c r="C22" t="inlineStr">
        <is>
          <t>정철현</t>
        </is>
      </c>
      <c r="D22" t="inlineStr">
        <is>
          <t>051-519-2000</t>
        </is>
      </c>
      <c r="E22" t="inlineStr">
        <is>
          <t>051-582-7176</t>
        </is>
      </c>
      <c r="F22" s="3">
        <f>HYPERLINK("http://www.bip-korea.com", "http://www.bip-korea.com")</f>
        <v/>
      </c>
      <c r="G22" t="inlineStr">
        <is>
          <t>6218102240</t>
        </is>
      </c>
      <c r="H22" t="inlineStr">
        <is>
          <t>1801110031326</t>
        </is>
      </c>
      <c r="I22" t="inlineStr">
        <is>
          <t>대상아님</t>
        </is>
      </c>
      <c r="J22" t="inlineStr">
        <is>
          <t>일반법인</t>
        </is>
      </c>
      <c r="K22" t="inlineStr">
        <is>
          <t>중소기업</t>
        </is>
      </c>
      <c r="L22" t="inlineStr">
        <is>
          <t>외부감사대상</t>
        </is>
      </c>
      <c r="M22" s="6" t="inlineStr">
        <is>
          <t>1978-09-06</t>
        </is>
      </c>
      <c r="N22" t="inlineStr">
        <is>
          <t>KRI:10C3111400</t>
        </is>
      </c>
      <c r="O22" t="inlineStr">
        <is>
          <t>선박 구성 부분품 제조업</t>
        </is>
      </c>
      <c r="P22" t="inlineStr">
        <is>
          <t>선박구성부분품 제조/선실의장품설치공사</t>
        </is>
      </c>
      <c r="Q22" t="inlineStr">
        <is>
          <t>부산 금정구 구서동 84-18번지</t>
        </is>
      </c>
      <c r="R22" t="inlineStr">
        <is>
          <t>부산 금정구 중앙대로 1817</t>
        </is>
      </c>
    </row>
    <row r="23" ht="19.2" customHeight="1" s="1">
      <c r="A23" t="inlineStr">
        <is>
          <t>NICE:009393</t>
        </is>
      </c>
      <c r="B23" t="inlineStr">
        <is>
          <t>어프로티움</t>
        </is>
      </c>
      <c r="C23" t="inlineStr">
        <is>
          <t>원기돈</t>
        </is>
      </c>
      <c r="D23" t="inlineStr">
        <is>
          <t>052-270-8500</t>
        </is>
      </c>
      <c r="E23" t="inlineStr">
        <is>
          <t>052-270-8599</t>
        </is>
      </c>
      <c r="F23" s="3">
        <f>HYPERLINK("https://www.approtium.com/", "https://www.approtium.com/")</f>
        <v/>
      </c>
      <c r="G23" t="inlineStr">
        <is>
          <t>6108102987</t>
        </is>
      </c>
      <c r="H23" t="inlineStr">
        <is>
          <t>1812110002530</t>
        </is>
      </c>
      <c r="I23" t="inlineStr">
        <is>
          <t>대상아님</t>
        </is>
      </c>
      <c r="J23" t="inlineStr">
        <is>
          <t>일반법인</t>
        </is>
      </c>
      <c r="K23" t="inlineStr">
        <is>
          <t>중견기업</t>
        </is>
      </c>
      <c r="L23" t="inlineStr">
        <is>
          <t>외부감사대상</t>
        </is>
      </c>
      <c r="M23" s="6" t="inlineStr">
        <is>
          <t>1982-06-24</t>
        </is>
      </c>
      <c r="N23" t="inlineStr">
        <is>
          <t>KRI:10C2012100</t>
        </is>
      </c>
      <c r="O23" t="inlineStr">
        <is>
          <t>산업용 가스 제조업</t>
        </is>
      </c>
      <c r="P23" t="inlineStr">
        <is>
          <t>산업용가스(수소,탄산가스,LPG,액체질소,알곤,산소,아세칠렌,암모니아,혼합가스) 제조/특정고압가스설비 도매/부동산 임대</t>
        </is>
      </c>
      <c r="Q23" t="inlineStr">
        <is>
          <t>울산 남구 여천동 863-3번지</t>
        </is>
      </c>
      <c r="R23" t="inlineStr">
        <is>
          <t>울산 남구 처용로 35</t>
        </is>
      </c>
    </row>
    <row r="24" ht="19.2" customHeight="1" s="1">
      <c r="A24" t="inlineStr">
        <is>
          <t>NICE:010218</t>
        </is>
      </c>
      <c r="B24" t="inlineStr">
        <is>
          <t>세웅플랜트</t>
        </is>
      </c>
      <c r="C24" t="inlineStr">
        <is>
          <t>이희영</t>
        </is>
      </c>
      <c r="D24" t="inlineStr">
        <is>
          <t>02-467-2141</t>
        </is>
      </c>
      <c r="E24" t="inlineStr">
        <is>
          <t>02-467-2170</t>
        </is>
      </c>
      <c r="F24" s="3">
        <f>HYPERLINK("http://www.swplant.com", "http://www.swplant.com")</f>
        <v/>
      </c>
      <c r="G24" t="inlineStr">
        <is>
          <t>1208157709</t>
        </is>
      </c>
      <c r="H24" t="inlineStr">
        <is>
          <t>1101111229461</t>
        </is>
      </c>
      <c r="I24" t="inlineStr">
        <is>
          <t>대상아님</t>
        </is>
      </c>
      <c r="J24" t="inlineStr">
        <is>
          <t>일반법인</t>
        </is>
      </c>
      <c r="K24" t="inlineStr">
        <is>
          <t>중소기업</t>
        </is>
      </c>
      <c r="L24" t="inlineStr">
        <is>
          <t>외부감사대상</t>
        </is>
      </c>
      <c r="M24" s="6" t="inlineStr">
        <is>
          <t>1992-11-01</t>
        </is>
      </c>
      <c r="N24" t="inlineStr">
        <is>
          <t>KRI:10G4659900</t>
        </is>
      </c>
      <c r="O24" t="inlineStr">
        <is>
          <t>그 외 기타 기계 및 장비 도매업</t>
        </is>
      </c>
      <c r="P24" t="inlineStr">
        <is>
          <t>플랜트기자재(유공압 펌프,유압테스트벤치,유압유니트,유압밸브스탠드) 도매,제조/무역/부동산 임대</t>
        </is>
      </c>
      <c r="Q24" t="inlineStr">
        <is>
          <t>서울 성동구 성수동2가 308-4번지 코오롱디지털타워1차 1001호 ,1002호,1003호,1004호</t>
        </is>
      </c>
      <c r="R24" t="inlineStr">
        <is>
          <t>서울 성동구 성수일로4길 25, 1001호 ,1002호,1003호,1004호 (성수동2가,코오롱디지털타워1차)</t>
        </is>
      </c>
    </row>
    <row r="25" ht="19.2" customHeight="1" s="1">
      <c r="A25" t="inlineStr">
        <is>
          <t>NICE:011613</t>
        </is>
      </c>
      <c r="B25" t="inlineStr">
        <is>
          <t>라시본</t>
        </is>
      </c>
      <c r="C25" t="inlineStr">
        <is>
          <t>양남길</t>
        </is>
      </c>
      <c r="D25" t="inlineStr">
        <is>
          <t>055-240-3800</t>
        </is>
      </c>
      <c r="E25" t="inlineStr">
        <is>
          <t>055-240-3883</t>
        </is>
      </c>
      <c r="F25" s="3">
        <f>HYPERLINK("http://lasibon.com/", "http://lasibon.com/")</f>
        <v/>
      </c>
      <c r="G25" t="inlineStr">
        <is>
          <t>6088108692</t>
        </is>
      </c>
      <c r="H25" t="inlineStr">
        <is>
          <t>1901110012556</t>
        </is>
      </c>
      <c r="I25" t="inlineStr">
        <is>
          <t>대상아님</t>
        </is>
      </c>
      <c r="J25" t="inlineStr">
        <is>
          <t>일반법인</t>
        </is>
      </c>
      <c r="K25" t="inlineStr">
        <is>
          <t>중소기업</t>
        </is>
      </c>
      <c r="L25" t="inlineStr">
        <is>
          <t>외부감사대상</t>
        </is>
      </c>
      <c r="M25" s="6" t="inlineStr">
        <is>
          <t>1988-09-09</t>
        </is>
      </c>
      <c r="N25" t="inlineStr">
        <is>
          <t>KRI:10C2629900</t>
        </is>
      </c>
      <c r="O25" t="inlineStr">
        <is>
          <t>그 외 기타 전자부품 제조업</t>
        </is>
      </c>
      <c r="P25" t="inlineStr">
        <is>
          <t>전자기기,부품,무기,총포탄,배전반,전기자동제어반,절연코드세트,기타도체 제조</t>
        </is>
      </c>
      <c r="Q25" t="inlineStr">
        <is>
          <t>경남 창원시 마산합포구 상남동 100-3번지</t>
        </is>
      </c>
      <c r="R25" t="inlineStr">
        <is>
          <t>경남 창원시 마산합포구 천하장사로 91</t>
        </is>
      </c>
    </row>
    <row r="26" ht="19.2" customHeight="1" s="1">
      <c r="A26" t="inlineStr">
        <is>
          <t>NICE:013349</t>
        </is>
      </c>
      <c r="B26" t="inlineStr">
        <is>
          <t>화창</t>
        </is>
      </c>
      <c r="C26" t="inlineStr">
        <is>
          <t>김재규</t>
        </is>
      </c>
      <c r="D26" t="inlineStr">
        <is>
          <t>055-589-9011</t>
        </is>
      </c>
      <c r="E26" t="inlineStr">
        <is>
          <t>055-586-7206</t>
        </is>
      </c>
      <c r="F26" s="3">
        <f>HYPERLINK("http://www.hwachang.kr", "http://www.hwachang.kr")</f>
        <v/>
      </c>
      <c r="G26" t="inlineStr">
        <is>
          <t>6068142258</t>
        </is>
      </c>
      <c r="H26" t="inlineStr">
        <is>
          <t>1801110115899</t>
        </is>
      </c>
      <c r="I26" t="inlineStr">
        <is>
          <t>대상아님</t>
        </is>
      </c>
      <c r="J26" t="inlineStr">
        <is>
          <t>일반법인</t>
        </is>
      </c>
      <c r="K26" t="inlineStr">
        <is>
          <t>중견기업</t>
        </is>
      </c>
      <c r="L26" t="inlineStr">
        <is>
          <t>외부감사대상</t>
        </is>
      </c>
      <c r="M26" s="6" t="inlineStr">
        <is>
          <t>1976-02-01</t>
        </is>
      </c>
      <c r="N26" t="inlineStr">
        <is>
          <t>KRI:10C2422900</t>
        </is>
      </c>
      <c r="O26" t="inlineStr">
        <is>
          <t>기타 비철금속 압연, 압출 및 연신 제품 제조업</t>
        </is>
      </c>
      <c r="P26" t="inlineStr">
        <is>
          <t>비철금속 제조</t>
        </is>
      </c>
      <c r="Q26" t="inlineStr">
        <is>
          <t>경남 함안군 칠서면 계내리 625-1번지</t>
        </is>
      </c>
      <c r="R26" t="inlineStr">
        <is>
          <t>경남 함안군 칠서면 공단북길 78</t>
        </is>
      </c>
    </row>
    <row r="27" ht="19.2" customHeight="1" s="1">
      <c r="A27" t="inlineStr">
        <is>
          <t>NICE:013862</t>
        </is>
      </c>
      <c r="B27" t="inlineStr">
        <is>
          <t>대신정기화물자동차</t>
        </is>
      </c>
      <c r="C27" t="inlineStr">
        <is>
          <t>오영진/오흥배</t>
        </is>
      </c>
      <c r="D27" t="inlineStr">
        <is>
          <t>043-255-3211</t>
        </is>
      </c>
      <c r="E27" t="inlineStr">
        <is>
          <t>043-255-3220</t>
        </is>
      </c>
      <c r="F27" s="3">
        <f>HYPERLINK("http://www.ds3211.co.kr", "http://www.ds3211.co.kr")</f>
        <v/>
      </c>
      <c r="G27" t="inlineStr">
        <is>
          <t>3018100329</t>
        </is>
      </c>
      <c r="H27" t="inlineStr">
        <is>
          <t>1501110000301</t>
        </is>
      </c>
      <c r="I27" t="inlineStr">
        <is>
          <t>대상아님</t>
        </is>
      </c>
      <c r="J27" t="inlineStr">
        <is>
          <t>일반법인</t>
        </is>
      </c>
      <c r="K27" t="inlineStr">
        <is>
          <t>중소기업</t>
        </is>
      </c>
      <c r="L27" t="inlineStr">
        <is>
          <t>외부감사대상</t>
        </is>
      </c>
      <c r="M27" s="6" t="inlineStr">
        <is>
          <t>1966-08-23</t>
        </is>
      </c>
      <c r="N27" t="inlineStr">
        <is>
          <t>KRI:10H4930100</t>
        </is>
      </c>
      <c r="O27" t="inlineStr">
        <is>
          <t>일반 화물자동차 운송업</t>
        </is>
      </c>
      <c r="P27" t="inlineStr">
        <is>
          <t>화물자동차 운수,운송주선/부동산 임대</t>
        </is>
      </c>
      <c r="Q27" t="inlineStr">
        <is>
          <t>충북 청주시 청원구 우암동 327-6번지</t>
        </is>
      </c>
      <c r="R27" t="inlineStr">
        <is>
          <t>충북 청주시 청원구 중앙로 95</t>
        </is>
      </c>
    </row>
    <row r="28" ht="19.2" customHeight="1" s="1">
      <c r="A28" t="inlineStr">
        <is>
          <t>NICE:014001</t>
        </is>
      </c>
      <c r="B28" t="inlineStr">
        <is>
          <t>사카타코리아</t>
        </is>
      </c>
      <c r="C28" t="inlineStr">
        <is>
          <t>권정현</t>
        </is>
      </c>
      <c r="D28" t="inlineStr">
        <is>
          <t>02-3474-6671-4</t>
        </is>
      </c>
      <c r="E28" t="inlineStr">
        <is>
          <t>02-3474-6675</t>
        </is>
      </c>
      <c r="F28" s="3">
        <f>HYPERLINK("http://www.sakatakorea.co.kr", "http://www.sakatakorea.co.kr")</f>
        <v/>
      </c>
      <c r="G28" t="inlineStr">
        <is>
          <t>2148609564</t>
        </is>
      </c>
      <c r="H28" t="inlineStr">
        <is>
          <t>1101110310097</t>
        </is>
      </c>
      <c r="I28" t="inlineStr">
        <is>
          <t>대상아님</t>
        </is>
      </c>
      <c r="J28" t="inlineStr">
        <is>
          <t>일반법인</t>
        </is>
      </c>
      <c r="K28" t="inlineStr">
        <is>
          <t>중견기업</t>
        </is>
      </c>
      <c r="L28" t="inlineStr">
        <is>
          <t>외부감사대상</t>
        </is>
      </c>
      <c r="M28" s="6" t="inlineStr">
        <is>
          <t>1982-01-11</t>
        </is>
      </c>
      <c r="N28" t="inlineStr">
        <is>
          <t>KRI:10A0112300</t>
        </is>
      </c>
      <c r="O28" t="inlineStr">
        <is>
          <t>종자 및 묘목 생산업</t>
        </is>
      </c>
      <c r="P28" t="inlineStr">
        <is>
          <t>종묘(채소종자,화훼종자,모종) 생산,도소매/농약자재,농산물 무역</t>
        </is>
      </c>
      <c r="Q28" t="inlineStr">
        <is>
          <t>서울 서초구 서초동 1358-6번지 송남빌딩</t>
        </is>
      </c>
      <c r="R28" t="inlineStr">
        <is>
          <t>서울 서초구 강남대로 273 (서초동,송남빌딩)</t>
        </is>
      </c>
    </row>
    <row r="29" ht="19.2" customHeight="1" s="1">
      <c r="A29" t="inlineStr">
        <is>
          <t>NICE:015983</t>
        </is>
      </c>
      <c r="B29" t="inlineStr">
        <is>
          <t>성원제이에스</t>
        </is>
      </c>
      <c r="C29" t="inlineStr">
        <is>
          <t>진성계</t>
        </is>
      </c>
      <c r="D29" t="inlineStr">
        <is>
          <t>032-678-3668</t>
        </is>
      </c>
      <c r="E29" t="inlineStr">
        <is>
          <t>032-678-3662</t>
        </is>
      </c>
      <c r="F29" s="3">
        <f>HYPERLINK("http://www.sungwonjs.com", "http://www.sungwonjs.com")</f>
        <v/>
      </c>
      <c r="G29" t="inlineStr">
        <is>
          <t>1308164148</t>
        </is>
      </c>
      <c r="H29" t="inlineStr">
        <is>
          <t>1211110071985</t>
        </is>
      </c>
      <c r="I29" t="inlineStr">
        <is>
          <t>대상아님</t>
        </is>
      </c>
      <c r="J29" t="inlineStr">
        <is>
          <t>일반법인</t>
        </is>
      </c>
      <c r="K29" t="inlineStr">
        <is>
          <t>중소기업</t>
        </is>
      </c>
      <c r="L29" t="inlineStr">
        <is>
          <t>외부감사대상</t>
        </is>
      </c>
      <c r="M29" s="6" t="inlineStr">
        <is>
          <t>1987-10-01</t>
        </is>
      </c>
      <c r="N29" t="inlineStr">
        <is>
          <t>KRI:10C3209100</t>
        </is>
      </c>
      <c r="O29" t="inlineStr">
        <is>
          <t>금속 가구 제조업</t>
        </is>
      </c>
      <c r="P29" t="inlineStr">
        <is>
          <t>철제,목재가구,이동식서가,책장,조립식구조물,조립식선반,철만물대 제조</t>
        </is>
      </c>
      <c r="Q29" t="inlineStr">
        <is>
          <t>인천 남동구 고잔동 648-4번지 남동공단</t>
        </is>
      </c>
      <c r="R29" t="inlineStr">
        <is>
          <t>인천 남동구 청능대로 415, 남동공단</t>
        </is>
      </c>
    </row>
    <row r="30" ht="19.2" customHeight="1" s="1">
      <c r="A30" t="inlineStr">
        <is>
          <t>NICE:017598</t>
        </is>
      </c>
      <c r="B30" t="inlineStr">
        <is>
          <t>어플라이드머티어리얼즈코리아</t>
        </is>
      </c>
      <c r="C30" t="inlineStr">
        <is>
          <t>박광선</t>
        </is>
      </c>
      <c r="D30" t="inlineStr">
        <is>
          <t>031-724-7000</t>
        </is>
      </c>
      <c r="E30" t="inlineStr">
        <is>
          <t>031-782-3669</t>
        </is>
      </c>
      <c r="F30" s="3">
        <f>HYPERLINK("http://www.appliedmaterials.com/ko", "http://www.appliedmaterials.com/ko")</f>
        <v/>
      </c>
      <c r="G30" t="inlineStr">
        <is>
          <t>3128114779</t>
        </is>
      </c>
      <c r="H30" t="inlineStr">
        <is>
          <t>1615110012371</t>
        </is>
      </c>
      <c r="I30" t="inlineStr">
        <is>
          <t>대상아님</t>
        </is>
      </c>
      <c r="J30" t="inlineStr">
        <is>
          <t>일반법인</t>
        </is>
      </c>
      <c r="K30" t="inlineStr">
        <is>
          <t>중견기업</t>
        </is>
      </c>
      <c r="L30" t="inlineStr">
        <is>
          <t>외부감사대상</t>
        </is>
      </c>
      <c r="M30" s="6" t="inlineStr">
        <is>
          <t>1993-05-24</t>
        </is>
      </c>
      <c r="N30" t="inlineStr">
        <is>
          <t>KRI:10G4659500</t>
        </is>
      </c>
      <c r="O30" t="inlineStr">
        <is>
          <t>전기용 기계ㆍ장비 및 관련 기자재 도매업</t>
        </is>
      </c>
      <c r="P30" t="inlineStr">
        <is>
          <t>반도체제조장비부품 도매,무역,제조,조립/부품 수리</t>
        </is>
      </c>
      <c r="Q30" t="inlineStr">
        <is>
          <t>경기 성남시 분당구 야탑동 344-1번지 코리아디자인센터빌딩 5층</t>
        </is>
      </c>
      <c r="R30" t="inlineStr">
        <is>
          <t>경기 성남시 분당구 양현로 322, 5층 (야탑동,코리아디자인센터빌딩)</t>
        </is>
      </c>
    </row>
    <row r="31" ht="19.2" customHeight="1" s="1">
      <c r="A31" t="inlineStr">
        <is>
          <t>NICE:017706</t>
        </is>
      </c>
      <c r="B31" t="inlineStr">
        <is>
          <t>부일금고</t>
        </is>
      </c>
      <c r="C31" t="inlineStr">
        <is>
          <t>박재환</t>
        </is>
      </c>
      <c r="D31" t="inlineStr">
        <is>
          <t>055-325-2300</t>
        </is>
      </c>
      <c r="E31" t="inlineStr">
        <is>
          <t>055-325-2334</t>
        </is>
      </c>
      <c r="F31" s="3">
        <f>HYPERLINK("http://www.booilsafes.com", "http://www.booilsafes.com")</f>
        <v/>
      </c>
      <c r="G31" t="inlineStr">
        <is>
          <t>6158115890</t>
        </is>
      </c>
      <c r="H31" t="inlineStr">
        <is>
          <t>1846110044094</t>
        </is>
      </c>
      <c r="I31" t="inlineStr">
        <is>
          <t>대상아님</t>
        </is>
      </c>
      <c r="J31" t="inlineStr">
        <is>
          <t>일반법인</t>
        </is>
      </c>
      <c r="K31" t="inlineStr">
        <is>
          <t>중소기업</t>
        </is>
      </c>
      <c r="L31" t="inlineStr">
        <is>
          <t>외부감사대상</t>
        </is>
      </c>
      <c r="M31" s="6" t="inlineStr">
        <is>
          <t>1971-01-01</t>
        </is>
      </c>
      <c r="N31" t="inlineStr">
        <is>
          <t>KRI:10C2599900</t>
        </is>
      </c>
      <c r="O31" t="inlineStr">
        <is>
          <t>그 외 기타 분류 안된 금속 가공 제품 제조업</t>
        </is>
      </c>
      <c r="P31" t="inlineStr">
        <is>
          <t>금고,철재사무가구 제조</t>
        </is>
      </c>
      <c r="Q31" t="inlineStr">
        <is>
          <t>경남 김해시 주촌면 농소리 625-5번지</t>
        </is>
      </c>
      <c r="R31" t="inlineStr">
        <is>
          <t>경남 김해시 주촌면 골든루트로 103-20</t>
        </is>
      </c>
    </row>
    <row r="32" ht="19.2" customHeight="1" s="1">
      <c r="A32" t="inlineStr">
        <is>
          <t>NICE:018298</t>
        </is>
      </c>
      <c r="B32" t="inlineStr">
        <is>
          <t>한신전자</t>
        </is>
      </c>
      <c r="C32" t="inlineStr">
        <is>
          <t>김용오/김태오</t>
        </is>
      </c>
      <c r="D32" t="inlineStr">
        <is>
          <t>051-410-1500</t>
        </is>
      </c>
      <c r="E32" t="inlineStr">
        <is>
          <t>051-410-1510</t>
        </is>
      </c>
      <c r="F32" s="3">
        <f>HYPERLINK("http://www.한신전자.com", "http://www.한신전자.com")</f>
        <v/>
      </c>
      <c r="G32" t="inlineStr">
        <is>
          <t>6018124987</t>
        </is>
      </c>
      <c r="H32" t="inlineStr">
        <is>
          <t>1801110158550</t>
        </is>
      </c>
      <c r="I32" t="inlineStr">
        <is>
          <t>대상아님</t>
        </is>
      </c>
      <c r="J32" t="inlineStr">
        <is>
          <t>일반법인</t>
        </is>
      </c>
      <c r="K32" t="inlineStr">
        <is>
          <t>중소기업</t>
        </is>
      </c>
      <c r="L32" t="inlineStr">
        <is>
          <t>외부감사대상</t>
        </is>
      </c>
      <c r="M32" s="6" t="inlineStr">
        <is>
          <t>1988-12-16</t>
        </is>
      </c>
      <c r="N32" t="inlineStr">
        <is>
          <t>KRI:10C2642900</t>
        </is>
      </c>
      <c r="O32" t="inlineStr">
        <is>
          <t>기타 무선 통신장비 제조업</t>
        </is>
      </c>
      <c r="P32" t="inlineStr">
        <is>
          <t>무선통신장비,전자기기 제조,도소매/정보통신공사</t>
        </is>
      </c>
      <c r="Q32" t="inlineStr">
        <is>
          <t>부산 영도구 영선동4가 34번지</t>
        </is>
      </c>
      <c r="R32" t="inlineStr">
        <is>
          <t>부산 영도구 남항남로 45</t>
        </is>
      </c>
    </row>
    <row r="33" ht="19.2" customHeight="1" s="1">
      <c r="A33" t="inlineStr">
        <is>
          <t>NICE:019986</t>
        </is>
      </c>
      <c r="B33" t="inlineStr">
        <is>
          <t>은탑산업개발</t>
        </is>
      </c>
      <c r="C33" t="inlineStr">
        <is>
          <t>이동균/임나영</t>
        </is>
      </c>
      <c r="D33" t="inlineStr">
        <is>
          <t>02-548-9433</t>
        </is>
      </c>
      <c r="E33" t="inlineStr">
        <is>
          <t>02-548-9437</t>
        </is>
      </c>
      <c r="F33" s="3">
        <f>HYPERLINK("http://www.euntop.com", "http://www.euntop.com")</f>
        <v/>
      </c>
      <c r="G33" t="inlineStr">
        <is>
          <t>2158158141</t>
        </is>
      </c>
      <c r="H33" t="inlineStr">
        <is>
          <t>1101110978267</t>
        </is>
      </c>
      <c r="I33" t="inlineStr">
        <is>
          <t>대상아님</t>
        </is>
      </c>
      <c r="J33" t="inlineStr">
        <is>
          <t>일반법인</t>
        </is>
      </c>
      <c r="K33" t="inlineStr">
        <is>
          <t>중소기업</t>
        </is>
      </c>
      <c r="L33" t="inlineStr">
        <is>
          <t>외부감사대상</t>
        </is>
      </c>
      <c r="M33" s="6" t="inlineStr">
        <is>
          <t>1993-10-13</t>
        </is>
      </c>
      <c r="N33" t="inlineStr">
        <is>
          <t>KRI:10L6812100</t>
        </is>
      </c>
      <c r="O33" t="inlineStr">
        <is>
          <t>주거용 건물 개발 및 공급업</t>
        </is>
      </c>
      <c r="P33" t="inlineStr">
        <is>
          <t>주택건설,분양,건축공사/부동산 임대</t>
        </is>
      </c>
      <c r="Q33" t="inlineStr">
        <is>
          <t>서울 강남구 논현동 249번지 쌍둥이빌딩 2층</t>
        </is>
      </c>
      <c r="R33" t="inlineStr">
        <is>
          <t>서울 강남구 언주로 634, 2층 (논현동,쌍둥이빌딩)</t>
        </is>
      </c>
    </row>
    <row r="34" ht="19.2" customHeight="1" s="1">
      <c r="A34" t="inlineStr">
        <is>
          <t>NICE:020882</t>
        </is>
      </c>
      <c r="B34" t="inlineStr">
        <is>
          <t>지씨코리아</t>
        </is>
      </c>
      <c r="C34" t="inlineStr">
        <is>
          <t>민성욱</t>
        </is>
      </c>
      <c r="D34" t="inlineStr">
        <is>
          <t>02-313-2272</t>
        </is>
      </c>
      <c r="E34" t="inlineStr">
        <is>
          <t>02-313-2272</t>
        </is>
      </c>
      <c r="F34" s="3">
        <f>HYPERLINK("http://www.gckorea.co.kr", "http://www.gckorea.co.kr")</f>
        <v/>
      </c>
      <c r="G34" t="inlineStr">
        <is>
          <t>1108129341</t>
        </is>
      </c>
      <c r="H34" t="inlineStr">
        <is>
          <t>1101110990592</t>
        </is>
      </c>
      <c r="I34" t="inlineStr">
        <is>
          <t>대상아님</t>
        </is>
      </c>
      <c r="J34" t="inlineStr">
        <is>
          <t>일반법인</t>
        </is>
      </c>
      <c r="K34" t="inlineStr">
        <is>
          <t>중소기업</t>
        </is>
      </c>
      <c r="L34" t="inlineStr">
        <is>
          <t>외부감사대상</t>
        </is>
      </c>
      <c r="M34" s="6" t="inlineStr">
        <is>
          <t>1993-12-03</t>
        </is>
      </c>
      <c r="N34" t="inlineStr">
        <is>
          <t>KRI:10G4644200</t>
        </is>
      </c>
      <c r="O34" t="inlineStr">
        <is>
          <t>의료용품 도매업</t>
        </is>
      </c>
      <c r="P34" t="inlineStr">
        <is>
          <t>치과용재료(레진,임시가착재,충전재,라이닝재,접착재,가시광선중합기,디스포서블시린지,석고,릴라인재,매몰재,왁스,합착재) 도매</t>
        </is>
      </c>
      <c r="Q34" t="inlineStr">
        <is>
          <t>서울 마포구 신수동 99-1번지</t>
        </is>
      </c>
      <c r="R34" t="inlineStr">
        <is>
          <t>서울 마포구 창전로 90</t>
        </is>
      </c>
    </row>
    <row r="35">
      <c r="A35" t="inlineStr">
        <is>
          <t>NICE:021658</t>
        </is>
      </c>
      <c r="B35" t="inlineStr">
        <is>
          <t>에이치제이자산개발</t>
        </is>
      </c>
      <c r="C35" t="inlineStr">
        <is>
          <t>신현국</t>
        </is>
      </c>
      <c r="D35" t="inlineStr">
        <is>
          <t>02-539-8600</t>
        </is>
      </c>
      <c r="E35" t="inlineStr">
        <is>
          <t>02-565-3866</t>
        </is>
      </c>
      <c r="G35" t="inlineStr">
        <is>
          <t>1208133328</t>
        </is>
      </c>
      <c r="H35" t="inlineStr">
        <is>
          <t>1101110982929</t>
        </is>
      </c>
      <c r="I35" t="inlineStr">
        <is>
          <t>대상아님</t>
        </is>
      </c>
      <c r="J35" t="inlineStr">
        <is>
          <t>일반법인</t>
        </is>
      </c>
      <c r="K35" t="inlineStr">
        <is>
          <t>중소기업</t>
        </is>
      </c>
      <c r="L35" t="inlineStr">
        <is>
          <t>외부감사대상</t>
        </is>
      </c>
      <c r="M35" s="6" t="inlineStr">
        <is>
          <t>1993-11-02</t>
        </is>
      </c>
      <c r="N35" t="inlineStr">
        <is>
          <t>KRI:10L6821200</t>
        </is>
      </c>
      <c r="O35" t="inlineStr">
        <is>
          <t>비주거용 부동산 관리업</t>
        </is>
      </c>
      <c r="P35" t="inlineStr">
        <is>
          <t>부동산 관리</t>
        </is>
      </c>
      <c r="Q35" t="inlineStr">
        <is>
          <t>서울 강남구 역삼동 708-4번지 에이치제이타워 21층</t>
        </is>
      </c>
      <c r="R35" t="inlineStr">
        <is>
          <t>서울 강남구 테헤란로 332, 21층 (역삼동,에이치제이타워)</t>
        </is>
      </c>
    </row>
    <row r="36" ht="19.2" customHeight="1" s="1">
      <c r="A36" t="inlineStr">
        <is>
          <t>NICE:021878</t>
        </is>
      </c>
      <c r="B36" t="inlineStr">
        <is>
          <t>경승</t>
        </is>
      </c>
      <c r="C36" t="inlineStr">
        <is>
          <t>김경배/김경아</t>
        </is>
      </c>
      <c r="D36" t="inlineStr">
        <is>
          <t>02-550-1414</t>
        </is>
      </c>
      <c r="E36" t="inlineStr">
        <is>
          <t>02-566-6867</t>
        </is>
      </c>
      <c r="F36" s="3">
        <f>HYPERLINK("http://www.kyungseung.com", "http://www.kyungseung.com")</f>
        <v/>
      </c>
      <c r="G36" t="inlineStr">
        <is>
          <t>2198115334</t>
        </is>
      </c>
      <c r="H36" t="inlineStr">
        <is>
          <t>1101110999916</t>
        </is>
      </c>
      <c r="I36" t="inlineStr">
        <is>
          <t>대상아님</t>
        </is>
      </c>
      <c r="J36" t="inlineStr">
        <is>
          <t>일반법인</t>
        </is>
      </c>
      <c r="K36" t="inlineStr">
        <is>
          <t>중소기업</t>
        </is>
      </c>
      <c r="L36" t="inlineStr">
        <is>
          <t>외부감사대상</t>
        </is>
      </c>
      <c r="M36" s="6" t="inlineStr">
        <is>
          <t>1994-01-05</t>
        </is>
      </c>
      <c r="N36" t="inlineStr">
        <is>
          <t>KRI:10C1430000</t>
        </is>
      </c>
      <c r="O36" t="inlineStr">
        <is>
          <t>편조의복 제조업</t>
        </is>
      </c>
      <c r="P36" t="inlineStr">
        <is>
          <t>의류(여성니트) 제조,도매,무역</t>
        </is>
      </c>
      <c r="Q36" t="inlineStr">
        <is>
          <t>서울 강남구 대치동 960번지</t>
        </is>
      </c>
      <c r="R36" t="inlineStr">
        <is>
          <t>서울 강남구 삼성로 408</t>
        </is>
      </c>
    </row>
    <row r="37" ht="19.2" customHeight="1" s="1">
      <c r="A37" t="inlineStr">
        <is>
          <t>NICE:022229</t>
        </is>
      </c>
      <c r="B37" t="inlineStr">
        <is>
          <t>한발매스테크</t>
        </is>
      </c>
      <c r="C37" t="inlineStr">
        <is>
          <t>이승원</t>
        </is>
      </c>
      <c r="D37" t="inlineStr">
        <is>
          <t>055-310-2100</t>
        </is>
      </c>
      <c r="E37" t="inlineStr">
        <is>
          <t>055-338-1917</t>
        </is>
      </c>
      <c r="F37" s="3">
        <f>HYPERLINK("http://www.hanbal.kr", "http://www.hanbal.kr")</f>
        <v/>
      </c>
      <c r="G37" t="inlineStr">
        <is>
          <t>6158135557</t>
        </is>
      </c>
      <c r="H37" t="inlineStr">
        <is>
          <t>1955110070816</t>
        </is>
      </c>
      <c r="I37" t="inlineStr">
        <is>
          <t>대상아님</t>
        </is>
      </c>
      <c r="J37" t="inlineStr">
        <is>
          <t>일반법인</t>
        </is>
      </c>
      <c r="K37" t="inlineStr">
        <is>
          <t>중소기업</t>
        </is>
      </c>
      <c r="L37" t="inlineStr">
        <is>
          <t>외부감사대상</t>
        </is>
      </c>
      <c r="M37" s="6" t="inlineStr">
        <is>
          <t>1971-07-01</t>
        </is>
      </c>
      <c r="N37" t="inlineStr">
        <is>
          <t>KRI:10C2917500</t>
        </is>
      </c>
      <c r="O37" t="inlineStr">
        <is>
          <t>액체 여과기 제조업</t>
        </is>
      </c>
      <c r="P37" t="inlineStr">
        <is>
          <t>기계부속 제조/설비공사/부동산 임대</t>
        </is>
      </c>
      <c r="Q37" t="inlineStr">
        <is>
          <t>경남 김해시 주촌면 농소리 630-1번지</t>
        </is>
      </c>
      <c r="R37" t="inlineStr">
        <is>
          <t>경남 김해시 주촌면 골든루트로66번길 46</t>
        </is>
      </c>
    </row>
    <row r="38" ht="19.2" customHeight="1" s="1">
      <c r="A38" t="inlineStr">
        <is>
          <t>NICE:022330</t>
        </is>
      </c>
      <c r="B38" t="inlineStr">
        <is>
          <t>오성화학공업</t>
        </is>
      </c>
      <c r="C38" t="inlineStr">
        <is>
          <t>권영후</t>
        </is>
      </c>
      <c r="D38" t="inlineStr">
        <is>
          <t>032-547-3321</t>
        </is>
      </c>
      <c r="E38" t="inlineStr">
        <is>
          <t>070-7775-4198</t>
        </is>
      </c>
      <c r="F38" s="3">
        <f>HYPERLINK("http://www.oschem.co.kr", "http://www.oschem.co.kr")</f>
        <v/>
      </c>
      <c r="G38" t="inlineStr">
        <is>
          <t>1228105809</t>
        </is>
      </c>
      <c r="H38" t="inlineStr">
        <is>
          <t>1201110004135</t>
        </is>
      </c>
      <c r="I38" t="inlineStr">
        <is>
          <t>대상아님</t>
        </is>
      </c>
      <c r="J38" t="inlineStr">
        <is>
          <t>일반법인</t>
        </is>
      </c>
      <c r="K38" t="inlineStr">
        <is>
          <t>중소기업</t>
        </is>
      </c>
      <c r="L38" t="inlineStr">
        <is>
          <t>외부감사대상</t>
        </is>
      </c>
      <c r="M38" s="6" t="inlineStr">
        <is>
          <t>1973-06-04</t>
        </is>
      </c>
      <c r="N38" t="inlineStr">
        <is>
          <t>KRI:10C2042100</t>
        </is>
      </c>
      <c r="O38" t="inlineStr">
        <is>
          <t>계면활성제 제조업</t>
        </is>
      </c>
      <c r="P38" t="inlineStr">
        <is>
          <t>계면활성제,합성유기염료,특수윤활유,금속가공유제 제조,도매,무역/부동산 임대,매매</t>
        </is>
      </c>
      <c r="Q38" t="inlineStr">
        <is>
          <t>인천 남동구 고잔동 645-10번지 남동공단</t>
        </is>
      </c>
      <c r="R38" t="inlineStr">
        <is>
          <t>인천 남동구 청능대로 387 (고잔동,남동공단)</t>
        </is>
      </c>
    </row>
    <row r="39" ht="19.2" customHeight="1" s="1">
      <c r="A39" t="inlineStr">
        <is>
          <t>NICE:025984</t>
        </is>
      </c>
      <c r="B39" t="inlineStr">
        <is>
          <t>스크린에이치디코리아</t>
        </is>
      </c>
      <c r="C39" t="inlineStr">
        <is>
          <t>김유석/토요이쿠히로시</t>
        </is>
      </c>
      <c r="D39" t="inlineStr">
        <is>
          <t>02-727-0860</t>
        </is>
      </c>
      <c r="E39" t="inlineStr">
        <is>
          <t>02-727-0876</t>
        </is>
      </c>
      <c r="F39" s="3">
        <f>HYPERLINK("http://www.screen-korea.com", "http://www.screen-korea.com")</f>
        <v/>
      </c>
      <c r="G39" t="inlineStr">
        <is>
          <t>1108135498</t>
        </is>
      </c>
      <c r="H39" t="inlineStr">
        <is>
          <t>1101110216609</t>
        </is>
      </c>
      <c r="I39" t="inlineStr">
        <is>
          <t>대상아님</t>
        </is>
      </c>
      <c r="J39" t="inlineStr">
        <is>
          <t>일반법인</t>
        </is>
      </c>
      <c r="K39" t="inlineStr">
        <is>
          <t>중견기업</t>
        </is>
      </c>
      <c r="L39" t="inlineStr">
        <is>
          <t>외부감사대상</t>
        </is>
      </c>
      <c r="M39" s="6" t="inlineStr">
        <is>
          <t>1977-07-19</t>
        </is>
      </c>
      <c r="N39" t="inlineStr">
        <is>
          <t>KRI:10G4653900</t>
        </is>
      </c>
      <c r="O39" t="inlineStr">
        <is>
          <t>기타 산업용 기계 및 장비 도매업</t>
        </is>
      </c>
      <c r="P39" t="inlineStr">
        <is>
          <t>인쇄기자재 도매,무역,수출입/장비 임대/전자,전기기기 제조</t>
        </is>
      </c>
      <c r="Q39" t="inlineStr">
        <is>
          <t>경기 안양시 만안구 석수동 859번지 케이타워 본관 11층</t>
        </is>
      </c>
      <c r="R39" t="inlineStr">
        <is>
          <t>경기 안양시 만안구 일직로 88, 본관 11층 (석수동,케이타워)</t>
        </is>
      </c>
    </row>
    <row r="40" ht="19.2" customHeight="1" s="1">
      <c r="A40" t="inlineStr">
        <is>
          <t>NICE:026595</t>
        </is>
      </c>
      <c r="B40" t="inlineStr">
        <is>
          <t>인천국제공항공사</t>
        </is>
      </c>
      <c r="C40" t="inlineStr">
        <is>
          <t>이학재</t>
        </is>
      </c>
      <c r="D40" t="inlineStr">
        <is>
          <t>032-741-0114</t>
        </is>
      </c>
      <c r="E40" t="inlineStr">
        <is>
          <t>032-741-2450</t>
        </is>
      </c>
      <c r="F40" s="3">
        <f>HYPERLINK("http://www.airport.kr", "http://www.airport.kr")</f>
        <v/>
      </c>
      <c r="G40" t="inlineStr">
        <is>
          <t>1218129114</t>
        </is>
      </c>
      <c r="H40" t="inlineStr">
        <is>
          <t>1241710003103</t>
        </is>
      </c>
      <c r="I40" t="inlineStr">
        <is>
          <t>대상아님</t>
        </is>
      </c>
      <c r="J40" t="inlineStr">
        <is>
          <t>공공기관</t>
        </is>
      </c>
      <c r="K40" t="inlineStr">
        <is>
          <t>대상아님</t>
        </is>
      </c>
      <c r="L40" t="inlineStr">
        <is>
          <t>외부감사비대상</t>
        </is>
      </c>
      <c r="M40" s="6" t="inlineStr">
        <is>
          <t>1999-02-01</t>
        </is>
      </c>
      <c r="N40" t="inlineStr">
        <is>
          <t>KRI:10H5293100</t>
        </is>
      </c>
      <c r="O40" t="inlineStr">
        <is>
          <t>공항 운영업</t>
        </is>
      </c>
      <c r="P40" t="inlineStr">
        <is>
          <t>공항설비,학술연구,교육,공항관리/부가통신/부동산 임대</t>
        </is>
      </c>
      <c r="Q40" t="inlineStr">
        <is>
          <t>인천 중구 운서동 2850번지</t>
        </is>
      </c>
      <c r="R40" t="inlineStr">
        <is>
          <t>인천 중구 공항로424번길 47</t>
        </is>
      </c>
    </row>
    <row r="41" ht="19.2" customHeight="1" s="1">
      <c r="A41" t="inlineStr">
        <is>
          <t>NICE:028196</t>
        </is>
      </c>
      <c r="B41" t="inlineStr">
        <is>
          <t>안세기술</t>
        </is>
      </c>
      <c r="C41" t="inlineStr">
        <is>
          <t>이용안</t>
        </is>
      </c>
      <c r="D41" t="inlineStr">
        <is>
          <t>02-6221-6123</t>
        </is>
      </c>
      <c r="E41" t="inlineStr">
        <is>
          <t>02-6221-6128</t>
        </is>
      </c>
      <c r="F41" s="3">
        <f>HYPERLINK("http://www.ansetech.co.kr", "http://www.ansetech.co.kr")</f>
        <v/>
      </c>
      <c r="G41" t="inlineStr">
        <is>
          <t>1188109785</t>
        </is>
      </c>
      <c r="H41" t="inlineStr">
        <is>
          <t>1101111055519</t>
        </is>
      </c>
      <c r="I41" t="inlineStr">
        <is>
          <t>대상아님</t>
        </is>
      </c>
      <c r="J41" t="inlineStr">
        <is>
          <t>일반법인</t>
        </is>
      </c>
      <c r="K41" t="inlineStr">
        <is>
          <t>중소기업</t>
        </is>
      </c>
      <c r="L41" t="inlineStr">
        <is>
          <t>외부감사대상</t>
        </is>
      </c>
      <c r="M41" s="6" t="inlineStr">
        <is>
          <t>1993-05-01</t>
        </is>
      </c>
      <c r="N41" t="inlineStr">
        <is>
          <t>KRI:10M7212900</t>
        </is>
      </c>
      <c r="O41" t="inlineStr">
        <is>
          <t>기타 엔지니어링 서비스업</t>
        </is>
      </c>
      <c r="P41" t="inlineStr">
        <is>
          <t>정보통신기술,전산장비유지보수용역</t>
        </is>
      </c>
      <c r="Q41" t="inlineStr">
        <is>
          <t>서울 구로구 구로동 235-2번지 에이스하이엔드타워 701, 702, 703, 714, 1103호</t>
        </is>
      </c>
      <c r="R41" t="inlineStr">
        <is>
          <t>서울 구로구 디지털로26길 5, 701, 702, 703, 714, 1103호 (구로동,에이스하이엔드타워)</t>
        </is>
      </c>
    </row>
    <row r="42" ht="19.2" customHeight="1" s="1">
      <c r="A42" t="inlineStr">
        <is>
          <t>NICE:028770</t>
        </is>
      </c>
      <c r="B42" t="inlineStr">
        <is>
          <t>한국다이요잉크</t>
        </is>
      </c>
      <c r="C42" t="inlineStr">
        <is>
          <t>배형기/미네기시쇼지</t>
        </is>
      </c>
      <c r="D42" t="inlineStr">
        <is>
          <t>031-491-9250</t>
        </is>
      </c>
      <c r="E42" t="inlineStr">
        <is>
          <t>031-491-7671</t>
        </is>
      </c>
      <c r="F42" s="3">
        <f>HYPERLINK("http://www.taiyoink.co.kr", "http://www.taiyoink.co.kr")</f>
        <v/>
      </c>
      <c r="G42" t="inlineStr">
        <is>
          <t>1348101558</t>
        </is>
      </c>
      <c r="H42" t="inlineStr">
        <is>
          <t>1350110029849</t>
        </is>
      </c>
      <c r="I42" t="inlineStr">
        <is>
          <t>대상아님</t>
        </is>
      </c>
      <c r="J42" t="inlineStr">
        <is>
          <t>일반법인</t>
        </is>
      </c>
      <c r="K42" t="inlineStr">
        <is>
          <t>중견기업</t>
        </is>
      </c>
      <c r="L42" t="inlineStr">
        <is>
          <t>외부감사대상</t>
        </is>
      </c>
      <c r="M42" s="6" t="inlineStr">
        <is>
          <t>1988-09-01</t>
        </is>
      </c>
      <c r="N42" t="inlineStr">
        <is>
          <t>KRI:10C2041300</t>
        </is>
      </c>
      <c r="O42" t="inlineStr">
        <is>
          <t>인쇄잉크 및 회화용 물감 제조업</t>
        </is>
      </c>
      <c r="P42" t="inlineStr">
        <is>
          <t>잉크(레지스트,액정패널용),관련제품,응용제품,플라즈마디스플레이페널 제조/태양광 발전/수출/일반,냉동,냉장 창고</t>
        </is>
      </c>
      <c r="Q42" t="inlineStr">
        <is>
          <t>경기 안산시 단원구 신길동 1058-8번지</t>
        </is>
      </c>
      <c r="R42" t="inlineStr">
        <is>
          <t>경기 안산시 단원구 만해로 166</t>
        </is>
      </c>
    </row>
    <row r="43" ht="19.2" customHeight="1" s="1">
      <c r="A43" t="inlineStr">
        <is>
          <t>NICE:030248</t>
        </is>
      </c>
      <c r="B43" t="inlineStr">
        <is>
          <t>한국스미토모상사</t>
        </is>
      </c>
      <c r="C43" t="inlineStr">
        <is>
          <t>이나바마코토</t>
        </is>
      </c>
      <c r="D43" t="inlineStr">
        <is>
          <t>02-721-1114</t>
        </is>
      </c>
      <c r="E43" t="inlineStr">
        <is>
          <t>02-721-1411</t>
        </is>
      </c>
      <c r="F43" s="3">
        <f>HYPERLINK("http://www.sumitomocorp.co.kr", "http://www.sumitomocorp.co.kr")</f>
        <v/>
      </c>
      <c r="G43" t="inlineStr">
        <is>
          <t>1028134616</t>
        </is>
      </c>
      <c r="H43" t="inlineStr">
        <is>
          <t>1101111043267</t>
        </is>
      </c>
      <c r="I43" t="inlineStr">
        <is>
          <t>대상아님</t>
        </is>
      </c>
      <c r="J43" t="inlineStr">
        <is>
          <t>일반법인</t>
        </is>
      </c>
      <c r="K43" t="inlineStr">
        <is>
          <t>중소기업</t>
        </is>
      </c>
      <c r="L43" t="inlineStr">
        <is>
          <t>외부감사대상</t>
        </is>
      </c>
      <c r="M43" s="6" t="inlineStr">
        <is>
          <t>1994-06-03</t>
        </is>
      </c>
      <c r="N43" t="inlineStr">
        <is>
          <t>KRI:10G4680000</t>
        </is>
      </c>
      <c r="O43" t="inlineStr">
        <is>
          <t>상품 종합 도매업</t>
        </is>
      </c>
      <c r="P43" t="inlineStr">
        <is>
          <t>무역</t>
        </is>
      </c>
      <c r="Q43" t="inlineStr">
        <is>
          <t>서울 종로구 종로1가 1번지 교보생명빌딩 20층</t>
        </is>
      </c>
      <c r="R43" t="inlineStr">
        <is>
          <t>서울 종로구 종로 1, 20층 (종로1가,교보생명빌딩)</t>
        </is>
      </c>
    </row>
    <row r="44">
      <c r="A44" t="inlineStr">
        <is>
          <t>NICE:030330</t>
        </is>
      </c>
      <c r="B44" t="inlineStr">
        <is>
          <t>에스더블유해운</t>
        </is>
      </c>
      <c r="C44" t="inlineStr">
        <is>
          <t>강성훈/최영근</t>
        </is>
      </c>
      <c r="D44" t="inlineStr">
        <is>
          <t>02-397-7608</t>
        </is>
      </c>
      <c r="E44" t="inlineStr">
        <is>
          <t>02-734-8981</t>
        </is>
      </c>
      <c r="G44" t="inlineStr">
        <is>
          <t>1028133387</t>
        </is>
      </c>
      <c r="H44" t="inlineStr">
        <is>
          <t>1101110996392</t>
        </is>
      </c>
      <c r="I44" t="inlineStr">
        <is>
          <t>대상아님</t>
        </is>
      </c>
      <c r="J44" t="inlineStr">
        <is>
          <t>일반법인</t>
        </is>
      </c>
      <c r="K44" t="inlineStr">
        <is>
          <t>중소기업</t>
        </is>
      </c>
      <c r="L44" t="inlineStr">
        <is>
          <t>외부감사대상</t>
        </is>
      </c>
      <c r="M44" s="6" t="inlineStr">
        <is>
          <t>1993-12-23</t>
        </is>
      </c>
      <c r="N44" t="inlineStr">
        <is>
          <t>KRI:10H5011200</t>
        </is>
      </c>
      <c r="O44" t="inlineStr">
        <is>
          <t>외항 화물 운송업</t>
        </is>
      </c>
      <c r="P44" t="inlineStr">
        <is>
          <t>외항부정기화물 운송,복합운송 주선,선박관리</t>
        </is>
      </c>
      <c r="Q44" t="inlineStr">
        <is>
          <t>서울 강남구 도곡동 467-23번지 인스토피아빌딩 707호</t>
        </is>
      </c>
      <c r="R44" t="inlineStr">
        <is>
          <t>서울 강남구 언주로 120, 707호 (도곡동,인스토피아빌딩)</t>
        </is>
      </c>
    </row>
    <row r="45">
      <c r="A45" t="inlineStr">
        <is>
          <t>NICE:032054</t>
        </is>
      </c>
      <c r="B45" t="inlineStr">
        <is>
          <t>우창건설</t>
        </is>
      </c>
      <c r="C45" t="inlineStr">
        <is>
          <t>서규석/서종범</t>
        </is>
      </c>
      <c r="D45" t="inlineStr">
        <is>
          <t>02-2631-2090</t>
        </is>
      </c>
      <c r="E45" t="inlineStr">
        <is>
          <t>02-2631-2184</t>
        </is>
      </c>
      <c r="G45" t="inlineStr">
        <is>
          <t>1078146155</t>
        </is>
      </c>
      <c r="H45" t="inlineStr">
        <is>
          <t>1101111053844</t>
        </is>
      </c>
      <c r="I45" t="inlineStr">
        <is>
          <t>대상아님</t>
        </is>
      </c>
      <c r="J45" t="inlineStr">
        <is>
          <t>일반법인</t>
        </is>
      </c>
      <c r="K45" t="inlineStr">
        <is>
          <t>중소기업</t>
        </is>
      </c>
      <c r="L45" t="inlineStr">
        <is>
          <t>외부감사대상</t>
        </is>
      </c>
      <c r="M45" s="6" t="inlineStr">
        <is>
          <t>1994-07-05</t>
        </is>
      </c>
      <c r="N45" t="inlineStr">
        <is>
          <t>KRI:10F4212200</t>
        </is>
      </c>
      <c r="O45" t="inlineStr">
        <is>
          <t>보링, 그라우팅 및 관정 공사업</t>
        </is>
      </c>
      <c r="P45" t="inlineStr">
        <is>
          <t>보링그라우팅공사,비계형틀공사,비계구조물해체공사,토공사,하도급공사,중장비 대여/철강,철강류제품 제조,판매/무역</t>
        </is>
      </c>
      <c r="Q45" t="inlineStr">
        <is>
          <t>서울 강서구 마곡동 798-14번지 엠시그니처 903호</t>
        </is>
      </c>
      <c r="R45" t="inlineStr">
        <is>
          <t>서울 강서구 마곡중앙1로 20, 903호 (마곡동,엠시그니처)</t>
        </is>
      </c>
    </row>
    <row r="46">
      <c r="A46" t="inlineStr">
        <is>
          <t>NICE:032127</t>
        </is>
      </c>
      <c r="B46" t="inlineStr">
        <is>
          <t>서우건설산업</t>
        </is>
      </c>
      <c r="C46" t="inlineStr">
        <is>
          <t>이자영/이종록</t>
        </is>
      </c>
      <c r="D46" t="inlineStr">
        <is>
          <t>02-808-3983-5</t>
        </is>
      </c>
      <c r="E46" t="inlineStr">
        <is>
          <t>02-804-2163</t>
        </is>
      </c>
      <c r="G46" t="inlineStr">
        <is>
          <t>1198116692</t>
        </is>
      </c>
      <c r="H46" t="inlineStr">
        <is>
          <t>1101111042649</t>
        </is>
      </c>
      <c r="I46" t="inlineStr">
        <is>
          <t>대상아님</t>
        </is>
      </c>
      <c r="J46" t="inlineStr">
        <is>
          <t>일반법인</t>
        </is>
      </c>
      <c r="K46" t="inlineStr">
        <is>
          <t>중소기업</t>
        </is>
      </c>
      <c r="L46" t="inlineStr">
        <is>
          <t>외부감사대상</t>
        </is>
      </c>
      <c r="M46" s="6" t="inlineStr">
        <is>
          <t>1994-06-02</t>
        </is>
      </c>
      <c r="N46" t="inlineStr">
        <is>
          <t>KRI:10F4231100</t>
        </is>
      </c>
      <c r="O46" t="inlineStr">
        <is>
          <t>일반전기 공사업</t>
        </is>
      </c>
      <c r="P46" t="inlineStr">
        <is>
          <t>전기공사,소방시설공사,정보통신공사/철도신호제품 제조,도소매/소프트웨어 개발,공급/공장 임대</t>
        </is>
      </c>
      <c r="Q46" t="inlineStr">
        <is>
          <t>서울 금천구 시흥동 113-114번지</t>
        </is>
      </c>
      <c r="R46" t="inlineStr">
        <is>
          <t>서울 금천구 시흥대로63길 60</t>
        </is>
      </c>
    </row>
    <row r="47" ht="19.2" customHeight="1" s="1">
      <c r="A47" t="inlineStr">
        <is>
          <t>NICE:032169</t>
        </is>
      </c>
      <c r="B47" t="inlineStr">
        <is>
          <t>참테크놀로지</t>
        </is>
      </c>
      <c r="C47" t="inlineStr">
        <is>
          <t>문석민</t>
        </is>
      </c>
      <c r="D47" t="inlineStr">
        <is>
          <t>02-711-0694</t>
        </is>
      </c>
      <c r="E47" t="inlineStr">
        <is>
          <t>02-711-0706</t>
        </is>
      </c>
      <c r="F47" s="3">
        <f>HYPERLINK("http://www.charmtechnology.co.kr", "http://www.charmtechnology.co.kr")</f>
        <v/>
      </c>
      <c r="G47" t="inlineStr">
        <is>
          <t>2208119908</t>
        </is>
      </c>
      <c r="H47" t="inlineStr">
        <is>
          <t>1101111039159</t>
        </is>
      </c>
      <c r="I47" t="inlineStr">
        <is>
          <t>대상아님</t>
        </is>
      </c>
      <c r="J47" t="inlineStr">
        <is>
          <t>일반법인</t>
        </is>
      </c>
      <c r="K47" t="inlineStr">
        <is>
          <t>중소기업</t>
        </is>
      </c>
      <c r="L47" t="inlineStr">
        <is>
          <t>외부감사대상</t>
        </is>
      </c>
      <c r="M47" s="6" t="inlineStr">
        <is>
          <t>1994-05-23</t>
        </is>
      </c>
      <c r="N47" t="inlineStr">
        <is>
          <t>KRI:10C2721200</t>
        </is>
      </c>
      <c r="O47" t="inlineStr">
        <is>
          <t>전자기 측정, 시험 및 분석기구 제조업</t>
        </is>
      </c>
      <c r="P47" t="inlineStr">
        <is>
          <t>미립자계측기,전자부품,건축자재,통신장비 제조,도소매,무역</t>
        </is>
      </c>
      <c r="Q47" t="inlineStr">
        <is>
          <t>경기 광명시 일직동 514번지 지아이디씨 씨동 902호,903호,904호</t>
        </is>
      </c>
      <c r="R47" t="inlineStr">
        <is>
          <t>경기 광명시 일직로 43, 씨동 902호,903호,904호 (일직동,지아이디씨)</t>
        </is>
      </c>
    </row>
    <row r="48" ht="19.2" customHeight="1" s="1">
      <c r="A48" t="inlineStr">
        <is>
          <t>NICE:033605</t>
        </is>
      </c>
      <c r="B48" t="inlineStr">
        <is>
          <t>에이치엠디바이스코리아</t>
        </is>
      </c>
      <c r="C48" t="inlineStr">
        <is>
          <t>차현모</t>
        </is>
      </c>
      <c r="D48" t="inlineStr">
        <is>
          <t>02-2676-0036</t>
        </is>
      </c>
      <c r="E48" t="inlineStr">
        <is>
          <t>02-2676-5225</t>
        </is>
      </c>
      <c r="F48" s="3">
        <f>HYPERLINK("http://www.hmdkorea.com", "http://www.hmdkorea.com")</f>
        <v/>
      </c>
      <c r="G48" t="inlineStr">
        <is>
          <t>1018135742</t>
        </is>
      </c>
      <c r="H48" t="inlineStr">
        <is>
          <t>1101111008922</t>
        </is>
      </c>
      <c r="I48" t="inlineStr">
        <is>
          <t>대상아님</t>
        </is>
      </c>
      <c r="J48" t="inlineStr">
        <is>
          <t>일반법인</t>
        </is>
      </c>
      <c r="K48" t="inlineStr">
        <is>
          <t>중소기업</t>
        </is>
      </c>
      <c r="L48" t="inlineStr">
        <is>
          <t>외부감사대상</t>
        </is>
      </c>
      <c r="M48" s="6" t="inlineStr">
        <is>
          <t>1988-01-20</t>
        </is>
      </c>
      <c r="N48" t="inlineStr">
        <is>
          <t>KRI:10G4659500</t>
        </is>
      </c>
      <c r="O48" t="inlineStr">
        <is>
          <t>전기용 기계ㆍ장비 및 관련 기자재 도매업</t>
        </is>
      </c>
      <c r="P48" t="inlineStr">
        <is>
          <t>전자부품 도소매/컴퓨터주변기기 제조/아파트형공장 임대/소프트웨어 자문개발</t>
        </is>
      </c>
      <c r="Q48" t="inlineStr">
        <is>
          <t>서울 영등포구 양평동2가 37-1번지 동아프라임밸리 1004호,1005호,1006호</t>
        </is>
      </c>
      <c r="R48" t="inlineStr">
        <is>
          <t>서울 영등포구 영등포로5길 19, 1004호,1005호,1006호 (양평동2가,동아프라임밸리)</t>
        </is>
      </c>
    </row>
    <row r="49">
      <c r="A49" t="inlineStr">
        <is>
          <t>NICE:035334</t>
        </is>
      </c>
      <c r="B49" t="inlineStr">
        <is>
          <t>다무라케미컬코리아</t>
        </is>
      </c>
      <c r="C49" t="inlineStr">
        <is>
          <t>김익성/소가요시하루</t>
        </is>
      </c>
      <c r="D49" t="inlineStr">
        <is>
          <t>031-676-2374</t>
        </is>
      </c>
      <c r="E49" t="inlineStr">
        <is>
          <t>031-674-4427</t>
        </is>
      </c>
      <c r="G49" t="inlineStr">
        <is>
          <t>1018121307</t>
        </is>
      </c>
      <c r="H49" t="inlineStr">
        <is>
          <t>1101110637326</t>
        </is>
      </c>
      <c r="I49" t="inlineStr">
        <is>
          <t>대상아님</t>
        </is>
      </c>
      <c r="J49" t="inlineStr">
        <is>
          <t>일반법인</t>
        </is>
      </c>
      <c r="K49" t="inlineStr">
        <is>
          <t>중견기업</t>
        </is>
      </c>
      <c r="L49" t="inlineStr">
        <is>
          <t>외부감사대상</t>
        </is>
      </c>
      <c r="M49" s="6" t="inlineStr">
        <is>
          <t>1989-07-06</t>
        </is>
      </c>
      <c r="N49" t="inlineStr">
        <is>
          <t>KRI:10C2011900</t>
        </is>
      </c>
      <c r="O49" t="inlineStr">
        <is>
          <t>석탄화학계 화합물 및 기타 기초 유기 화학물질 제조업</t>
        </is>
      </c>
      <c r="P49" t="inlineStr">
        <is>
          <t>전자재료(솔더페이스트,플럭스,프린트기판용재료),도전도료(PCB잉크),기계장치 제조,무역</t>
        </is>
      </c>
      <c r="Q49" t="inlineStr">
        <is>
          <t>경기 안성시 신건지동 58-3번지</t>
        </is>
      </c>
      <c r="R49" t="inlineStr">
        <is>
          <t>경기 안성시 공단1로 98-22</t>
        </is>
      </c>
    </row>
    <row r="50" ht="19.2" customHeight="1" s="1">
      <c r="A50" t="inlineStr">
        <is>
          <t>NICE:035657</t>
        </is>
      </c>
      <c r="B50" t="inlineStr">
        <is>
          <t>태산</t>
        </is>
      </c>
      <c r="C50" t="inlineStr">
        <is>
          <t>허광옥/야마모토마사노리</t>
        </is>
      </c>
      <c r="D50" t="inlineStr">
        <is>
          <t>054-332-3003/5</t>
        </is>
      </c>
      <c r="E50" t="inlineStr">
        <is>
          <t>054-332-3007</t>
        </is>
      </c>
      <c r="F50" s="3">
        <f>HYPERLINK("http://www.tai-san.co.kr", "http://www.tai-san.co.kr")</f>
        <v/>
      </c>
      <c r="G50" t="inlineStr">
        <is>
          <t>5058121756</t>
        </is>
      </c>
      <c r="H50" t="inlineStr">
        <is>
          <t>1747110003933</t>
        </is>
      </c>
      <c r="I50" t="inlineStr">
        <is>
          <t>대상아님</t>
        </is>
      </c>
      <c r="J50" t="inlineStr">
        <is>
          <t>일반법인</t>
        </is>
      </c>
      <c r="K50" t="inlineStr">
        <is>
          <t>중소기업</t>
        </is>
      </c>
      <c r="L50" t="inlineStr">
        <is>
          <t>외부감사대상</t>
        </is>
      </c>
      <c r="M50" s="6" t="inlineStr">
        <is>
          <t>1994-06-10</t>
        </is>
      </c>
      <c r="N50" t="inlineStr">
        <is>
          <t>KRI:10C1061900</t>
        </is>
      </c>
      <c r="O50" t="inlineStr">
        <is>
          <t>기타 곡물 가공품 제조업</t>
        </is>
      </c>
      <c r="P50" t="inlineStr">
        <is>
          <t>혼합조제분말 제조/농,수,축산물,제과,제빵재료,기계류,전자제품등공산품,의류,완구,잡화 도소매,무역</t>
        </is>
      </c>
      <c r="Q50" t="inlineStr">
        <is>
          <t>경북 영천시 신녕면 완전리 700-7번지</t>
        </is>
      </c>
      <c r="R50" t="inlineStr">
        <is>
          <t>경북 영천시 신녕면 완전공단길 23</t>
        </is>
      </c>
    </row>
    <row r="51" ht="19.2" customHeight="1" s="1">
      <c r="A51" t="inlineStr">
        <is>
          <t>NICE:036019</t>
        </is>
      </c>
      <c r="B51" t="inlineStr">
        <is>
          <t>대영파워펌프</t>
        </is>
      </c>
      <c r="C51" t="inlineStr">
        <is>
          <t>송경희</t>
        </is>
      </c>
      <c r="D51" t="inlineStr">
        <is>
          <t>031-357-5000</t>
        </is>
      </c>
      <c r="E51" t="inlineStr">
        <is>
          <t>031-357-8766</t>
        </is>
      </c>
      <c r="F51" s="3">
        <f>HYPERLINK("http://www.dypump.co.kr", "http://www.dypump.co.kr")</f>
        <v/>
      </c>
      <c r="G51" t="inlineStr">
        <is>
          <t>1368115816</t>
        </is>
      </c>
      <c r="H51" t="inlineStr">
        <is>
          <t>1244110022301</t>
        </is>
      </c>
      <c r="I51" t="inlineStr">
        <is>
          <t>대상아님</t>
        </is>
      </c>
      <c r="J51" t="inlineStr">
        <is>
          <t>일반법인</t>
        </is>
      </c>
      <c r="K51" t="inlineStr">
        <is>
          <t>중소기업</t>
        </is>
      </c>
      <c r="L51" t="inlineStr">
        <is>
          <t>외부감사대상</t>
        </is>
      </c>
      <c r="M51" s="6" t="inlineStr">
        <is>
          <t>1995-09-21</t>
        </is>
      </c>
      <c r="N51" t="inlineStr">
        <is>
          <t>KRI:10C2913100</t>
        </is>
      </c>
      <c r="O51" t="inlineStr">
        <is>
          <t>액체 펌프 제조업</t>
        </is>
      </c>
      <c r="P51" t="inlineStr">
        <is>
          <t>산업용펌프,모터 제조</t>
        </is>
      </c>
      <c r="Q51" t="inlineStr">
        <is>
          <t>경기 화성시 만세구 마도면 금당리 214-9번지</t>
        </is>
      </c>
      <c r="R51" t="inlineStr">
        <is>
          <t>경기 화성시 만세구 마도면 마도로 421-13</t>
        </is>
      </c>
    </row>
    <row r="52" ht="19.2" customHeight="1" s="1">
      <c r="A52" t="inlineStr">
        <is>
          <t>NICE:036681</t>
        </is>
      </c>
      <c r="B52" t="inlineStr">
        <is>
          <t>한덕화학</t>
        </is>
      </c>
      <c r="C52" t="inlineStr">
        <is>
          <t>안효택/나카노테츠야</t>
        </is>
      </c>
      <c r="D52" t="inlineStr">
        <is>
          <t>02-6974-4897</t>
        </is>
      </c>
      <c r="E52" t="inlineStr">
        <is>
          <t>02-6974-4899</t>
        </is>
      </c>
      <c r="F52" s="3">
        <f>HYPERLINK("http://www.hantok.com", "http://www.hantok.com")</f>
        <v/>
      </c>
      <c r="G52" t="inlineStr">
        <is>
          <t>1048136755</t>
        </is>
      </c>
      <c r="H52" t="inlineStr">
        <is>
          <t>1101111144388</t>
        </is>
      </c>
      <c r="I52" t="inlineStr">
        <is>
          <t>대상아님</t>
        </is>
      </c>
      <c r="J52" t="inlineStr">
        <is>
          <t>일반법인</t>
        </is>
      </c>
      <c r="K52" t="inlineStr">
        <is>
          <t>대기업</t>
        </is>
      </c>
      <c r="L52" t="inlineStr">
        <is>
          <t>외부감사대상</t>
        </is>
      </c>
      <c r="M52" s="6" t="inlineStr">
        <is>
          <t>1995-04-01</t>
        </is>
      </c>
      <c r="N52" t="inlineStr">
        <is>
          <t>KRI:10C2049100</t>
        </is>
      </c>
      <c r="O52" t="inlineStr">
        <is>
          <t>감광재료 및 관련 화학제품 제조업</t>
        </is>
      </c>
      <c r="P52" t="inlineStr">
        <is>
          <t>전자공업용약품,TMAH 제조,도매</t>
        </is>
      </c>
      <c r="Q52" t="inlineStr">
        <is>
          <t>서울 강남구 대치동 946-1번지 글라스타워빌딩 2층</t>
        </is>
      </c>
      <c r="R52" t="inlineStr">
        <is>
          <t>서울 강남구 테헤란로 534, 2층 (대치동,글라스타워빌딩)</t>
        </is>
      </c>
    </row>
    <row r="53" ht="19.2" customHeight="1" s="1">
      <c r="A53" t="inlineStr">
        <is>
          <t>NICE:037262</t>
        </is>
      </c>
      <c r="B53" t="inlineStr">
        <is>
          <t>썬텍인더스트리</t>
        </is>
      </c>
      <c r="C53" t="inlineStr">
        <is>
          <t>신석호/정재갑</t>
        </is>
      </c>
      <c r="D53" t="inlineStr">
        <is>
          <t>031-681-1862</t>
        </is>
      </c>
      <c r="E53" t="inlineStr">
        <is>
          <t>031-681-1863</t>
        </is>
      </c>
      <c r="F53" s="3">
        <f>HYPERLINK("http://www.suntekco.co.kr", "http://www.suntekco.co.kr")</f>
        <v/>
      </c>
      <c r="G53" t="inlineStr">
        <is>
          <t>1348127131</t>
        </is>
      </c>
      <c r="H53" t="inlineStr">
        <is>
          <t>1350110047297</t>
        </is>
      </c>
      <c r="I53" t="inlineStr">
        <is>
          <t>대상아님</t>
        </is>
      </c>
      <c r="J53" t="inlineStr">
        <is>
          <t>일반법인</t>
        </is>
      </c>
      <c r="K53" t="inlineStr">
        <is>
          <t>중견기업</t>
        </is>
      </c>
      <c r="L53" t="inlineStr">
        <is>
          <t>외부감사대상</t>
        </is>
      </c>
      <c r="M53" s="6" t="inlineStr">
        <is>
          <t>1995-06-22</t>
        </is>
      </c>
      <c r="N53" t="inlineStr">
        <is>
          <t>KRI:10C2399200</t>
        </is>
      </c>
      <c r="O53" t="inlineStr">
        <is>
          <t>연마재 제조업</t>
        </is>
      </c>
      <c r="P53" t="inlineStr">
        <is>
          <t>연마재 제조,가공,도매</t>
        </is>
      </c>
      <c r="Q53" t="inlineStr">
        <is>
          <t>경기 평택시 포승읍 원정리 1205-7번지</t>
        </is>
      </c>
      <c r="R53" t="inlineStr">
        <is>
          <t>경기 평택시 포승읍 평택항만길 399-8</t>
        </is>
      </c>
    </row>
    <row r="54" ht="19.2" customHeight="1" s="1">
      <c r="A54" t="inlineStr">
        <is>
          <t>NICE:037463</t>
        </is>
      </c>
      <c r="B54" t="inlineStr">
        <is>
          <t>대흥기전</t>
        </is>
      </c>
      <c r="C54" t="inlineStr">
        <is>
          <t>서정기</t>
        </is>
      </c>
      <c r="D54" t="inlineStr">
        <is>
          <t>051-266-5995</t>
        </is>
      </c>
      <c r="E54" t="inlineStr">
        <is>
          <t>051-263-7007</t>
        </is>
      </c>
      <c r="F54" s="3">
        <f>HYPERLINK("http://www.demkor.co.kr", "http://www.demkor.co.kr")</f>
        <v/>
      </c>
      <c r="G54" t="inlineStr">
        <is>
          <t>6068158629</t>
        </is>
      </c>
      <c r="H54" t="inlineStr">
        <is>
          <t>1801110190982</t>
        </is>
      </c>
      <c r="I54" t="inlineStr">
        <is>
          <t>대상아님</t>
        </is>
      </c>
      <c r="J54" t="inlineStr">
        <is>
          <t>일반법인</t>
        </is>
      </c>
      <c r="K54" t="inlineStr">
        <is>
          <t>중소기업</t>
        </is>
      </c>
      <c r="L54" t="inlineStr">
        <is>
          <t>외부감사대상</t>
        </is>
      </c>
      <c r="M54" s="6" t="inlineStr">
        <is>
          <t>1963-05-01</t>
        </is>
      </c>
      <c r="N54" t="inlineStr">
        <is>
          <t>KRI:10C2811100</t>
        </is>
      </c>
      <c r="O54" t="inlineStr">
        <is>
          <t>전동기 및 발전기 제조업</t>
        </is>
      </c>
      <c r="P54" t="inlineStr">
        <is>
          <t>선박용,육상용발전기변환장치,무기,총포탄,전동기,배전반,자동제어반 제조</t>
        </is>
      </c>
      <c r="Q54" t="inlineStr">
        <is>
          <t>부산 사하구 구평동 491번지</t>
        </is>
      </c>
      <c r="R54" t="inlineStr">
        <is>
          <t>부산 사하구 감천항로 487</t>
        </is>
      </c>
    </row>
    <row r="55" ht="19.2" customHeight="1" s="1">
      <c r="A55" t="inlineStr">
        <is>
          <t>NICE:038981</t>
        </is>
      </c>
      <c r="B55" t="inlineStr">
        <is>
          <t>마그트론</t>
        </is>
      </c>
      <c r="C55" t="inlineStr">
        <is>
          <t>안준범</t>
        </is>
      </c>
      <c r="D55" t="inlineStr">
        <is>
          <t>032-821-2061-5</t>
        </is>
      </c>
      <c r="E55" t="inlineStr">
        <is>
          <t>032-821-2066</t>
        </is>
      </c>
      <c r="F55" s="3">
        <f>HYPERLINK("http://www.e-magnet.co.kr", "http://www.e-magnet.co.kr")</f>
        <v/>
      </c>
      <c r="G55" t="inlineStr">
        <is>
          <t>1138135968</t>
        </is>
      </c>
      <c r="H55" t="inlineStr">
        <is>
          <t>1101111215444</t>
        </is>
      </c>
      <c r="I55" t="inlineStr">
        <is>
          <t>대상아님</t>
        </is>
      </c>
      <c r="J55" t="inlineStr">
        <is>
          <t>일반법인</t>
        </is>
      </c>
      <c r="K55" t="inlineStr">
        <is>
          <t>중소기업</t>
        </is>
      </c>
      <c r="L55" t="inlineStr">
        <is>
          <t>외부감사대상</t>
        </is>
      </c>
      <c r="M55" s="6" t="inlineStr">
        <is>
          <t>1995-11-21</t>
        </is>
      </c>
      <c r="N55" t="inlineStr">
        <is>
          <t>KRI:10C2599900</t>
        </is>
      </c>
      <c r="O55" t="inlineStr">
        <is>
          <t>그 외 기타 분류 안된 금속 가공 제품 제조업</t>
        </is>
      </c>
      <c r="P55" t="inlineStr">
        <is>
          <t>고성능 마그넷, 전자기기 부품용 자석 제조</t>
        </is>
      </c>
      <c r="Q55" t="inlineStr">
        <is>
          <t>인천 남동구 고잔동 671-8번지 남동공단</t>
        </is>
      </c>
      <c r="R55" t="inlineStr">
        <is>
          <t>인천 남동구 남동대로 158 (고잔동,남동공단)</t>
        </is>
      </c>
    </row>
    <row r="56" ht="19.2" customHeight="1" s="1">
      <c r="A56" t="inlineStr">
        <is>
          <t>NICE:039227</t>
        </is>
      </c>
      <c r="B56" t="inlineStr">
        <is>
          <t>피케이엘</t>
        </is>
      </c>
      <c r="C56" t="inlineStr">
        <is>
          <t>박한경</t>
        </is>
      </c>
      <c r="D56" t="inlineStr">
        <is>
          <t>041-529-0400</t>
        </is>
      </c>
      <c r="E56" t="inlineStr">
        <is>
          <t>041-529-0305</t>
        </is>
      </c>
      <c r="F56" s="3">
        <f>HYPERLINK("http://www.pkl.co.kr", "http://www.pkl.co.kr")</f>
        <v/>
      </c>
      <c r="G56" t="inlineStr">
        <is>
          <t>3128122487</t>
        </is>
      </c>
      <c r="H56" t="inlineStr">
        <is>
          <t>1615110018444</t>
        </is>
      </c>
      <c r="I56" t="inlineStr">
        <is>
          <t>대상아님</t>
        </is>
      </c>
      <c r="J56" t="inlineStr">
        <is>
          <t>일반법인</t>
        </is>
      </c>
      <c r="K56" t="inlineStr">
        <is>
          <t>중견기업</t>
        </is>
      </c>
      <c r="L56" t="inlineStr">
        <is>
          <t>외부감사대상</t>
        </is>
      </c>
      <c r="M56" s="6" t="inlineStr">
        <is>
          <t>1995-11-23</t>
        </is>
      </c>
      <c r="N56" t="inlineStr">
        <is>
          <t>KRI:10C2622100</t>
        </is>
      </c>
      <c r="O56" t="inlineStr">
        <is>
          <t>인쇄회로기판용 적층판 제조업</t>
        </is>
      </c>
      <c r="P56" t="inlineStr">
        <is>
          <t>포토마스크(초고직접회로용),반도체제조용세정장비 제조,판매,수입,무역중개</t>
        </is>
      </c>
      <c r="Q56" t="inlineStr">
        <is>
          <t>충남 천안시 서북구 성성동 493-3번지</t>
        </is>
      </c>
      <c r="R56" t="inlineStr">
        <is>
          <t>충남 천안시 서북구 2공단3로 15</t>
        </is>
      </c>
    </row>
    <row r="57" ht="19.2" customHeight="1" s="1">
      <c r="A57" t="inlineStr">
        <is>
          <t>NICE:039703</t>
        </is>
      </c>
      <c r="B57" t="inlineStr">
        <is>
          <t>케이엘에이텐코코리아</t>
        </is>
      </c>
      <c r="C57" t="inlineStr">
        <is>
          <t>김양형/브렌더글라스히긴스</t>
        </is>
      </c>
      <c r="D57" t="inlineStr">
        <is>
          <t>031-728-9200</t>
        </is>
      </c>
      <c r="E57" t="inlineStr">
        <is>
          <t>031-728-9299</t>
        </is>
      </c>
      <c r="F57" s="3">
        <f>HYPERLINK("http://www.kla-tencor.com", "http://www.kla-tencor.com")</f>
        <v/>
      </c>
      <c r="G57" t="inlineStr">
        <is>
          <t>2298105890</t>
        </is>
      </c>
      <c r="H57" t="inlineStr">
        <is>
          <t>1101110952849</t>
        </is>
      </c>
      <c r="I57" t="inlineStr">
        <is>
          <t>대상아님</t>
        </is>
      </c>
      <c r="J57" t="inlineStr">
        <is>
          <t>일반법인</t>
        </is>
      </c>
      <c r="K57" t="inlineStr">
        <is>
          <t>중견기업</t>
        </is>
      </c>
      <c r="L57" t="inlineStr">
        <is>
          <t>외부감사대상</t>
        </is>
      </c>
      <c r="M57" s="6" t="inlineStr">
        <is>
          <t>1993-06-25</t>
        </is>
      </c>
      <c r="N57" t="inlineStr">
        <is>
          <t>KRI:10G4653900</t>
        </is>
      </c>
      <c r="O57" t="inlineStr">
        <is>
          <t>기타 산업용 기계 및 장비 도매업</t>
        </is>
      </c>
      <c r="P57" t="inlineStr">
        <is>
          <t>산업용기계장비,반도체장비 도매,무역,수리/컴퓨터설비 자문</t>
        </is>
      </c>
      <c r="Q57" t="inlineStr">
        <is>
          <t>경기 화성시 동탄구 영천동 853-1번지 동탄에스케이브이원센터 14층, 15층</t>
        </is>
      </c>
      <c r="R57" t="inlineStr">
        <is>
          <t>경기 화성시 동탄구 동탄순환대로 830, 14층, 15층 (영천동,동탄에스케이브이원센터)</t>
        </is>
      </c>
    </row>
    <row r="58" ht="19.2" customHeight="1" s="1">
      <c r="A58" t="inlineStr">
        <is>
          <t>NICE:040163</t>
        </is>
      </c>
      <c r="B58" t="inlineStr">
        <is>
          <t>노루오토코팅</t>
        </is>
      </c>
      <c r="C58" t="inlineStr">
        <is>
          <t>김종우</t>
        </is>
      </c>
      <c r="D58" t="inlineStr">
        <is>
          <t>031-8059-9500</t>
        </is>
      </c>
      <c r="E58" t="inlineStr">
        <is>
          <t>031-8059-9540</t>
        </is>
      </c>
      <c r="F58" s="3">
        <f>HYPERLINK("http://www.norooautocoat.com", "http://www.norooautocoat.com")</f>
        <v/>
      </c>
      <c r="G58" t="inlineStr">
        <is>
          <t>1238139506</t>
        </is>
      </c>
      <c r="H58" t="inlineStr">
        <is>
          <t>1341110048492</t>
        </is>
      </c>
      <c r="I58" t="inlineStr">
        <is>
          <t>대상아님</t>
        </is>
      </c>
      <c r="J58" t="inlineStr">
        <is>
          <t>일반법인</t>
        </is>
      </c>
      <c r="K58" t="inlineStr">
        <is>
          <t>중견기업</t>
        </is>
      </c>
      <c r="L58" t="inlineStr">
        <is>
          <t>외부감사대상</t>
        </is>
      </c>
      <c r="M58" s="6" t="inlineStr">
        <is>
          <t>1995-12-14</t>
        </is>
      </c>
      <c r="N58" t="inlineStr">
        <is>
          <t>KRI:10C2041100</t>
        </is>
      </c>
      <c r="O58" t="inlineStr">
        <is>
          <t>일반용 도료 및 관련제품 제조업</t>
        </is>
      </c>
      <c r="P58" t="inlineStr">
        <is>
          <t>도료,도장,화공약품 제조/무역/창고 운수/경영,기술 자문</t>
        </is>
      </c>
      <c r="Q58" t="inlineStr">
        <is>
          <t>경기 화성시 만세구 장안면 금의리 760-1번지</t>
        </is>
      </c>
      <c r="R58" t="inlineStr">
        <is>
          <t>경기 화성시 만세구 장안면 장안공단7길 28</t>
        </is>
      </c>
    </row>
    <row r="59" ht="19.2" customHeight="1" s="1">
      <c r="A59" t="inlineStr">
        <is>
          <t>NICE:040217</t>
        </is>
      </c>
      <c r="B59" t="inlineStr">
        <is>
          <t>테크센드포토마스크</t>
        </is>
      </c>
      <c r="C59" t="inlineStr">
        <is>
          <t>전찬욱</t>
        </is>
      </c>
      <c r="D59" t="inlineStr">
        <is>
          <t>031-630-1103</t>
        </is>
      </c>
      <c r="E59" t="inlineStr">
        <is>
          <t>031-630-1115</t>
        </is>
      </c>
      <c r="F59" s="3">
        <f>HYPERLINK("http://www.photomask.com", "http://www.photomask.com")</f>
        <v/>
      </c>
      <c r="G59" t="inlineStr">
        <is>
          <t>1268121892</t>
        </is>
      </c>
      <c r="H59" t="inlineStr">
        <is>
          <t>1344110008094</t>
        </is>
      </c>
      <c r="I59" t="inlineStr">
        <is>
          <t>대상아님</t>
        </is>
      </c>
      <c r="J59" t="inlineStr">
        <is>
          <t>일반법인</t>
        </is>
      </c>
      <c r="K59" t="inlineStr">
        <is>
          <t>중견기업</t>
        </is>
      </c>
      <c r="L59" t="inlineStr">
        <is>
          <t>외부감사대상</t>
        </is>
      </c>
      <c r="M59" s="6" t="inlineStr">
        <is>
          <t>1995-08-31</t>
        </is>
      </c>
      <c r="N59" t="inlineStr">
        <is>
          <t>KRI:10C2612100</t>
        </is>
      </c>
      <c r="O59" t="inlineStr">
        <is>
          <t>발광 다이오드 제조업</t>
        </is>
      </c>
      <c r="P59" t="inlineStr">
        <is>
          <t>포토마스크 제조,도매/산업용기계장비 무역</t>
        </is>
      </c>
      <c r="Q59" t="inlineStr">
        <is>
          <t>경기 이천시 신둔면 수하리 345-1번지</t>
        </is>
      </c>
      <c r="R59" t="inlineStr">
        <is>
          <t>경기 이천시 신둔면 원적로290번길 91</t>
        </is>
      </c>
    </row>
    <row r="60" ht="19.2" customHeight="1" s="1">
      <c r="A60" t="inlineStr">
        <is>
          <t>NICE:040552</t>
        </is>
      </c>
      <c r="B60" t="inlineStr">
        <is>
          <t>한국도로공사</t>
        </is>
      </c>
      <c r="C60" t="inlineStr">
        <is>
          <t>함진규</t>
        </is>
      </c>
      <c r="D60" t="inlineStr">
        <is>
          <t>054-811-1842</t>
        </is>
      </c>
      <c r="E60" t="inlineStr">
        <is>
          <t>054-811-1809</t>
        </is>
      </c>
      <c r="F60" s="3">
        <f>HYPERLINK("http://www.ex.co.kr", "http://www.ex.co.kr")</f>
        <v/>
      </c>
      <c r="G60" t="inlineStr">
        <is>
          <t>1298200103</t>
        </is>
      </c>
      <c r="H60" t="inlineStr">
        <is>
          <t>1311710000019</t>
        </is>
      </c>
      <c r="I60" t="inlineStr">
        <is>
          <t>대상아님</t>
        </is>
      </c>
      <c r="J60" t="inlineStr">
        <is>
          <t>공공기관</t>
        </is>
      </c>
      <c r="K60" t="inlineStr">
        <is>
          <t>대상아님</t>
        </is>
      </c>
      <c r="L60" t="inlineStr">
        <is>
          <t>외부감사비대상</t>
        </is>
      </c>
      <c r="M60" s="6" t="inlineStr">
        <is>
          <t>1970-01-22</t>
        </is>
      </c>
      <c r="N60" t="inlineStr">
        <is>
          <t>KRI:10H5291400</t>
        </is>
      </c>
      <c r="O60" t="inlineStr">
        <is>
          <t>도로 및 관련시설 운영업</t>
        </is>
      </c>
      <c r="P60" t="inlineStr">
        <is>
          <t>유료도로 운영/부동산 임대</t>
        </is>
      </c>
      <c r="Q60" t="inlineStr">
        <is>
          <t>경북 김천시 율곡동 941번지 한국도로공사</t>
        </is>
      </c>
      <c r="R60" t="inlineStr">
        <is>
          <t>경북 김천시 혁신8로 77 (율곡동,한국도로공사)</t>
        </is>
      </c>
    </row>
    <row r="61">
      <c r="A61" t="inlineStr">
        <is>
          <t>NICE:040724</t>
        </is>
      </c>
      <c r="B61" t="inlineStr">
        <is>
          <t>신동진</t>
        </is>
      </c>
      <c r="C61" t="inlineStr">
        <is>
          <t>김석범</t>
        </is>
      </c>
      <c r="D61" t="inlineStr">
        <is>
          <t>02-2146-5000</t>
        </is>
      </c>
      <c r="E61" t="inlineStr">
        <is>
          <t>02-2146-5003</t>
        </is>
      </c>
      <c r="G61" t="inlineStr">
        <is>
          <t>1148143438</t>
        </is>
      </c>
      <c r="H61" t="inlineStr">
        <is>
          <t>1101110160533</t>
        </is>
      </c>
      <c r="I61" t="inlineStr">
        <is>
          <t>대상아님</t>
        </is>
      </c>
      <c r="J61" t="inlineStr">
        <is>
          <t>일반법인</t>
        </is>
      </c>
      <c r="K61" t="inlineStr">
        <is>
          <t>대기업</t>
        </is>
      </c>
      <c r="L61" t="inlineStr">
        <is>
          <t>외부감사대상</t>
        </is>
      </c>
      <c r="M61" s="6" t="inlineStr">
        <is>
          <t>1974-02-21</t>
        </is>
      </c>
      <c r="N61" t="inlineStr">
        <is>
          <t>KRI:10L6811200</t>
        </is>
      </c>
      <c r="O61" t="inlineStr">
        <is>
          <t>비주거용 건물 임대업</t>
        </is>
      </c>
      <c r="P61" t="inlineStr">
        <is>
          <t>부동산 임대,관리/주차장 운영</t>
        </is>
      </c>
      <c r="Q61" t="inlineStr">
        <is>
          <t>서울 서초구 반포동 63-7번지 에이치에스효성반포빌딩 1층</t>
        </is>
      </c>
      <c r="R61" t="inlineStr">
        <is>
          <t>서울 서초구 반포대로 235, 1층 (반포동,에이치에스효성반포빌딩)</t>
        </is>
      </c>
    </row>
    <row r="62" ht="19.2" customHeight="1" s="1">
      <c r="A62" t="inlineStr">
        <is>
          <t>NICE:041327</t>
        </is>
      </c>
      <c r="B62" t="inlineStr">
        <is>
          <t>제임스텍</t>
        </is>
      </c>
      <c r="C62" t="inlineStr">
        <is>
          <t>박지홍</t>
        </is>
      </c>
      <c r="D62" t="inlineStr">
        <is>
          <t>02-801-7534</t>
        </is>
      </c>
      <c r="E62" t="inlineStr">
        <is>
          <t>02-806-0075</t>
        </is>
      </c>
      <c r="F62" s="3">
        <f>HYPERLINK("http://www.jamestech.co.kr", "http://www.jamestech.co.kr")</f>
        <v/>
      </c>
      <c r="G62" t="inlineStr">
        <is>
          <t>1178101816</t>
        </is>
      </c>
      <c r="H62" t="inlineStr">
        <is>
          <t>1101110538053</t>
        </is>
      </c>
      <c r="I62" t="inlineStr">
        <is>
          <t>대상아님</t>
        </is>
      </c>
      <c r="J62" t="inlineStr">
        <is>
          <t>일반법인</t>
        </is>
      </c>
      <c r="K62" t="inlineStr">
        <is>
          <t>중소기업</t>
        </is>
      </c>
      <c r="L62" t="inlineStr">
        <is>
          <t>외부감사대상</t>
        </is>
      </c>
      <c r="M62" s="6" t="inlineStr">
        <is>
          <t>1987-07-15</t>
        </is>
      </c>
      <c r="N62" t="inlineStr">
        <is>
          <t>KRI:10C2629900</t>
        </is>
      </c>
      <c r="O62" t="inlineStr">
        <is>
          <t>그 외 기타 전자부품 제조업</t>
        </is>
      </c>
      <c r="P62" t="inlineStr">
        <is>
          <t>전자온도센서,가전용온도센서 제조,도소매,무역,오파</t>
        </is>
      </c>
      <c r="Q62" t="inlineStr">
        <is>
          <t>서울 금천구 시흥동 113-15번지</t>
        </is>
      </c>
      <c r="R62" t="inlineStr">
        <is>
          <t>서울 금천구 시흥대로 281</t>
        </is>
      </c>
    </row>
    <row r="63" ht="19.2" customHeight="1" s="1">
      <c r="A63" t="inlineStr">
        <is>
          <t>NICE:041557</t>
        </is>
      </c>
      <c r="B63" t="inlineStr">
        <is>
          <t>에스디코리아</t>
        </is>
      </c>
      <c r="C63" t="inlineStr">
        <is>
          <t>김점식</t>
        </is>
      </c>
      <c r="D63" t="inlineStr">
        <is>
          <t>031-356-2397</t>
        </is>
      </c>
      <c r="E63" t="inlineStr">
        <is>
          <t>031-356-2399</t>
        </is>
      </c>
      <c r="F63" s="3">
        <f>HYPERLINK("http://sd-korea.com", "http://sd-korea.com")</f>
        <v/>
      </c>
      <c r="G63" t="inlineStr">
        <is>
          <t>1248128341</t>
        </is>
      </c>
      <c r="H63" t="inlineStr">
        <is>
          <t>1348110021577</t>
        </is>
      </c>
      <c r="I63" t="inlineStr">
        <is>
          <t>대상아님</t>
        </is>
      </c>
      <c r="J63" t="inlineStr">
        <is>
          <t>일반법인</t>
        </is>
      </c>
      <c r="K63" t="inlineStr">
        <is>
          <t>중소기업</t>
        </is>
      </c>
      <c r="L63" t="inlineStr">
        <is>
          <t>외부감사대상</t>
        </is>
      </c>
      <c r="M63" s="6" t="inlineStr">
        <is>
          <t>1995-01-23</t>
        </is>
      </c>
      <c r="N63" t="inlineStr">
        <is>
          <t>KRI:10C2049900</t>
        </is>
      </c>
      <c r="O63" t="inlineStr">
        <is>
          <t>그 외 기타 분류 안된 화학제품 제조업</t>
        </is>
      </c>
      <c r="P63" t="inlineStr">
        <is>
          <t>화공약품,프라스틱첨가제,색소 제조/화공약품 도매,무역</t>
        </is>
      </c>
      <c r="Q63" t="inlineStr">
        <is>
          <t>경기 화성시 만세구 남양읍 온석리 40번지</t>
        </is>
      </c>
      <c r="R63" t="inlineStr">
        <is>
          <t>경기 화성시 만세구 남양읍 무하로110번길 92</t>
        </is>
      </c>
    </row>
    <row r="64" ht="19.2" customHeight="1" s="1">
      <c r="A64" t="inlineStr">
        <is>
          <t>NICE:041781</t>
        </is>
      </c>
      <c r="B64" t="inlineStr">
        <is>
          <t>에이엠엠케이</t>
        </is>
      </c>
      <c r="C64" t="inlineStr">
        <is>
          <t>남종철</t>
        </is>
      </c>
      <c r="D64" t="inlineStr">
        <is>
          <t>031-725-7516</t>
        </is>
      </c>
      <c r="E64" t="inlineStr">
        <is>
          <t>031-704-1857</t>
        </is>
      </c>
      <c r="F64" s="3">
        <f>HYPERLINK("http://www.ammk.co.kr", "http://www.ammk.co.kr")</f>
        <v/>
      </c>
      <c r="G64" t="inlineStr">
        <is>
          <t>1298118606</t>
        </is>
      </c>
      <c r="H64" t="inlineStr">
        <is>
          <t>1101140026573</t>
        </is>
      </c>
      <c r="I64" t="inlineStr">
        <is>
          <t>대상아님</t>
        </is>
      </c>
      <c r="J64" t="inlineStr">
        <is>
          <t>일반법인</t>
        </is>
      </c>
      <c r="K64" t="inlineStr">
        <is>
          <t>중소기업</t>
        </is>
      </c>
      <c r="L64" t="inlineStr">
        <is>
          <t>외부감사대상</t>
        </is>
      </c>
      <c r="M64" s="6" t="inlineStr">
        <is>
          <t>1996-01-25</t>
        </is>
      </c>
      <c r="N64" t="inlineStr">
        <is>
          <t>KRI:10C2622100</t>
        </is>
      </c>
      <c r="O64" t="inlineStr">
        <is>
          <t>인쇄회로기판용 적층판 제조업</t>
        </is>
      </c>
      <c r="P64" t="inlineStr">
        <is>
          <t>적층판제품,산업용테프론,가정용 요업제품 제조/비전기식 주방용품,날붙이 도매,무역,전자상거래</t>
        </is>
      </c>
      <c r="Q64" t="inlineStr">
        <is>
          <t>경기 성남시 분당구 서현동 254-4번지 여암빌딩 4층</t>
        </is>
      </c>
      <c r="R64" t="inlineStr">
        <is>
          <t>경기 성남시 분당구 황새울로351번길 10, 4층 (서현동,여암빌딩)</t>
        </is>
      </c>
    </row>
    <row r="65" ht="19.2" customHeight="1" s="1">
      <c r="A65" t="inlineStr">
        <is>
          <t>NICE:042826</t>
        </is>
      </c>
      <c r="B65" t="inlineStr">
        <is>
          <t>유한프로텍</t>
        </is>
      </c>
      <c r="C65" t="inlineStr">
        <is>
          <t>최수완</t>
        </is>
      </c>
      <c r="D65" t="inlineStr">
        <is>
          <t>032-818-8333</t>
        </is>
      </c>
      <c r="E65" t="inlineStr">
        <is>
          <t>032-818-8335</t>
        </is>
      </c>
      <c r="F65" s="3">
        <f>HYPERLINK("http://www.yuhanprotech.co.kr", "http://www.yuhanprotech.co.kr")</f>
        <v/>
      </c>
      <c r="G65" t="inlineStr">
        <is>
          <t>1318152951</t>
        </is>
      </c>
      <c r="H65" t="inlineStr">
        <is>
          <t>1201110209040</t>
        </is>
      </c>
      <c r="I65" t="inlineStr">
        <is>
          <t>대상아님</t>
        </is>
      </c>
      <c r="J65" t="inlineStr">
        <is>
          <t>일반법인</t>
        </is>
      </c>
      <c r="K65" t="inlineStr">
        <is>
          <t>중소기업</t>
        </is>
      </c>
      <c r="L65" t="inlineStr">
        <is>
          <t>외부감사대상</t>
        </is>
      </c>
      <c r="M65" s="6" t="inlineStr">
        <is>
          <t>1986-12-04</t>
        </is>
      </c>
      <c r="N65" t="inlineStr">
        <is>
          <t>KRI:10C2929400</t>
        </is>
      </c>
      <c r="O65" t="inlineStr">
        <is>
          <t>주형 및 금형 제조업</t>
        </is>
      </c>
      <c r="P65" t="inlineStr">
        <is>
          <t>플라스틱 금형,플라스틱사출품 제조</t>
        </is>
      </c>
      <c r="Q65" t="inlineStr">
        <is>
          <t>인천 남동구 고잔동 698번지 남동공단</t>
        </is>
      </c>
      <c r="R65" t="inlineStr">
        <is>
          <t>인천 남동구 능허대로595번길 104 (고잔동,남동공단)</t>
        </is>
      </c>
    </row>
    <row r="66" ht="19.2" customHeight="1" s="1">
      <c r="A66" t="inlineStr">
        <is>
          <t>NICE:043290</t>
        </is>
      </c>
      <c r="B66" t="inlineStr">
        <is>
          <t>에이알</t>
        </is>
      </c>
      <c r="C66" t="inlineStr">
        <is>
          <t>한승일/한영모</t>
        </is>
      </c>
      <c r="D66" t="inlineStr">
        <is>
          <t>031-497-0561</t>
        </is>
      </c>
      <c r="E66" t="inlineStr">
        <is>
          <t>031-499-1865</t>
        </is>
      </c>
      <c r="F66" s="3">
        <f>HYPERLINK("http://www.arp.co.kr", "http://www.arp.co.kr")</f>
        <v/>
      </c>
      <c r="G66" t="inlineStr">
        <is>
          <t>1338125483</t>
        </is>
      </c>
      <c r="H66" t="inlineStr">
        <is>
          <t>1341110022850</t>
        </is>
      </c>
      <c r="I66" t="inlineStr">
        <is>
          <t>대상아님</t>
        </is>
      </c>
      <c r="J66" t="inlineStr">
        <is>
          <t>일반법인</t>
        </is>
      </c>
      <c r="K66" t="inlineStr">
        <is>
          <t>중소기업</t>
        </is>
      </c>
      <c r="L66" t="inlineStr">
        <is>
          <t>외부감사대상</t>
        </is>
      </c>
      <c r="M66" s="6" t="inlineStr">
        <is>
          <t>1981-09-10</t>
        </is>
      </c>
      <c r="N66" t="inlineStr">
        <is>
          <t>KRI:10C2917200</t>
        </is>
      </c>
      <c r="O66" t="inlineStr">
        <is>
          <t>공기 조화장치 제조업</t>
        </is>
      </c>
      <c r="P66" t="inlineStr">
        <is>
          <t>항온항습기,공기조화장치,클린룸장치 제조/기계설비공사,소방시설공사/냉난방부품 도소매,무역</t>
        </is>
      </c>
      <c r="Q66" t="inlineStr">
        <is>
          <t>경기 시흥시 정왕동 1275-8번지</t>
        </is>
      </c>
      <c r="R66" t="inlineStr">
        <is>
          <t>경기 시흥시 공단1대로260번안길 21</t>
        </is>
      </c>
    </row>
    <row r="67" ht="19.2" customHeight="1" s="1">
      <c r="A67" t="inlineStr">
        <is>
          <t>NICE:045512</t>
        </is>
      </c>
      <c r="B67" t="inlineStr">
        <is>
          <t>서원레저</t>
        </is>
      </c>
      <c r="C67" t="inlineStr">
        <is>
          <t>정석천</t>
        </is>
      </c>
      <c r="D67" t="inlineStr">
        <is>
          <t>031-940-9400</t>
        </is>
      </c>
      <c r="E67" t="inlineStr">
        <is>
          <t>031-940-9594</t>
        </is>
      </c>
      <c r="F67" s="3">
        <f>HYPERLINK("http://www.seowongolf.co.kr", "http://www.seowongolf.co.kr")</f>
        <v/>
      </c>
      <c r="G67" t="inlineStr">
        <is>
          <t>1108134204</t>
        </is>
      </c>
      <c r="H67" t="inlineStr">
        <is>
          <t>1101110705032</t>
        </is>
      </c>
      <c r="I67" t="inlineStr">
        <is>
          <t>대상아님</t>
        </is>
      </c>
      <c r="J67" t="inlineStr">
        <is>
          <t>일반법인</t>
        </is>
      </c>
      <c r="K67" t="inlineStr">
        <is>
          <t>중소기업</t>
        </is>
      </c>
      <c r="L67" t="inlineStr">
        <is>
          <t>외부감사대상</t>
        </is>
      </c>
      <c r="M67" s="6" t="inlineStr">
        <is>
          <t>1990-06-16</t>
        </is>
      </c>
      <c r="N67" t="inlineStr">
        <is>
          <t>KRI:10R9112100</t>
        </is>
      </c>
      <c r="O67" t="inlineStr">
        <is>
          <t>골프장 운영업</t>
        </is>
      </c>
      <c r="P67" t="inlineStr">
        <is>
          <t>골프장 운영,컨설팅</t>
        </is>
      </c>
      <c r="Q67" t="inlineStr">
        <is>
          <t>경기 파주시 광탄면 발랑리 123-1번지</t>
        </is>
      </c>
      <c r="R67" t="inlineStr">
        <is>
          <t>경기 파주시 광탄면 서원길 333</t>
        </is>
      </c>
    </row>
    <row r="68" ht="19.2" customHeight="1" s="1">
      <c r="A68" t="inlineStr">
        <is>
          <t>NICE:045610</t>
        </is>
      </c>
      <c r="B68" t="inlineStr">
        <is>
          <t>만전식품</t>
        </is>
      </c>
      <c r="C68" t="inlineStr">
        <is>
          <t>정동훈</t>
        </is>
      </c>
      <c r="D68" t="inlineStr">
        <is>
          <t>031-792-9911</t>
        </is>
      </c>
      <c r="E68" t="inlineStr">
        <is>
          <t>031-594-2068</t>
        </is>
      </c>
      <c r="F68" s="3">
        <f>HYPERLINK("http://www.manjun.net", "http://www.manjun.net")</f>
        <v/>
      </c>
      <c r="G68" t="inlineStr">
        <is>
          <t>1268121228</t>
        </is>
      </c>
      <c r="H68" t="inlineStr">
        <is>
          <t>1342110013469</t>
        </is>
      </c>
      <c r="I68" t="inlineStr">
        <is>
          <t>대상아님</t>
        </is>
      </c>
      <c r="J68" t="inlineStr">
        <is>
          <t>일반법인</t>
        </is>
      </c>
      <c r="K68" t="inlineStr">
        <is>
          <t>중소기업</t>
        </is>
      </c>
      <c r="L68" t="inlineStr">
        <is>
          <t>외부감사대상</t>
        </is>
      </c>
      <c r="M68" s="6" t="inlineStr">
        <is>
          <t>1995-05-25</t>
        </is>
      </c>
      <c r="N68" t="inlineStr">
        <is>
          <t>KRI:10C1022000</t>
        </is>
      </c>
      <c r="O68" t="inlineStr">
        <is>
          <t>수산식물 가공 및 저장 처리업</t>
        </is>
      </c>
      <c r="P68" t="inlineStr">
        <is>
          <t>김 제조,가공,유통,도소매</t>
        </is>
      </c>
      <c r="Q68" t="inlineStr">
        <is>
          <t>경기 남양주시 화도읍 가곡리 206-10번지</t>
        </is>
      </c>
      <c r="R68" t="inlineStr">
        <is>
          <t>경기 남양주시 화도읍 비룡로331번길 15</t>
        </is>
      </c>
    </row>
    <row r="69" ht="19.2" customHeight="1" s="1">
      <c r="A69" t="inlineStr">
        <is>
          <t>NICE:046930</t>
        </is>
      </c>
      <c r="B69" t="inlineStr">
        <is>
          <t>태일송풍기</t>
        </is>
      </c>
      <c r="C69" t="inlineStr">
        <is>
          <t>정명철</t>
        </is>
      </c>
      <c r="D69" t="inlineStr">
        <is>
          <t>055-521-7300</t>
        </is>
      </c>
      <c r="E69" t="inlineStr">
        <is>
          <t>055-521-6977</t>
        </is>
      </c>
      <c r="F69" s="3">
        <f>HYPERLINK("http://www.tlbmfg.co.kr", "http://www.tlbmfg.co.kr")</f>
        <v/>
      </c>
      <c r="G69" t="inlineStr">
        <is>
          <t>1348106927</t>
        </is>
      </c>
      <c r="H69" t="inlineStr">
        <is>
          <t>1301110026492</t>
        </is>
      </c>
      <c r="I69" t="inlineStr">
        <is>
          <t>대상아님</t>
        </is>
      </c>
      <c r="J69" t="inlineStr">
        <is>
          <t>일반법인</t>
        </is>
      </c>
      <c r="K69" t="inlineStr">
        <is>
          <t>중견기업</t>
        </is>
      </c>
      <c r="L69" t="inlineStr">
        <is>
          <t>외부감사대상</t>
        </is>
      </c>
      <c r="M69" s="6" t="inlineStr">
        <is>
          <t>1976-06-01</t>
        </is>
      </c>
      <c r="N69" t="inlineStr">
        <is>
          <t>KRI:10C2917300</t>
        </is>
      </c>
      <c r="O69" t="inlineStr">
        <is>
          <t>산업용 송풍기 및 배기장치 제조업</t>
        </is>
      </c>
      <c r="P69" t="inlineStr">
        <is>
          <t>송풍기 제조/부동산 임대</t>
        </is>
      </c>
      <c r="Q69" t="inlineStr">
        <is>
          <t>경남 창녕군 도천면 송진리 868번지</t>
        </is>
      </c>
      <c r="R69" t="inlineStr">
        <is>
          <t>경남 창녕군 도천면 적말길 50</t>
        </is>
      </c>
    </row>
    <row r="70" ht="19.2" customHeight="1" s="1">
      <c r="A70" t="inlineStr">
        <is>
          <t>NICE:047708</t>
        </is>
      </c>
      <c r="B70" t="inlineStr">
        <is>
          <t>일진코스메틱</t>
        </is>
      </c>
      <c r="C70" t="inlineStr">
        <is>
          <t>유승우</t>
        </is>
      </c>
      <c r="D70" t="inlineStr">
        <is>
          <t>031-497-2921</t>
        </is>
      </c>
      <c r="E70" t="inlineStr">
        <is>
          <t>031-431-6913</t>
        </is>
      </c>
      <c r="F70" s="3">
        <f>HYPERLINK("http://www.iljincosmetics.co.kr", "http://www.iljincosmetics.co.kr")</f>
        <v/>
      </c>
      <c r="G70" t="inlineStr">
        <is>
          <t>1228115383</t>
        </is>
      </c>
      <c r="H70" t="inlineStr">
        <is>
          <t>1201110016148</t>
        </is>
      </c>
      <c r="I70" t="inlineStr">
        <is>
          <t>대상아님</t>
        </is>
      </c>
      <c r="J70" t="inlineStr">
        <is>
          <t>일반법인</t>
        </is>
      </c>
      <c r="K70" t="inlineStr">
        <is>
          <t>중소기업</t>
        </is>
      </c>
      <c r="L70" t="inlineStr">
        <is>
          <t>외부감사대상</t>
        </is>
      </c>
      <c r="M70" s="6" t="inlineStr">
        <is>
          <t>1983-12-30</t>
        </is>
      </c>
      <c r="N70" t="inlineStr">
        <is>
          <t>KRI:10C2042300</t>
        </is>
      </c>
      <c r="O70" t="inlineStr">
        <is>
          <t>화장품 제조업</t>
        </is>
      </c>
      <c r="P70" t="inlineStr">
        <is>
          <t>화장품,화공약품 제조/말,양 사육/의약부외픔,경주마출주 도소매,통신 판매</t>
        </is>
      </c>
      <c r="Q70" t="inlineStr">
        <is>
          <t>경기 시흥시 정왕동 1252번지</t>
        </is>
      </c>
      <c r="R70" t="inlineStr">
        <is>
          <t>경기 시흥시 공단1대로 86</t>
        </is>
      </c>
    </row>
    <row r="71" ht="19.2" customHeight="1" s="1">
      <c r="A71" t="inlineStr">
        <is>
          <t>NICE:048820</t>
        </is>
      </c>
      <c r="B71" t="inlineStr">
        <is>
          <t>국제엘렉트릭코리아</t>
        </is>
      </c>
      <c r="C71" t="inlineStr">
        <is>
          <t>박용성</t>
        </is>
      </c>
      <c r="D71" t="inlineStr">
        <is>
          <t>041-559-1705</t>
        </is>
      </c>
      <c r="E71" t="inlineStr">
        <is>
          <t>041-621-3279</t>
        </is>
      </c>
      <c r="F71" s="3">
        <f>HYPERLINK("http://www.kekorea.co.kr", "http://www.kekorea.co.kr")</f>
        <v/>
      </c>
      <c r="G71" t="inlineStr">
        <is>
          <t>3128114634</t>
        </is>
      </c>
      <c r="H71" t="inlineStr">
        <is>
          <t>1615110012389</t>
        </is>
      </c>
      <c r="I71" t="inlineStr">
        <is>
          <t>대상아님</t>
        </is>
      </c>
      <c r="J71" t="inlineStr">
        <is>
          <t>일반법인</t>
        </is>
      </c>
      <c r="K71" t="inlineStr">
        <is>
          <t>중견기업</t>
        </is>
      </c>
      <c r="L71" t="inlineStr">
        <is>
          <t>외부감사대상</t>
        </is>
      </c>
      <c r="M71" s="6" t="inlineStr">
        <is>
          <t>1993-05-24</t>
        </is>
      </c>
      <c r="N71" t="inlineStr">
        <is>
          <t>KRI:10C2927100</t>
        </is>
      </c>
      <c r="O71" t="inlineStr">
        <is>
          <t>반도체 제조용 기계 제조업</t>
        </is>
      </c>
      <c r="P71" t="inlineStr">
        <is>
          <t>반도체제조장비 제조,판매,보수</t>
        </is>
      </c>
      <c r="Q71" t="inlineStr">
        <is>
          <t>충남 천안시 서북구 차암동 4-2번지</t>
        </is>
      </c>
      <c r="R71" t="inlineStr">
        <is>
          <t>충남 천안시 서북구 2공단8길 46</t>
        </is>
      </c>
    </row>
    <row r="72" ht="19.2" customHeight="1" s="1">
      <c r="A72" t="inlineStr">
        <is>
          <t>NICE:049667</t>
        </is>
      </c>
      <c r="B72" t="inlineStr">
        <is>
          <t>가드너덴버코리아</t>
        </is>
      </c>
      <c r="C72" t="inlineStr">
        <is>
          <t>앤드류알쉬슬/최병철/저우강시앙</t>
        </is>
      </c>
      <c r="D72" t="inlineStr">
        <is>
          <t>02-853-5000</t>
        </is>
      </c>
      <c r="E72" t="inlineStr">
        <is>
          <t>02-866-0833</t>
        </is>
      </c>
      <c r="F72" s="3">
        <f>HYPERLINK("http://www.gardnerdenver.com", "http://www.gardnerdenver.com")</f>
        <v/>
      </c>
      <c r="G72" t="inlineStr">
        <is>
          <t>2138149796</t>
        </is>
      </c>
      <c r="H72" t="inlineStr">
        <is>
          <t>1101110817770</t>
        </is>
      </c>
      <c r="I72" t="inlineStr">
        <is>
          <t>대상아님</t>
        </is>
      </c>
      <c r="J72" t="inlineStr">
        <is>
          <t>일반법인</t>
        </is>
      </c>
      <c r="K72" t="inlineStr">
        <is>
          <t>중소기업</t>
        </is>
      </c>
      <c r="L72" t="inlineStr">
        <is>
          <t>외부감사대상</t>
        </is>
      </c>
      <c r="M72" s="6" t="inlineStr">
        <is>
          <t>1991-11-21</t>
        </is>
      </c>
      <c r="N72" t="inlineStr">
        <is>
          <t>KRI:10G4659900</t>
        </is>
      </c>
      <c r="O72" t="inlineStr">
        <is>
          <t>그 외 기타 기계 및 장비 도매업</t>
        </is>
      </c>
      <c r="P72" t="inlineStr">
        <is>
          <t>진공펌프,불로워,콤프레샤 도매,수출,오파,제조</t>
        </is>
      </c>
      <c r="Q72" t="inlineStr">
        <is>
          <t>경기 화성시 만세구 향남읍 하길리 1408-4번지</t>
        </is>
      </c>
      <c r="R72" t="inlineStr">
        <is>
          <t>경기 화성시 만세구 향남읍 발안공단로 14</t>
        </is>
      </c>
    </row>
    <row r="73" ht="19.2" customHeight="1" s="1">
      <c r="A73" t="inlineStr">
        <is>
          <t>NICE:050442</t>
        </is>
      </c>
      <c r="B73" t="inlineStr">
        <is>
          <t>아시아첨가제</t>
        </is>
      </c>
      <c r="C73" t="inlineStr">
        <is>
          <t>강신우/수양</t>
        </is>
      </c>
      <c r="D73" t="inlineStr">
        <is>
          <t>031-650-2000</t>
        </is>
      </c>
      <c r="E73" t="inlineStr">
        <is>
          <t>031-651-4602</t>
        </is>
      </c>
      <c r="F73" s="3">
        <f>HYPERLINK("http://www.asc.co.kr", "http://www.asc.co.kr")</f>
        <v/>
      </c>
      <c r="G73" t="inlineStr">
        <is>
          <t>1258118604</t>
        </is>
      </c>
      <c r="H73" t="inlineStr">
        <is>
          <t>1347110016596</t>
        </is>
      </c>
      <c r="I73" t="inlineStr">
        <is>
          <t>대상아님</t>
        </is>
      </c>
      <c r="J73" t="inlineStr">
        <is>
          <t>일반법인</t>
        </is>
      </c>
      <c r="K73" t="inlineStr">
        <is>
          <t>중견기업</t>
        </is>
      </c>
      <c r="L73" t="inlineStr">
        <is>
          <t>외부감사대상</t>
        </is>
      </c>
      <c r="M73" s="6" t="inlineStr">
        <is>
          <t>1996-04-24</t>
        </is>
      </c>
      <c r="N73" t="inlineStr">
        <is>
          <t>KRI:10C2049900</t>
        </is>
      </c>
      <c r="O73" t="inlineStr">
        <is>
          <t>그 외 기타 분류 안된 화학제품 제조업</t>
        </is>
      </c>
      <c r="P73" t="inlineStr">
        <is>
          <t>화학제품(산화방지제,자외선,내열안정제) 제조,도매</t>
        </is>
      </c>
      <c r="Q73" t="inlineStr">
        <is>
          <t>경기 평택시 세교동 542-7번지</t>
        </is>
      </c>
      <c r="R73" t="inlineStr">
        <is>
          <t>경기 평택시 세교산단로22번길 21</t>
        </is>
      </c>
    </row>
    <row r="74" ht="19.2" customHeight="1" s="1">
      <c r="A74" t="inlineStr">
        <is>
          <t>NICE:050670</t>
        </is>
      </c>
      <c r="B74" t="inlineStr">
        <is>
          <t>한국에스엠씨</t>
        </is>
      </c>
      <c r="C74" t="inlineStr">
        <is>
          <t>사사히라나오요시</t>
        </is>
      </c>
      <c r="D74" t="inlineStr">
        <is>
          <t>02-3219-0700</t>
        </is>
      </c>
      <c r="E74" t="inlineStr">
        <is>
          <t>02-3219-0702</t>
        </is>
      </c>
      <c r="F74" s="3">
        <f>HYPERLINK("http://www.smckorea.co.kr", "http://www.smckorea.co.kr")</f>
        <v/>
      </c>
      <c r="G74" t="inlineStr">
        <is>
          <t>1098142868</t>
        </is>
      </c>
      <c r="H74" t="inlineStr">
        <is>
          <t>1101111138761</t>
        </is>
      </c>
      <c r="I74" t="inlineStr">
        <is>
          <t>대상아님</t>
        </is>
      </c>
      <c r="J74" t="inlineStr">
        <is>
          <t>일반법인</t>
        </is>
      </c>
      <c r="K74" t="inlineStr">
        <is>
          <t>중견기업</t>
        </is>
      </c>
      <c r="L74" t="inlineStr">
        <is>
          <t>외부감사대상</t>
        </is>
      </c>
      <c r="M74" s="6" t="inlineStr">
        <is>
          <t>1995-03-17</t>
        </is>
      </c>
      <c r="N74" t="inlineStr">
        <is>
          <t>KRI:10G4659900</t>
        </is>
      </c>
      <c r="O74" t="inlineStr">
        <is>
          <t>그 외 기타 기계 및 장비 도매업</t>
        </is>
      </c>
      <c r="P74" t="inlineStr">
        <is>
          <t>공압보조기기,진공기기,자동화제어기기 도매,수출입,제조,A/S</t>
        </is>
      </c>
      <c r="Q74" t="inlineStr">
        <is>
          <t>서울 영등포구 여의도동 18-3번지 스카우트빌딩 8층</t>
        </is>
      </c>
      <c r="R74" t="inlineStr">
        <is>
          <t>서울 영등포구 국회대로62길 14, 8층 (여의도동,스카우트빌딩)</t>
        </is>
      </c>
    </row>
    <row r="75" ht="19.2" customHeight="1" s="1">
      <c r="A75" t="inlineStr">
        <is>
          <t>NICE:051870</t>
        </is>
      </c>
      <c r="B75" t="inlineStr">
        <is>
          <t>우림종합건설</t>
        </is>
      </c>
      <c r="C75" t="inlineStr">
        <is>
          <t>김병태/이승욱</t>
        </is>
      </c>
      <c r="D75" t="inlineStr">
        <is>
          <t>055-366-5261</t>
        </is>
      </c>
      <c r="E75" t="inlineStr">
        <is>
          <t>051-366-5260</t>
        </is>
      </c>
      <c r="F75" s="3">
        <f>HYPERLINK("http://www.ulim.co.kr", "http://www.ulim.co.kr")</f>
        <v/>
      </c>
      <c r="G75" t="inlineStr">
        <is>
          <t>6208101404</t>
        </is>
      </c>
      <c r="H75" t="inlineStr">
        <is>
          <t>1812110003538</t>
        </is>
      </c>
      <c r="I75" t="inlineStr">
        <is>
          <t>대상아님</t>
        </is>
      </c>
      <c r="J75" t="inlineStr">
        <is>
          <t>일반법인</t>
        </is>
      </c>
      <c r="K75" t="inlineStr">
        <is>
          <t>중소기업</t>
        </is>
      </c>
      <c r="L75" t="inlineStr">
        <is>
          <t>외부감사대상</t>
        </is>
      </c>
      <c r="M75" s="6" t="inlineStr">
        <is>
          <t>1983-10-31</t>
        </is>
      </c>
      <c r="N75" t="inlineStr">
        <is>
          <t>KRI:10F4122000</t>
        </is>
      </c>
      <c r="O75" t="inlineStr">
        <is>
          <t>토목시설물 건설업</t>
        </is>
      </c>
      <c r="P75" t="inlineStr">
        <is>
          <t>토목건축공사,대지조성공사,수질환경전문공사,토질정화공사/비금속원료 재생,토양,지하수 정화,환경 복원</t>
        </is>
      </c>
      <c r="Q75" t="inlineStr">
        <is>
          <t>경남 양산시 물금읍 범어리 2715-1번지 태림프라자 3층</t>
        </is>
      </c>
      <c r="R75" t="inlineStr">
        <is>
          <t>경남 양산시 물금읍 청운로 350, 3층 (범어리,태림프라자)</t>
        </is>
      </c>
    </row>
    <row r="76" ht="19.2" customHeight="1" s="1">
      <c r="A76" t="inlineStr">
        <is>
          <t>NICE:052395</t>
        </is>
      </c>
      <c r="B76" t="inlineStr">
        <is>
          <t>세창인터내쇼날</t>
        </is>
      </c>
      <c r="C76" t="inlineStr">
        <is>
          <t>이태훈</t>
        </is>
      </c>
      <c r="D76" t="inlineStr">
        <is>
          <t>031-366-8901</t>
        </is>
      </c>
      <c r="E76" t="inlineStr">
        <is>
          <t>031-366-8906</t>
        </is>
      </c>
      <c r="F76" s="3">
        <f>HYPERLINK("http://www.sechang-kr.com", "http://www.sechang-kr.com")</f>
        <v/>
      </c>
      <c r="G76" t="inlineStr">
        <is>
          <t>1198117139</t>
        </is>
      </c>
      <c r="H76" t="inlineStr">
        <is>
          <t>1101111110115</t>
        </is>
      </c>
      <c r="I76" t="inlineStr">
        <is>
          <t>대상아님</t>
        </is>
      </c>
      <c r="J76" t="inlineStr">
        <is>
          <t>일반법인</t>
        </is>
      </c>
      <c r="K76" t="inlineStr">
        <is>
          <t>중소기업</t>
        </is>
      </c>
      <c r="L76" t="inlineStr">
        <is>
          <t>외부감사대상</t>
        </is>
      </c>
      <c r="M76" s="6" t="inlineStr">
        <is>
          <t>1988-10-26</t>
        </is>
      </c>
      <c r="N76" t="inlineStr">
        <is>
          <t>KRI:10C2916300</t>
        </is>
      </c>
      <c r="O76" t="inlineStr">
        <is>
          <t>컨베이어장치 제조업</t>
        </is>
      </c>
      <c r="P76" t="inlineStr">
        <is>
          <t>자동화부품(컨베이어시스템),의류 제조,도매,무역/부동산 임대/광고 제작</t>
        </is>
      </c>
      <c r="Q76" t="inlineStr">
        <is>
          <t>경기 화성시 만세구 남양읍 북양리 500-55번지</t>
        </is>
      </c>
      <c r="R76" t="inlineStr">
        <is>
          <t>경기 화성시 만세구 남양읍 주석로184번길 21-32</t>
        </is>
      </c>
    </row>
    <row r="77">
      <c r="A77" t="inlineStr">
        <is>
          <t>NICE:053324</t>
        </is>
      </c>
      <c r="B77" t="inlineStr">
        <is>
          <t>삼원중공업</t>
        </is>
      </c>
      <c r="C77" t="inlineStr">
        <is>
          <t>김희선/김태환</t>
        </is>
      </c>
      <c r="D77" t="inlineStr">
        <is>
          <t>02-6443-5800</t>
        </is>
      </c>
      <c r="E77" t="inlineStr">
        <is>
          <t>02-6443-5801</t>
        </is>
      </c>
      <c r="G77" t="inlineStr">
        <is>
          <t>1098146622</t>
        </is>
      </c>
      <c r="H77" t="inlineStr">
        <is>
          <t>1101111096860</t>
        </is>
      </c>
      <c r="I77" t="inlineStr">
        <is>
          <t>대상아님</t>
        </is>
      </c>
      <c r="J77" t="inlineStr">
        <is>
          <t>일반법인</t>
        </is>
      </c>
      <c r="K77" t="inlineStr">
        <is>
          <t>중소기업</t>
        </is>
      </c>
      <c r="L77" t="inlineStr">
        <is>
          <t>외부감사대상</t>
        </is>
      </c>
      <c r="M77" s="6" t="inlineStr">
        <is>
          <t>1994-11-02</t>
        </is>
      </c>
      <c r="N77" t="inlineStr">
        <is>
          <t>KRI:10C2511300</t>
        </is>
      </c>
      <c r="O77" t="inlineStr">
        <is>
          <t>육상 금속 골조 구조재 제조업</t>
        </is>
      </c>
      <c r="P77" t="inlineStr">
        <is>
          <t>철구조물,강구조물 제조/철구조물설치공사,철강재설치공사,도장공사,시설물유지관리공사</t>
        </is>
      </c>
      <c r="Q77" t="inlineStr">
        <is>
          <t>서울 금천구 가산동 459-14번지 현대테라타워 가산디케이 2001호</t>
        </is>
      </c>
      <c r="R77" t="inlineStr">
        <is>
          <t>서울 금천구 가산디지털2로 144, 2001호 (가산동,현대테라타워 가산디케이)</t>
        </is>
      </c>
    </row>
    <row r="78" ht="19.2" customHeight="1" s="1">
      <c r="A78" t="inlineStr">
        <is>
          <t>NICE:053796</t>
        </is>
      </c>
      <c r="B78" t="inlineStr">
        <is>
          <t>메리테크</t>
        </is>
      </c>
      <c r="C78" t="inlineStr">
        <is>
          <t>최승철</t>
        </is>
      </c>
      <c r="D78" t="inlineStr">
        <is>
          <t>031-377-8200</t>
        </is>
      </c>
      <c r="E78" t="inlineStr">
        <is>
          <t>070-4818-6691</t>
        </is>
      </c>
      <c r="F78" s="3">
        <f>HYPERLINK("http://www.meritech.co.kr", "http://www.meritech.co.kr")</f>
        <v/>
      </c>
      <c r="G78" t="inlineStr">
        <is>
          <t>1298133378</t>
        </is>
      </c>
      <c r="H78" t="inlineStr">
        <is>
          <t>1311110047603</t>
        </is>
      </c>
      <c r="I78" t="inlineStr">
        <is>
          <t>대상아님</t>
        </is>
      </c>
      <c r="J78" t="inlineStr">
        <is>
          <t>일반법인</t>
        </is>
      </c>
      <c r="K78" t="inlineStr">
        <is>
          <t>중소기업</t>
        </is>
      </c>
      <c r="L78" t="inlineStr">
        <is>
          <t>외부감사대상</t>
        </is>
      </c>
      <c r="M78" s="6" t="inlineStr">
        <is>
          <t>1996-05-02</t>
        </is>
      </c>
      <c r="N78" t="inlineStr">
        <is>
          <t>KRI:10C2721900</t>
        </is>
      </c>
      <c r="O78" t="inlineStr">
        <is>
          <t>기타 측정, 시험, 항해, 제어 및 정밀기기 제조업</t>
        </is>
      </c>
      <c r="P78" t="inlineStr">
        <is>
          <t>반도체테스터장비(테스트보드,메모리제어장치),전자부품 제조,도매,무역</t>
        </is>
      </c>
      <c r="Q78" t="inlineStr">
        <is>
          <t>경기 화성시 동탄구 영천동 830-1번지</t>
        </is>
      </c>
      <c r="R78" t="inlineStr">
        <is>
          <t>경기 화성시 동탄구 동탄첨단산업1로 28</t>
        </is>
      </c>
    </row>
    <row r="79" ht="19.2" customHeight="1" s="1">
      <c r="A79" t="inlineStr">
        <is>
          <t>NICE:056067</t>
        </is>
      </c>
      <c r="B79" t="inlineStr">
        <is>
          <t>엔씨에이취코리아</t>
        </is>
      </c>
      <c r="C79" t="inlineStr">
        <is>
          <t>이레나킬디사스/월터레비</t>
        </is>
      </c>
      <c r="D79" t="inlineStr">
        <is>
          <t>02-3482-2581</t>
        </is>
      </c>
      <c r="E79" t="inlineStr">
        <is>
          <t>02-3482-0203</t>
        </is>
      </c>
      <c r="F79" s="3">
        <f>HYPERLINK("http://www.nchasia.com", "http://www.nchasia.com")</f>
        <v/>
      </c>
      <c r="G79" t="inlineStr">
        <is>
          <t>2148118883</t>
        </is>
      </c>
      <c r="H79" t="inlineStr">
        <is>
          <t>1101110694582</t>
        </is>
      </c>
      <c r="I79" t="inlineStr">
        <is>
          <t>대상아님</t>
        </is>
      </c>
      <c r="J79" t="inlineStr">
        <is>
          <t>일반법인</t>
        </is>
      </c>
      <c r="K79" t="inlineStr">
        <is>
          <t>중소기업</t>
        </is>
      </c>
      <c r="L79" t="inlineStr">
        <is>
          <t>외부감사대상</t>
        </is>
      </c>
      <c r="M79" s="6" t="inlineStr">
        <is>
          <t>1990-04-20</t>
        </is>
      </c>
      <c r="N79" t="inlineStr">
        <is>
          <t>KRI:10C2049900</t>
        </is>
      </c>
      <c r="O79" t="inlineStr">
        <is>
          <t>그 외 기타 분류 안된 화학제품 제조업</t>
        </is>
      </c>
      <c r="P79" t="inlineStr">
        <is>
          <t>화학제품(수처리제,윤활유) 제조,도매/건물,산업설비 유지관리,청소</t>
        </is>
      </c>
      <c r="Q79" t="inlineStr">
        <is>
          <t>서울 서초구 잠원동 76-4번지</t>
        </is>
      </c>
      <c r="R79" t="inlineStr">
        <is>
          <t>서울 서초구 반포대로 306</t>
        </is>
      </c>
    </row>
    <row r="80" ht="19.2" customHeight="1" s="1">
      <c r="A80" t="inlineStr">
        <is>
          <t>NICE:057980</t>
        </is>
      </c>
      <c r="B80" t="inlineStr">
        <is>
          <t>강남금융센터</t>
        </is>
      </c>
      <c r="C80" t="inlineStr">
        <is>
          <t>김소희</t>
        </is>
      </c>
      <c r="D80" t="inlineStr">
        <is>
          <t>02-2112-7040</t>
        </is>
      </c>
      <c r="E80" t="inlineStr">
        <is>
          <t>02-2112-4310</t>
        </is>
      </c>
      <c r="F80" s="3">
        <f>HYPERLINK("http://www.gfckorea.co.kr", "http://www.gfckorea.co.kr")</f>
        <v/>
      </c>
      <c r="G80" t="inlineStr">
        <is>
          <t>1078600872</t>
        </is>
      </c>
      <c r="H80" t="inlineStr">
        <is>
          <t>1101111229651</t>
        </is>
      </c>
      <c r="I80" t="inlineStr">
        <is>
          <t>대상아님</t>
        </is>
      </c>
      <c r="J80" t="inlineStr">
        <is>
          <t>일반법인</t>
        </is>
      </c>
      <c r="K80" t="inlineStr">
        <is>
          <t>중견기업</t>
        </is>
      </c>
      <c r="L80" t="inlineStr">
        <is>
          <t>외부감사대상</t>
        </is>
      </c>
      <c r="M80" s="6" t="inlineStr">
        <is>
          <t>1996-01-09</t>
        </is>
      </c>
      <c r="N80" t="inlineStr">
        <is>
          <t>KRI:10L6811200</t>
        </is>
      </c>
      <c r="O80" t="inlineStr">
        <is>
          <t>비주거용 건물 임대업</t>
        </is>
      </c>
      <c r="P80" t="inlineStr">
        <is>
          <t>부동산 임대,개발</t>
        </is>
      </c>
      <c r="Q80" t="inlineStr">
        <is>
          <t>서울 강남구 역삼동 737번지 강남파이낸스센터 40층</t>
        </is>
      </c>
      <c r="R80" t="inlineStr">
        <is>
          <t>서울 강남구 테헤란로 152, 40층 (역삼동,강남파이낸스센터)</t>
        </is>
      </c>
    </row>
    <row r="81" ht="19.2" customHeight="1" s="1">
      <c r="A81" t="inlineStr">
        <is>
          <t>NICE:058901</t>
        </is>
      </c>
      <c r="B81" t="inlineStr">
        <is>
          <t>삼화에이스</t>
        </is>
      </c>
      <c r="C81" t="inlineStr">
        <is>
          <t>김학근/김현기</t>
        </is>
      </c>
      <c r="D81" t="inlineStr">
        <is>
          <t>02-523-2242</t>
        </is>
      </c>
      <c r="E81" t="inlineStr">
        <is>
          <t>02-3472-9846</t>
        </is>
      </c>
      <c r="F81" s="3">
        <f>HYPERLINK("http://www.samhwaace.co.kr", "http://www.samhwaace.co.kr")</f>
        <v/>
      </c>
      <c r="G81" t="inlineStr">
        <is>
          <t>1398112652</t>
        </is>
      </c>
      <c r="H81" t="inlineStr">
        <is>
          <t>1101110651178</t>
        </is>
      </c>
      <c r="I81" t="inlineStr">
        <is>
          <t>대상아님</t>
        </is>
      </c>
      <c r="J81" t="inlineStr">
        <is>
          <t>일반법인</t>
        </is>
      </c>
      <c r="K81" t="inlineStr">
        <is>
          <t>중소기업</t>
        </is>
      </c>
      <c r="L81" t="inlineStr">
        <is>
          <t>외부감사대상</t>
        </is>
      </c>
      <c r="M81" s="6" t="inlineStr">
        <is>
          <t>1984-07-01</t>
        </is>
      </c>
      <c r="N81" t="inlineStr">
        <is>
          <t>KRI:10C2917200</t>
        </is>
      </c>
      <c r="O81" t="inlineStr">
        <is>
          <t>공기 조화장치 제조업</t>
        </is>
      </c>
      <c r="P81" t="inlineStr">
        <is>
          <t>공기조화기,항온항습기,크린룸,냉동냉장설비 제조/냉난방설비공사/무역/건물,시설관리 용역(청소)</t>
        </is>
      </c>
      <c r="Q81" t="inlineStr">
        <is>
          <t>서울 서초구 서초동 1562-7번지 삼화에이스빌딩</t>
        </is>
      </c>
      <c r="R81" t="inlineStr">
        <is>
          <t>서울 서초구 서초대로48길 84 (서초동,삼화에이스빌딩)</t>
        </is>
      </c>
    </row>
    <row r="82" ht="19.2" customHeight="1" s="1">
      <c r="A82" t="inlineStr">
        <is>
          <t>NICE:058948</t>
        </is>
      </c>
      <c r="B82" t="inlineStr">
        <is>
          <t>아드반테스트코리아</t>
        </is>
      </c>
      <c r="C82" t="inlineStr">
        <is>
          <t>츠카코시소이치/차재혁</t>
        </is>
      </c>
      <c r="D82" t="inlineStr">
        <is>
          <t>041-901-3900</t>
        </is>
      </c>
      <c r="E82" t="inlineStr">
        <is>
          <t>041-904-6102</t>
        </is>
      </c>
      <c r="F82" s="3">
        <f>HYPERLINK("http://www.advantest.com", "http://www.advantest.com")</f>
        <v/>
      </c>
      <c r="G82" t="inlineStr">
        <is>
          <t>3128123832</t>
        </is>
      </c>
      <c r="H82" t="inlineStr">
        <is>
          <t>1615110019658</t>
        </is>
      </c>
      <c r="I82" t="inlineStr">
        <is>
          <t>대상아님</t>
        </is>
      </c>
      <c r="J82" t="inlineStr">
        <is>
          <t>일반법인</t>
        </is>
      </c>
      <c r="K82" t="inlineStr">
        <is>
          <t>중견기업</t>
        </is>
      </c>
      <c r="L82" t="inlineStr">
        <is>
          <t>외부감사대상</t>
        </is>
      </c>
      <c r="M82" s="6" t="inlineStr">
        <is>
          <t>1996-04-24</t>
        </is>
      </c>
      <c r="N82" t="inlineStr">
        <is>
          <t>KRI:10C2927100</t>
        </is>
      </c>
      <c r="O82" t="inlineStr">
        <is>
          <t>반도체 제조용 기계 제조업</t>
        </is>
      </c>
      <c r="P82" t="inlineStr">
        <is>
          <t>반도체제조장비 제조,도매,무역/태양광 발전</t>
        </is>
      </c>
      <c r="Q82" t="inlineStr">
        <is>
          <t>충남 천안시 서북구 차암동 421번지</t>
        </is>
      </c>
      <c r="R82" t="inlineStr">
        <is>
          <t>충남 천안시 서북구 3공단6로 140</t>
        </is>
      </c>
    </row>
    <row r="83" ht="19.2" customHeight="1" s="1">
      <c r="A83" t="inlineStr">
        <is>
          <t>NICE:060579</t>
        </is>
      </c>
      <c r="B83" t="inlineStr">
        <is>
          <t>좋은책신사고</t>
        </is>
      </c>
      <c r="C83" t="inlineStr">
        <is>
          <t>홍범준</t>
        </is>
      </c>
      <c r="D83" t="inlineStr">
        <is>
          <t>1661-5590</t>
        </is>
      </c>
      <c r="E83" t="inlineStr">
        <is>
          <t>02-3481-3012</t>
        </is>
      </c>
      <c r="F83" s="3">
        <f>HYPERLINK("http://www.sinsago.co.kr", "http://www.sinsago.co.kr")</f>
        <v/>
      </c>
      <c r="G83" t="inlineStr">
        <is>
          <t>1208151097</t>
        </is>
      </c>
      <c r="H83" t="inlineStr">
        <is>
          <t>1101111163437</t>
        </is>
      </c>
      <c r="I83" t="inlineStr">
        <is>
          <t>대상아님</t>
        </is>
      </c>
      <c r="J83" t="inlineStr">
        <is>
          <t>일반법인</t>
        </is>
      </c>
      <c r="K83" t="inlineStr">
        <is>
          <t>중소기업</t>
        </is>
      </c>
      <c r="L83" t="inlineStr">
        <is>
          <t>외부감사대상</t>
        </is>
      </c>
      <c r="M83" s="6" t="inlineStr">
        <is>
          <t>1995-06-02</t>
        </is>
      </c>
      <c r="N83" t="inlineStr">
        <is>
          <t>KRI:10J5811100</t>
        </is>
      </c>
      <c r="O83" t="inlineStr">
        <is>
          <t>교과서 및 학습서적 출판업</t>
        </is>
      </c>
      <c r="P83" t="inlineStr">
        <is>
          <t>출판,조판,제판/주차장 운영/부동산 임대/디자인,인터넷교육컨텐츠 개발,기획,광고,온라인교육정보제공/온라인학원,보습학원</t>
        </is>
      </c>
      <c r="Q83" t="inlineStr">
        <is>
          <t>서울 강서구 마곡동 776-6번지</t>
        </is>
      </c>
      <c r="R83" t="inlineStr">
        <is>
          <t>서울 강서구 강서로 463</t>
        </is>
      </c>
    </row>
    <row r="84" ht="19.2" customHeight="1" s="1">
      <c r="A84" t="inlineStr">
        <is>
          <t>NICE:061254</t>
        </is>
      </c>
      <c r="B84" t="inlineStr">
        <is>
          <t>에어미디어</t>
        </is>
      </c>
      <c r="C84" t="inlineStr">
        <is>
          <t>김승목</t>
        </is>
      </c>
      <c r="D84" t="inlineStr">
        <is>
          <t>02-3485-3022</t>
        </is>
      </c>
      <c r="E84" t="inlineStr">
        <is>
          <t>02-3482-3022</t>
        </is>
      </c>
      <c r="F84" s="3">
        <f>HYPERLINK("http://www.airmedia.co.kr", "http://www.airmedia.co.kr")</f>
        <v/>
      </c>
      <c r="G84" t="inlineStr">
        <is>
          <t>1208166187</t>
        </is>
      </c>
      <c r="H84" t="inlineStr">
        <is>
          <t>1101111266900</t>
        </is>
      </c>
      <c r="I84" t="inlineStr">
        <is>
          <t>제3시장</t>
        </is>
      </c>
      <c r="J84" t="inlineStr">
        <is>
          <t>일반법인</t>
        </is>
      </c>
      <c r="K84" t="inlineStr">
        <is>
          <t>중소기업</t>
        </is>
      </c>
      <c r="L84" t="inlineStr">
        <is>
          <t>외부감사대상</t>
        </is>
      </c>
      <c r="M84" s="6" t="inlineStr">
        <is>
          <t>1996-05-01</t>
        </is>
      </c>
      <c r="N84" t="inlineStr">
        <is>
          <t>KRI:10J6122000</t>
        </is>
      </c>
      <c r="O84" t="inlineStr">
        <is>
          <t>무선 및 위성 통신업</t>
        </is>
      </c>
      <c r="P84" t="inlineStr">
        <is>
          <t>무선데이타통신,정보통신/부가통신단말기 도소매/부동산 임대/소프트웨어 개발,자문,판매</t>
        </is>
      </c>
      <c r="Q84" t="inlineStr">
        <is>
          <t>서울 성동구 성수동2가 284-55번지 서울숲에스케이브이1타워 1509호</t>
        </is>
      </c>
      <c r="R84" t="inlineStr">
        <is>
          <t>서울 성동구 성수일로8길 5, 1509호 (성수동2가,서울숲에스케이브이1타워)</t>
        </is>
      </c>
    </row>
    <row r="85" ht="19.2" customHeight="1" s="1">
      <c r="A85" t="inlineStr">
        <is>
          <t>NICE:064944</t>
        </is>
      </c>
      <c r="B85" t="inlineStr">
        <is>
          <t>헬리코리아</t>
        </is>
      </c>
      <c r="C85" t="inlineStr">
        <is>
          <t>민경조/민세홍</t>
        </is>
      </c>
      <c r="D85" t="inlineStr">
        <is>
          <t>042-633-8900</t>
        </is>
      </c>
      <c r="E85" t="inlineStr">
        <is>
          <t>042-624-8400</t>
        </is>
      </c>
      <c r="F85" s="3">
        <f>HYPERLINK("http://www.helikorea.co.kr", "http://www.helikorea.co.kr")</f>
        <v/>
      </c>
      <c r="G85" t="inlineStr">
        <is>
          <t>3068126038</t>
        </is>
      </c>
      <c r="H85" t="inlineStr">
        <is>
          <t>1601110055065</t>
        </is>
      </c>
      <c r="I85" t="inlineStr">
        <is>
          <t>대상아님</t>
        </is>
      </c>
      <c r="J85" t="inlineStr">
        <is>
          <t>일반법인</t>
        </is>
      </c>
      <c r="K85" t="inlineStr">
        <is>
          <t>중소기업</t>
        </is>
      </c>
      <c r="L85" t="inlineStr">
        <is>
          <t>외부감사대상</t>
        </is>
      </c>
      <c r="M85" s="6" t="inlineStr">
        <is>
          <t>1996-07-06</t>
        </is>
      </c>
      <c r="N85" t="inlineStr">
        <is>
          <t>KRI:10H5120000</t>
        </is>
      </c>
      <c r="O85" t="inlineStr">
        <is>
          <t>항공 화물 운송업</t>
        </is>
      </c>
      <c r="P85" t="inlineStr">
        <is>
          <t>항공화물운송/항공기 정비,부푼품 판매</t>
        </is>
      </c>
      <c r="Q85" t="inlineStr">
        <is>
          <t>대전 대덕구 대화동 282-16번지</t>
        </is>
      </c>
      <c r="R85" t="inlineStr">
        <is>
          <t>대전 대덕구 한밭대로1003번길 158</t>
        </is>
      </c>
    </row>
    <row r="86" ht="19.2" customHeight="1" s="1">
      <c r="A86" t="inlineStr">
        <is>
          <t>NICE:066182</t>
        </is>
      </c>
      <c r="B86" t="inlineStr">
        <is>
          <t>무림파워텍</t>
        </is>
      </c>
      <c r="C86" t="inlineStr">
        <is>
          <t>임용수</t>
        </is>
      </c>
      <c r="D86" t="inlineStr">
        <is>
          <t>055-760-1100</t>
        </is>
      </c>
      <c r="E86" t="inlineStr">
        <is>
          <t>055-760-1114</t>
        </is>
      </c>
      <c r="F86" s="3">
        <f>HYPERLINK("http://www.moorimpowertech.co.kr", "http://www.moorimpowertech.co.kr")</f>
        <v/>
      </c>
      <c r="G86" t="inlineStr">
        <is>
          <t>6138110695</t>
        </is>
      </c>
      <c r="H86" t="inlineStr">
        <is>
          <t>1911110010575</t>
        </is>
      </c>
      <c r="I86" t="inlineStr">
        <is>
          <t>대상아님</t>
        </is>
      </c>
      <c r="J86" t="inlineStr">
        <is>
          <t>일반법인</t>
        </is>
      </c>
      <c r="K86" t="inlineStr">
        <is>
          <t>중견기업</t>
        </is>
      </c>
      <c r="L86" t="inlineStr">
        <is>
          <t>외부감사대상</t>
        </is>
      </c>
      <c r="M86" s="6" t="inlineStr">
        <is>
          <t>1995-03-30</t>
        </is>
      </c>
      <c r="N86" t="inlineStr">
        <is>
          <t>KRI:10D3530000</t>
        </is>
      </c>
      <c r="O86" t="inlineStr">
        <is>
          <t>증기, 냉ㆍ온수 및 공기조절 공급업</t>
        </is>
      </c>
      <c r="P86" t="inlineStr">
        <is>
          <t>증기 공급/화력발전(증기터빈 이용)</t>
        </is>
      </c>
      <c r="Q86" t="inlineStr">
        <is>
          <t>경남 진주시 상대동 41-6번지</t>
        </is>
      </c>
      <c r="R86" t="inlineStr">
        <is>
          <t>경남 진주시 남강로1317번길 24</t>
        </is>
      </c>
    </row>
    <row r="87" ht="19.2" customHeight="1" s="1">
      <c r="A87" t="inlineStr">
        <is>
          <t>NICE:069884</t>
        </is>
      </c>
      <c r="B87" t="inlineStr">
        <is>
          <t>신한종합건축사사무소</t>
        </is>
      </c>
      <c r="C87" t="inlineStr">
        <is>
          <t>송영인</t>
        </is>
      </c>
      <c r="D87" t="inlineStr">
        <is>
          <t>02-405-8114</t>
        </is>
      </c>
      <c r="E87" t="inlineStr">
        <is>
          <t>02-405-8100</t>
        </is>
      </c>
      <c r="F87" s="3">
        <f>HYPERLINK("http://www.shinhana.com", "http://www.shinhana.com")</f>
        <v/>
      </c>
      <c r="G87" t="inlineStr">
        <is>
          <t>2158123448</t>
        </is>
      </c>
      <c r="H87" t="inlineStr">
        <is>
          <t>1101110192875</t>
        </is>
      </c>
      <c r="I87" t="inlineStr">
        <is>
          <t>대상아님</t>
        </is>
      </c>
      <c r="J87" t="inlineStr">
        <is>
          <t>일반법인</t>
        </is>
      </c>
      <c r="K87" t="inlineStr">
        <is>
          <t>중소기업</t>
        </is>
      </c>
      <c r="L87" t="inlineStr">
        <is>
          <t>외부감사대상</t>
        </is>
      </c>
      <c r="M87" s="6" t="inlineStr">
        <is>
          <t>1976-03-09</t>
        </is>
      </c>
      <c r="N87" t="inlineStr">
        <is>
          <t>KRI:10M7211100</t>
        </is>
      </c>
      <c r="O87" t="inlineStr">
        <is>
          <t>건축설계 및 관련 서비스업</t>
        </is>
      </c>
      <c r="P87" t="inlineStr">
        <is>
          <t>건축 시공감리,설계감리,사업개발,타당성검토용역/학술,연구용역/부동산 임대</t>
        </is>
      </c>
      <c r="Q87" t="inlineStr">
        <is>
          <t>서울 강남구 삼성동 168-23번지 정석빌딩 2층-4층</t>
        </is>
      </c>
      <c r="R87" t="inlineStr">
        <is>
          <t>서울 강남구 테헤란로103길 17, 2층-4층 (삼성동,정석빌딩)</t>
        </is>
      </c>
    </row>
    <row r="88" ht="19.2" customHeight="1" s="1">
      <c r="A88" t="inlineStr">
        <is>
          <t>NICE:071820</t>
        </is>
      </c>
      <c r="B88" t="inlineStr">
        <is>
          <t>쿠리타한수</t>
        </is>
      </c>
      <c r="C88" t="inlineStr">
        <is>
          <t>시노카와나오유키</t>
        </is>
      </c>
      <c r="D88" t="inlineStr">
        <is>
          <t>031-789-1700</t>
        </is>
      </c>
      <c r="E88" t="inlineStr">
        <is>
          <t>031-789-1705</t>
        </is>
      </c>
      <c r="F88" s="3">
        <f>HYPERLINK("http://www.kurita-hansu.com/", "http://www.kurita-hansu.com/")</f>
        <v/>
      </c>
      <c r="G88" t="inlineStr">
        <is>
          <t>2198100127</t>
        </is>
      </c>
      <c r="H88" t="inlineStr">
        <is>
          <t>1101110574346</t>
        </is>
      </c>
      <c r="I88" t="inlineStr">
        <is>
          <t>대상아님</t>
        </is>
      </c>
      <c r="J88" t="inlineStr">
        <is>
          <t>일반법인</t>
        </is>
      </c>
      <c r="K88" t="inlineStr">
        <is>
          <t>중견기업</t>
        </is>
      </c>
      <c r="L88" t="inlineStr">
        <is>
          <t>외부감사대상</t>
        </is>
      </c>
      <c r="M88" s="6" t="inlineStr">
        <is>
          <t>1988-05-11</t>
        </is>
      </c>
      <c r="N88" t="inlineStr">
        <is>
          <t>KRI:10C2917500</t>
        </is>
      </c>
      <c r="O88" t="inlineStr">
        <is>
          <t>액체 여과기 제조업</t>
        </is>
      </c>
      <c r="P88" t="inlineStr">
        <is>
          <t>수처리장치(초순수제조장치,정수시설) 제조/수처리화공약품,시약 도소매/기계설비공사,강구조물공사/기술용역</t>
        </is>
      </c>
      <c r="Q88" t="inlineStr">
        <is>
          <t>경기 성남시 분당구 구미동 7-1번지 4층 (사)한국과학기술한림원</t>
        </is>
      </c>
      <c r="R88" t="inlineStr">
        <is>
          <t>경기 성남시 분당구 돌마로 42, 4층 (사)한국과학기술한림원</t>
        </is>
      </c>
    </row>
    <row r="89" ht="19.2" customHeight="1" s="1">
      <c r="A89" t="inlineStr">
        <is>
          <t>NICE:073262</t>
        </is>
      </c>
      <c r="B89" t="inlineStr">
        <is>
          <t>기웅정보통신</t>
        </is>
      </c>
      <c r="C89" t="inlineStr">
        <is>
          <t>최병인</t>
        </is>
      </c>
      <c r="D89" t="inlineStr">
        <is>
          <t>02-3463-5975</t>
        </is>
      </c>
      <c r="E89" t="inlineStr">
        <is>
          <t>02-3463-5977</t>
        </is>
      </c>
      <c r="F89" s="3">
        <f>HYPERLINK("https://dataapi.co.kr", "https://dataapi.co.kr")</f>
        <v/>
      </c>
      <c r="G89" t="inlineStr">
        <is>
          <t>2148159394</t>
        </is>
      </c>
      <c r="H89" t="inlineStr">
        <is>
          <t>1101110933518</t>
        </is>
      </c>
      <c r="I89" t="inlineStr">
        <is>
          <t>대상아님</t>
        </is>
      </c>
      <c r="J89" t="inlineStr">
        <is>
          <t>일반법인</t>
        </is>
      </c>
      <c r="K89" t="inlineStr">
        <is>
          <t>중소기업</t>
        </is>
      </c>
      <c r="L89" t="inlineStr">
        <is>
          <t>외부감사대상</t>
        </is>
      </c>
      <c r="M89" s="6" t="inlineStr">
        <is>
          <t>1993-04-08</t>
        </is>
      </c>
      <c r="N89" t="inlineStr">
        <is>
          <t>KRI:10J5822200</t>
        </is>
      </c>
      <c r="O89" t="inlineStr">
        <is>
          <t>응용 소프트웨어 개발 및 공급업</t>
        </is>
      </c>
      <c r="P89" t="inlineStr">
        <is>
          <t>소프트웨어 개발,공급/전자제품,컴퓨터주변기기 도소매</t>
        </is>
      </c>
      <c r="Q89" t="inlineStr">
        <is>
          <t>서울 금천구 가산동 550-1번지 아이티캐슬 2동 613호 , 614호, 615호</t>
        </is>
      </c>
      <c r="R89" t="inlineStr">
        <is>
          <t>서울 금천구 가산디지털2로 98, 2동 613호, 614호, 615호 (가산동,아이티캐슬)</t>
        </is>
      </c>
    </row>
    <row r="90">
      <c r="A90" t="inlineStr">
        <is>
          <t>NICE:077798</t>
        </is>
      </c>
      <c r="B90" t="inlineStr">
        <is>
          <t>세바토이</t>
        </is>
      </c>
      <c r="C90" t="inlineStr">
        <is>
          <t>이용일/이지원</t>
        </is>
      </c>
      <c r="D90" t="inlineStr">
        <is>
          <t>02-573-7216</t>
        </is>
      </c>
      <c r="E90" t="inlineStr">
        <is>
          <t>02-579-3370</t>
        </is>
      </c>
      <c r="G90" t="inlineStr">
        <is>
          <t>2208129158</t>
        </is>
      </c>
      <c r="H90" t="inlineStr">
        <is>
          <t>1101110528492</t>
        </is>
      </c>
      <c r="I90" t="inlineStr">
        <is>
          <t>대상아님</t>
        </is>
      </c>
      <c r="J90" t="inlineStr">
        <is>
          <t>일반법인</t>
        </is>
      </c>
      <c r="K90" t="inlineStr">
        <is>
          <t>중소기업</t>
        </is>
      </c>
      <c r="L90" t="inlineStr">
        <is>
          <t>외부감사대상</t>
        </is>
      </c>
      <c r="M90" s="6" t="inlineStr">
        <is>
          <t>1987-04-23</t>
        </is>
      </c>
      <c r="N90" t="inlineStr">
        <is>
          <t>KRI:10G4646300</t>
        </is>
      </c>
      <c r="O90" t="inlineStr">
        <is>
          <t>장난감 및 취미, 오락용품 도매업</t>
        </is>
      </c>
      <c r="P90" t="inlineStr">
        <is>
          <t>봉제완구 도매,수출,제조</t>
        </is>
      </c>
      <c r="Q90" t="inlineStr">
        <is>
          <t>서울 서초구 양재동 124-5번지 4층</t>
        </is>
      </c>
      <c r="R90" t="inlineStr">
        <is>
          <t>서울 서초구 양재천로19길 21, 4층</t>
        </is>
      </c>
    </row>
    <row r="91" ht="19.2" customHeight="1" s="1">
      <c r="A91" t="inlineStr">
        <is>
          <t>NICE:079780</t>
        </is>
      </c>
      <c r="B91" t="inlineStr">
        <is>
          <t>삼남제약</t>
        </is>
      </c>
      <c r="C91" t="inlineStr">
        <is>
          <t>김호택</t>
        </is>
      </c>
      <c r="D91" t="inlineStr">
        <is>
          <t>041-754-3771</t>
        </is>
      </c>
      <c r="E91" t="inlineStr">
        <is>
          <t>041-752-0086</t>
        </is>
      </c>
      <c r="F91" s="3">
        <f>HYPERLINK("http://www.samnam51.com", "http://www.samnam51.com")</f>
        <v/>
      </c>
      <c r="G91" t="inlineStr">
        <is>
          <t>3058118345</t>
        </is>
      </c>
      <c r="H91" t="inlineStr">
        <is>
          <t>1642110002127</t>
        </is>
      </c>
      <c r="I91" t="inlineStr">
        <is>
          <t>대상아님</t>
        </is>
      </c>
      <c r="J91" t="inlineStr">
        <is>
          <t>일반법인</t>
        </is>
      </c>
      <c r="K91" t="inlineStr">
        <is>
          <t>중소기업</t>
        </is>
      </c>
      <c r="L91" t="inlineStr">
        <is>
          <t>외부감사대상</t>
        </is>
      </c>
      <c r="M91" s="6" t="inlineStr">
        <is>
          <t>1951-05-23</t>
        </is>
      </c>
      <c r="N91" t="inlineStr">
        <is>
          <t>KRI:10C2121000</t>
        </is>
      </c>
      <c r="O91" t="inlineStr">
        <is>
          <t>완제 의약품 제조업</t>
        </is>
      </c>
      <c r="P91" t="inlineStr">
        <is>
          <t>의약품 제조,도매</t>
        </is>
      </c>
      <c r="Q91" t="inlineStr">
        <is>
          <t>충남 금산군 금산읍 상리 99-1번지</t>
        </is>
      </c>
      <c r="R91" t="inlineStr">
        <is>
          <t>충남 금산군 금산읍 인삼로 77</t>
        </is>
      </c>
    </row>
    <row r="92" ht="19.2" customHeight="1" s="1">
      <c r="A92" t="inlineStr">
        <is>
          <t>NICE:082369</t>
        </is>
      </c>
      <c r="B92" t="inlineStr">
        <is>
          <t>다보코퍼레이션</t>
        </is>
      </c>
      <c r="C92" t="inlineStr">
        <is>
          <t>유창훈</t>
        </is>
      </c>
      <c r="D92" t="inlineStr">
        <is>
          <t>02-2615-9999</t>
        </is>
      </c>
      <c r="E92" t="inlineStr">
        <is>
          <t>02-2108-5555</t>
        </is>
      </c>
      <c r="F92" s="3">
        <f>HYPERLINK("http://www.dabo-corp.com", "http://www.dabo-corp.com")</f>
        <v/>
      </c>
      <c r="G92" t="inlineStr">
        <is>
          <t>1138143191</t>
        </is>
      </c>
      <c r="H92" t="inlineStr">
        <is>
          <t>1101111412785</t>
        </is>
      </c>
      <c r="I92" t="inlineStr">
        <is>
          <t>대상아님</t>
        </is>
      </c>
      <c r="J92" t="inlineStr">
        <is>
          <t>일반법인</t>
        </is>
      </c>
      <c r="K92" t="inlineStr">
        <is>
          <t>중소기업</t>
        </is>
      </c>
      <c r="L92" t="inlineStr">
        <is>
          <t>외부감사대상</t>
        </is>
      </c>
      <c r="M92" s="6" t="inlineStr">
        <is>
          <t>1997-05-12</t>
        </is>
      </c>
      <c r="N92" t="inlineStr">
        <is>
          <t>KRI:10G4659500</t>
        </is>
      </c>
      <c r="O92" t="inlineStr">
        <is>
          <t>전기용 기계ㆍ장비 및 관련 기자재 도매업</t>
        </is>
      </c>
      <c r="P92" t="inlineStr">
        <is>
          <t>반도체,전기,전자부품,자동차부품 도소매,무역/연구개발,기술용역</t>
        </is>
      </c>
      <c r="Q92" t="inlineStr">
        <is>
          <t>서울 금천구 가산동 448번지 대륭테크노타운3차 909호</t>
        </is>
      </c>
      <c r="R92" t="inlineStr">
        <is>
          <t>서울 금천구 가산디지털2로 115, 909호 (가산동,대륭테크노타운3차)</t>
        </is>
      </c>
    </row>
    <row r="93" ht="19.2" customHeight="1" s="1">
      <c r="A93" t="inlineStr">
        <is>
          <t>NICE:082479</t>
        </is>
      </c>
      <c r="B93" t="inlineStr">
        <is>
          <t>화성코스메틱</t>
        </is>
      </c>
      <c r="C93" t="inlineStr">
        <is>
          <t>김태원</t>
        </is>
      </c>
      <c r="D93" t="inlineStr">
        <is>
          <t>031-996-2187</t>
        </is>
      </c>
      <c r="E93" t="inlineStr">
        <is>
          <t>031-996-2188</t>
        </is>
      </c>
      <c r="F93" s="3">
        <f>HYPERLINK("http://www.hwasungcos.com", "http://www.hwasungcos.com")</f>
        <v/>
      </c>
      <c r="G93" t="inlineStr">
        <is>
          <t>1308143987</t>
        </is>
      </c>
      <c r="H93" t="inlineStr">
        <is>
          <t>1243110042088</t>
        </is>
      </c>
      <c r="I93" t="inlineStr">
        <is>
          <t>대상아님</t>
        </is>
      </c>
      <c r="J93" t="inlineStr">
        <is>
          <t>일반법인</t>
        </is>
      </c>
      <c r="K93" t="inlineStr">
        <is>
          <t>중소기업</t>
        </is>
      </c>
      <c r="L93" t="inlineStr">
        <is>
          <t>외부감사대상</t>
        </is>
      </c>
      <c r="M93" s="6" t="inlineStr">
        <is>
          <t>1994-03-31</t>
        </is>
      </c>
      <c r="N93" t="inlineStr">
        <is>
          <t>KRI:10C2042300</t>
        </is>
      </c>
      <c r="O93" t="inlineStr">
        <is>
          <t>화장품 제조업</t>
        </is>
      </c>
      <c r="P93" t="inlineStr">
        <is>
          <t>화장품(화장용연필,색조화장품) 제조,도소매,무역/부동산 임대</t>
        </is>
      </c>
      <c r="Q93" t="inlineStr">
        <is>
          <t>경기 김포시 양촌읍 학운리 3233번지</t>
        </is>
      </c>
      <c r="R93" t="inlineStr">
        <is>
          <t>경기 김포시 양촌읍 학운산단1로 23</t>
        </is>
      </c>
    </row>
    <row r="94" ht="19.2" customHeight="1" s="1">
      <c r="A94" t="inlineStr">
        <is>
          <t>NICE:083197</t>
        </is>
      </c>
      <c r="B94" t="inlineStr">
        <is>
          <t>신공항하이웨이</t>
        </is>
      </c>
      <c r="C94" t="inlineStr">
        <is>
          <t>방종구</t>
        </is>
      </c>
      <c r="D94" t="inlineStr">
        <is>
          <t>032-560-6114</t>
        </is>
      </c>
      <c r="E94" t="inlineStr">
        <is>
          <t>032-560-6199</t>
        </is>
      </c>
      <c r="F94" s="3">
        <f>HYPERLINK("http://www.hiway21.com", "http://www.hiway21.com")</f>
        <v/>
      </c>
      <c r="G94" t="inlineStr">
        <is>
          <t>2298113691</t>
        </is>
      </c>
      <c r="H94" t="inlineStr">
        <is>
          <t>1101111219909</t>
        </is>
      </c>
      <c r="I94" t="inlineStr">
        <is>
          <t>대상아님</t>
        </is>
      </c>
      <c r="J94" t="inlineStr">
        <is>
          <t>일반법인</t>
        </is>
      </c>
      <c r="K94" t="inlineStr">
        <is>
          <t>중견기업</t>
        </is>
      </c>
      <c r="L94" t="inlineStr">
        <is>
          <t>외부감사대상</t>
        </is>
      </c>
      <c r="M94" s="6" t="inlineStr">
        <is>
          <t>1995-12-06</t>
        </is>
      </c>
      <c r="N94" t="inlineStr">
        <is>
          <t>KRI:10H5291400</t>
        </is>
      </c>
      <c r="O94" t="inlineStr">
        <is>
          <t>도로 및 관련시설 운영업</t>
        </is>
      </c>
      <c r="P94" t="inlineStr">
        <is>
          <t>고속도로 운영,관리</t>
        </is>
      </c>
      <c r="Q94" t="inlineStr">
        <is>
          <t>인천 서구 검암동 414-66번지</t>
        </is>
      </c>
      <c r="R94" t="inlineStr">
        <is>
          <t>인천 서구 봉수대로 1048</t>
        </is>
      </c>
    </row>
    <row r="95" ht="19.2" customHeight="1" s="1">
      <c r="A95" t="inlineStr">
        <is>
          <t>NICE:083214</t>
        </is>
      </c>
      <c r="B95" t="inlineStr">
        <is>
          <t>커민스판매써비스코리아</t>
        </is>
      </c>
      <c r="C95" t="inlineStr">
        <is>
          <t>박인경</t>
        </is>
      </c>
      <c r="D95" t="inlineStr">
        <is>
          <t>041-620-9201</t>
        </is>
      </c>
      <c r="E95" t="inlineStr">
        <is>
          <t>041-621-9122</t>
        </is>
      </c>
      <c r="F95" s="3">
        <f>HYPERLINK("http://www.cummins.co.kr", "http://www.cummins.co.kr")</f>
        <v/>
      </c>
      <c r="G95" t="inlineStr">
        <is>
          <t>1248147182</t>
        </is>
      </c>
      <c r="H95" t="inlineStr">
        <is>
          <t>1348110027955</t>
        </is>
      </c>
      <c r="I95" t="inlineStr">
        <is>
          <t>대상아님</t>
        </is>
      </c>
      <c r="J95" t="inlineStr">
        <is>
          <t>일반법인</t>
        </is>
      </c>
      <c r="K95" t="inlineStr">
        <is>
          <t>중소기업</t>
        </is>
      </c>
      <c r="L95" t="inlineStr">
        <is>
          <t>외부감사대상</t>
        </is>
      </c>
      <c r="M95" s="6" t="inlineStr">
        <is>
          <t>1996-12-09</t>
        </is>
      </c>
      <c r="N95" t="inlineStr">
        <is>
          <t>KRI:10G4659500</t>
        </is>
      </c>
      <c r="O95" t="inlineStr">
        <is>
          <t>전기용 기계ㆍ장비 및 관련 기자재 도매업</t>
        </is>
      </c>
      <c r="P95" t="inlineStr">
        <is>
          <t>전동기,발전기,디젤엔진(선박용,산업용),엔진부품 도매,무역,정비</t>
        </is>
      </c>
      <c r="Q95" t="inlineStr">
        <is>
          <t>충남 천안시 서북구 성거읍 천흥리 354-2번지</t>
        </is>
      </c>
      <c r="R95" t="inlineStr">
        <is>
          <t>충남 천안시 서북구 성거읍 성거길 228-1</t>
        </is>
      </c>
    </row>
    <row r="96" ht="19.2" customHeight="1" s="1">
      <c r="A96" t="inlineStr">
        <is>
          <t>NICE:083259</t>
        </is>
      </c>
      <c r="B96" t="inlineStr">
        <is>
          <t>대한에프에이시스템</t>
        </is>
      </c>
      <c r="C96" t="inlineStr">
        <is>
          <t>강영근</t>
        </is>
      </c>
      <c r="D96" t="inlineStr">
        <is>
          <t>02-2189-3700</t>
        </is>
      </c>
      <c r="E96" t="inlineStr">
        <is>
          <t>02-573-1904</t>
        </is>
      </c>
      <c r="F96" s="3">
        <f>HYPERLINK("http://www.kfa.co.kr", "http://www.kfa.co.kr")</f>
        <v/>
      </c>
      <c r="G96" t="inlineStr">
        <is>
          <t>2148107237</t>
        </is>
      </c>
      <c r="H96" t="inlineStr">
        <is>
          <t>1101110562193</t>
        </is>
      </c>
      <c r="I96" t="inlineStr">
        <is>
          <t>대상아님</t>
        </is>
      </c>
      <c r="J96" t="inlineStr">
        <is>
          <t>일반법인</t>
        </is>
      </c>
      <c r="K96" t="inlineStr">
        <is>
          <t>중소기업</t>
        </is>
      </c>
      <c r="L96" t="inlineStr">
        <is>
          <t>외부감사대상</t>
        </is>
      </c>
      <c r="M96" s="6" t="inlineStr">
        <is>
          <t>1988-02-12</t>
        </is>
      </c>
      <c r="N96" t="inlineStr">
        <is>
          <t>KRI:10J5822100</t>
        </is>
      </c>
      <c r="O96" t="inlineStr">
        <is>
          <t>시스템 소프트웨어 개발 및 공급업</t>
        </is>
      </c>
      <c r="P96" t="inlineStr">
        <is>
          <t>소프트웨어(MES생산관리시스템,PLC제어) 개발/장비 도매</t>
        </is>
      </c>
      <c r="Q96" t="inlineStr">
        <is>
          <t>서울 강남구 삼성동 145-9번지 석천빌딩 3층</t>
        </is>
      </c>
      <c r="R96" t="inlineStr">
        <is>
          <t>서울 강남구 삼성로 570, 3층 (삼성동,석천빌딩)</t>
        </is>
      </c>
    </row>
    <row r="97" ht="19.2" customHeight="1" s="1">
      <c r="A97" t="inlineStr">
        <is>
          <t>NICE:085018</t>
        </is>
      </c>
      <c r="B97" t="inlineStr">
        <is>
          <t>씨지앤코리아홀딩스</t>
        </is>
      </c>
      <c r="C97" t="inlineStr">
        <is>
          <t>슈린</t>
        </is>
      </c>
      <c r="D97" t="inlineStr">
        <is>
          <t>061-720-3000</t>
        </is>
      </c>
      <c r="E97" t="inlineStr">
        <is>
          <t>061-720-3099</t>
        </is>
      </c>
      <c r="F97" s="3">
        <f>HYPERLINK("http://www.cgnholdings.co.kr", "http://www.cgnholdings.co.kr")</f>
        <v/>
      </c>
      <c r="G97" t="inlineStr">
        <is>
          <t>4178113721</t>
        </is>
      </c>
      <c r="H97" t="inlineStr">
        <is>
          <t>2062110006582</t>
        </is>
      </c>
      <c r="I97" t="inlineStr">
        <is>
          <t>대상아님</t>
        </is>
      </c>
      <c r="J97" t="inlineStr">
        <is>
          <t>일반법인</t>
        </is>
      </c>
      <c r="K97" t="inlineStr">
        <is>
          <t>중견기업</t>
        </is>
      </c>
      <c r="L97" t="inlineStr">
        <is>
          <t>외부감사대상</t>
        </is>
      </c>
      <c r="M97" s="6" t="inlineStr">
        <is>
          <t>1996-11-22</t>
        </is>
      </c>
      <c r="N97" t="inlineStr">
        <is>
          <t>KRI:10K6499200</t>
        </is>
      </c>
      <c r="O97" t="inlineStr">
        <is>
          <t>지주회사</t>
        </is>
      </c>
      <c r="P97" t="inlineStr">
        <is>
          <t>비금융 지주회사</t>
        </is>
      </c>
      <c r="Q97" t="inlineStr">
        <is>
          <t>전남 광양시 광양읍 세풍리 2199번지</t>
        </is>
      </c>
      <c r="R97" t="inlineStr">
        <is>
          <t>전남 광양시 광양읍 인덕로 360-202</t>
        </is>
      </c>
    </row>
    <row r="98" ht="19.2" customHeight="1" s="1">
      <c r="A98" t="inlineStr">
        <is>
          <t>NICE:085323</t>
        </is>
      </c>
      <c r="B98" t="inlineStr">
        <is>
          <t>매직캔</t>
        </is>
      </c>
      <c r="C98" t="inlineStr">
        <is>
          <t>장광옥</t>
        </is>
      </c>
      <c r="D98" t="inlineStr">
        <is>
          <t>041-541-2557</t>
        </is>
      </c>
      <c r="E98" t="inlineStr">
        <is>
          <t>041-541-2555</t>
        </is>
      </c>
      <c r="F98" s="3">
        <f>HYPERLINK("http://www.magikan.co.kr", "http://www.magikan.co.kr")</f>
        <v/>
      </c>
      <c r="G98" t="inlineStr">
        <is>
          <t>1248178837</t>
        </is>
      </c>
      <c r="H98" t="inlineStr">
        <is>
          <t>1348110055138</t>
        </is>
      </c>
      <c r="I98" t="inlineStr">
        <is>
          <t>대상아님</t>
        </is>
      </c>
      <c r="J98" t="inlineStr">
        <is>
          <t>일반법인</t>
        </is>
      </c>
      <c r="K98" t="inlineStr">
        <is>
          <t>중소기업</t>
        </is>
      </c>
      <c r="L98" t="inlineStr">
        <is>
          <t>외부감사대상</t>
        </is>
      </c>
      <c r="M98" s="6" t="inlineStr">
        <is>
          <t>2000-11-23</t>
        </is>
      </c>
      <c r="N98" t="inlineStr">
        <is>
          <t>KRI:10C2229900</t>
        </is>
      </c>
      <c r="O98" t="inlineStr">
        <is>
          <t>그 외 기타 플라스틱 제품 제조업</t>
        </is>
      </c>
      <c r="P98" t="inlineStr">
        <is>
          <t>병마개,조립금속제품,플라스틱제품,금속제품,의료용구 제조/무역,전자상거래</t>
        </is>
      </c>
      <c r="Q98" t="inlineStr">
        <is>
          <t>충남 아산시 인주면 걸매리 1038번지</t>
        </is>
      </c>
      <c r="R98" t="inlineStr">
        <is>
          <t>충남 아산시 인주면 인주산단로 75-61</t>
        </is>
      </c>
    </row>
    <row r="99" ht="19.2" customHeight="1" s="1">
      <c r="A99" t="inlineStr">
        <is>
          <t>NICE:086686</t>
        </is>
      </c>
      <c r="B99" t="inlineStr">
        <is>
          <t>산켄엘렉트릭코리아</t>
        </is>
      </c>
      <c r="C99" t="inlineStr">
        <is>
          <t>이명준</t>
        </is>
      </c>
      <c r="D99" t="inlineStr">
        <is>
          <t>02-714-3700</t>
        </is>
      </c>
      <c r="E99" t="inlineStr">
        <is>
          <t>02-3272-2145</t>
        </is>
      </c>
      <c r="F99" s="3">
        <f>HYPERLINK("http://www.sanken.co.kr", "http://www.sanken.co.kr")</f>
        <v/>
      </c>
      <c r="G99" t="inlineStr">
        <is>
          <t>1058610146</t>
        </is>
      </c>
      <c r="H99" t="inlineStr">
        <is>
          <t>1101111928253</t>
        </is>
      </c>
      <c r="I99" t="inlineStr">
        <is>
          <t>대상아님</t>
        </is>
      </c>
      <c r="J99" t="inlineStr">
        <is>
          <t>일반법인</t>
        </is>
      </c>
      <c r="K99" t="inlineStr">
        <is>
          <t>중소기업</t>
        </is>
      </c>
      <c r="L99" t="inlineStr">
        <is>
          <t>외부감사대상</t>
        </is>
      </c>
      <c r="M99" s="6" t="inlineStr">
        <is>
          <t>2000-04-01</t>
        </is>
      </c>
      <c r="N99" t="inlineStr">
        <is>
          <t>KRI:10G4659500</t>
        </is>
      </c>
      <c r="O99" t="inlineStr">
        <is>
          <t>전기용 기계ㆍ장비 및 관련 기자재 도매업</t>
        </is>
      </c>
      <c r="P99" t="inlineStr">
        <is>
          <t>전기기계기구 도매,중개,개발,설계,무역</t>
        </is>
      </c>
      <c r="Q99" t="inlineStr">
        <is>
          <t>서울 강서구 마곡동 797-6번지 건와빌딩 4층</t>
        </is>
      </c>
      <c r="R99" t="inlineStr">
        <is>
          <t>서울 강서구 마곡동로 56, 4층 (마곡동,건와빌딩)</t>
        </is>
      </c>
    </row>
    <row r="100" ht="19.2" customHeight="1" s="1">
      <c r="A100" t="inlineStr">
        <is>
          <t>NICE:087467</t>
        </is>
      </c>
      <c r="B100" t="inlineStr">
        <is>
          <t>태크마린</t>
        </is>
      </c>
      <c r="C100" t="inlineStr">
        <is>
          <t>조경훈</t>
        </is>
      </c>
      <c r="D100" t="inlineStr">
        <is>
          <t>02-776-2545</t>
        </is>
      </c>
      <c r="E100" t="inlineStr">
        <is>
          <t>02-774-0766</t>
        </is>
      </c>
      <c r="F100" s="3">
        <f>HYPERLINK("http://www.techmarine.co.kr", "http://www.techmarine.co.kr")</f>
        <v/>
      </c>
      <c r="G100" t="inlineStr">
        <is>
          <t>1048137055</t>
        </is>
      </c>
      <c r="H100" t="inlineStr">
        <is>
          <t>1101110315823</t>
        </is>
      </c>
      <c r="I100" t="inlineStr">
        <is>
          <t>대상아님</t>
        </is>
      </c>
      <c r="J100" t="inlineStr">
        <is>
          <t>일반법인</t>
        </is>
      </c>
      <c r="K100" t="inlineStr">
        <is>
          <t>중소기업</t>
        </is>
      </c>
      <c r="L100" t="inlineStr">
        <is>
          <t>외부감사대상</t>
        </is>
      </c>
      <c r="M100" s="6" t="inlineStr">
        <is>
          <t>1982-03-26</t>
        </is>
      </c>
      <c r="N100" t="inlineStr">
        <is>
          <t>KRI:10H5011200</t>
        </is>
      </c>
      <c r="O100" t="inlineStr">
        <is>
          <t>외항 화물 운송업</t>
        </is>
      </c>
      <c r="P100" t="inlineStr">
        <is>
          <t>해상화물 운송(시멘트),선박 임대/사업 중개,주선</t>
        </is>
      </c>
      <c r="Q100" t="inlineStr">
        <is>
          <t>서울 중구 남대문로5가 120번지</t>
        </is>
      </c>
      <c r="R100" t="inlineStr">
        <is>
          <t>서울 중구 소월로 10</t>
        </is>
      </c>
    </row>
    <row r="101" ht="19.2" customHeight="1" s="1">
      <c r="A101" t="inlineStr">
        <is>
          <t>NICE:088357</t>
        </is>
      </c>
      <c r="B101" t="inlineStr">
        <is>
          <t>라인건설</t>
        </is>
      </c>
      <c r="C101" t="inlineStr">
        <is>
          <t>권윤</t>
        </is>
      </c>
      <c r="D101" t="inlineStr">
        <is>
          <t>062-624-0265</t>
        </is>
      </c>
      <c r="F101" s="3">
        <f>HYPERLINK("http://www.linecon.co.kr", "http://www.linecon.co.kr")</f>
        <v/>
      </c>
      <c r="G101" t="inlineStr">
        <is>
          <t>6168103970</t>
        </is>
      </c>
      <c r="H101" t="inlineStr">
        <is>
          <t>2201110002659</t>
        </is>
      </c>
      <c r="I101" t="inlineStr">
        <is>
          <t>대상아님</t>
        </is>
      </c>
      <c r="J101" t="inlineStr">
        <is>
          <t>일반법인</t>
        </is>
      </c>
      <c r="K101" t="inlineStr">
        <is>
          <t>중견기업</t>
        </is>
      </c>
      <c r="L101" t="inlineStr">
        <is>
          <t>외부감사대상</t>
        </is>
      </c>
      <c r="M101" s="6" t="inlineStr">
        <is>
          <t>1982-03-29</t>
        </is>
      </c>
      <c r="N101" t="inlineStr">
        <is>
          <t>KRI:10F4122000</t>
        </is>
      </c>
      <c r="O101" t="inlineStr">
        <is>
          <t>토목시설물 건설업</t>
        </is>
      </c>
      <c r="P101" t="inlineStr">
        <is>
          <t>토목공사,주택신축판매(건설),조경공사,소방설비공사,전기공사,정보통신공사/부동산 임대</t>
        </is>
      </c>
      <c r="Q101" t="inlineStr">
        <is>
          <t>전남 담양군 무정면 봉안리 632-1번지</t>
        </is>
      </c>
      <c r="R101" t="inlineStr">
        <is>
          <t>전남 담양군 무정면 무정로 538</t>
        </is>
      </c>
    </row>
    <row r="102" ht="19.2" customHeight="1" s="1">
      <c r="A102" t="inlineStr">
        <is>
          <t>NICE:088452</t>
        </is>
      </c>
      <c r="B102" t="inlineStr">
        <is>
          <t>오리엔트</t>
        </is>
      </c>
      <c r="C102" t="inlineStr">
        <is>
          <t>박재민</t>
        </is>
      </c>
      <c r="D102" t="inlineStr">
        <is>
          <t>031-730-6018</t>
        </is>
      </c>
      <c r="E102" t="inlineStr">
        <is>
          <t>031-746-6412</t>
        </is>
      </c>
      <c r="F102" s="3">
        <f>HYPERLINK("http://www.orient-eng.co.kr", "http://www.orient-eng.co.kr")</f>
        <v/>
      </c>
      <c r="G102" t="inlineStr">
        <is>
          <t>1288163369</t>
        </is>
      </c>
      <c r="H102" t="inlineStr">
        <is>
          <t>1159110057721</t>
        </is>
      </c>
      <c r="I102" t="inlineStr">
        <is>
          <t>대상아님</t>
        </is>
      </c>
      <c r="J102" t="inlineStr">
        <is>
          <t>일반법인</t>
        </is>
      </c>
      <c r="K102" t="inlineStr">
        <is>
          <t>중소기업</t>
        </is>
      </c>
      <c r="L102" t="inlineStr">
        <is>
          <t>외부감사대상</t>
        </is>
      </c>
      <c r="M102" s="6" t="inlineStr">
        <is>
          <t>2001-10-04</t>
        </is>
      </c>
      <c r="N102" t="inlineStr">
        <is>
          <t>KRI:10G4659300</t>
        </is>
      </c>
      <c r="O102" t="inlineStr">
        <is>
          <t>정밀기기 및 과학기기 도매업</t>
        </is>
      </c>
      <c r="P102" t="inlineStr">
        <is>
          <t>실험용기기(사육기자재),클린룸 도매,제조/실험동물 공급/환경위생설비건설공사,토목공사,건축공사</t>
        </is>
      </c>
      <c r="Q102" t="inlineStr">
        <is>
          <t>경기 성남시 중원구 상대원동 143-1번지</t>
        </is>
      </c>
      <c r="R102" t="inlineStr">
        <is>
          <t>경기 성남시 중원구 갈마치로 322</t>
        </is>
      </c>
    </row>
    <row r="103" ht="19.2" customHeight="1" s="1">
      <c r="A103" t="inlineStr">
        <is>
          <t>NICE:089210</t>
        </is>
      </c>
      <c r="B103" t="inlineStr">
        <is>
          <t>에스에스피</t>
        </is>
      </c>
      <c r="C103" t="inlineStr">
        <is>
          <t>주희종</t>
        </is>
      </c>
      <c r="D103" t="inlineStr">
        <is>
          <t>032-822-0881</t>
        </is>
      </c>
      <c r="E103" t="inlineStr">
        <is>
          <t>032-822-0886</t>
        </is>
      </c>
      <c r="F103" s="3">
        <f>HYPERLINK("http://www.sspinc.co.kr", "http://www.sspinc.co.kr")</f>
        <v/>
      </c>
      <c r="G103" t="inlineStr">
        <is>
          <t>1368118716</t>
        </is>
      </c>
      <c r="H103" t="inlineStr">
        <is>
          <t>1244110024498</t>
        </is>
      </c>
      <c r="I103" t="inlineStr">
        <is>
          <t>대상아님</t>
        </is>
      </c>
      <c r="J103" t="inlineStr">
        <is>
          <t>일반법인</t>
        </is>
      </c>
      <c r="K103" t="inlineStr">
        <is>
          <t>중소기업</t>
        </is>
      </c>
      <c r="L103" t="inlineStr">
        <is>
          <t>외부감사대상</t>
        </is>
      </c>
      <c r="M103" s="6" t="inlineStr">
        <is>
          <t>1996-05-30</t>
        </is>
      </c>
      <c r="N103" t="inlineStr">
        <is>
          <t>KRI:10C2927100</t>
        </is>
      </c>
      <c r="O103" t="inlineStr">
        <is>
          <t>반도체 제조용 기계 제조업</t>
        </is>
      </c>
      <c r="P103" t="inlineStr">
        <is>
          <t>반도체기계 제조/부동산 임대</t>
        </is>
      </c>
      <c r="Q103" t="inlineStr">
        <is>
          <t>인천 연수구 송도동 7-42번지</t>
        </is>
      </c>
      <c r="R103" t="inlineStr">
        <is>
          <t>인천 연수구 갯벌로 53</t>
        </is>
      </c>
    </row>
    <row r="104" ht="19.2" customHeight="1" s="1">
      <c r="A104" t="inlineStr">
        <is>
          <t>NICE:090096</t>
        </is>
      </c>
      <c r="B104" t="inlineStr">
        <is>
          <t>진학사</t>
        </is>
      </c>
      <c r="C104" t="inlineStr">
        <is>
          <t>신원근</t>
        </is>
      </c>
      <c r="D104" t="inlineStr">
        <is>
          <t>02-2013-0526</t>
        </is>
      </c>
      <c r="E104" t="inlineStr">
        <is>
          <t>02-722-2537</t>
        </is>
      </c>
      <c r="F104" s="3">
        <f>HYPERLINK("http://www.jinhak.com", "http://www.jinhak.com")</f>
        <v/>
      </c>
      <c r="G104" t="inlineStr">
        <is>
          <t>1018157765</t>
        </is>
      </c>
      <c r="H104" t="inlineStr">
        <is>
          <t>1101111966930</t>
        </is>
      </c>
      <c r="I104" t="inlineStr">
        <is>
          <t>대상아님</t>
        </is>
      </c>
      <c r="J104" t="inlineStr">
        <is>
          <t>일반법인</t>
        </is>
      </c>
      <c r="K104" t="inlineStr">
        <is>
          <t>중소기업</t>
        </is>
      </c>
      <c r="L104" t="inlineStr">
        <is>
          <t>외부감사대상</t>
        </is>
      </c>
      <c r="M104" s="6" t="inlineStr">
        <is>
          <t>2000-05-12</t>
        </is>
      </c>
      <c r="N104" t="inlineStr">
        <is>
          <t>KRI:10J6399100</t>
        </is>
      </c>
      <c r="O104" t="inlineStr">
        <is>
          <t>데이터베이스 및 온라인정보 제공업</t>
        </is>
      </c>
      <c r="P104" t="inlineStr">
        <is>
          <t>온라인 정보제공(진학안내,인터넷원서접수),광고 대행,소프트웨어 개발,공급/서적 출판</t>
        </is>
      </c>
      <c r="Q104" t="inlineStr">
        <is>
          <t>서울 종로구 신문로2가 1-103번지</t>
        </is>
      </c>
      <c r="R104" t="inlineStr">
        <is>
          <t>서울 종로구 경희궁길 34</t>
        </is>
      </c>
    </row>
    <row r="105" ht="19.2" customHeight="1" s="1">
      <c r="A105" t="inlineStr">
        <is>
          <t>NICE:090847</t>
        </is>
      </c>
      <c r="B105" t="inlineStr">
        <is>
          <t>인텔리빅스</t>
        </is>
      </c>
      <c r="C105" t="inlineStr">
        <is>
          <t>장정훈/최은수</t>
        </is>
      </c>
      <c r="D105" t="inlineStr">
        <is>
          <t>02-581-3883</t>
        </is>
      </c>
      <c r="E105" t="inlineStr">
        <is>
          <t>02-581-3886</t>
        </is>
      </c>
      <c r="F105" s="3">
        <f>HYPERLINK("http://www.intellivix.ai/", "http://www.intellivix.ai/")</f>
        <v/>
      </c>
      <c r="G105" t="inlineStr">
        <is>
          <t>1148199927</t>
        </is>
      </c>
      <c r="H105" t="inlineStr">
        <is>
          <t>1101111995244</t>
        </is>
      </c>
      <c r="I105" t="inlineStr">
        <is>
          <t>대상아님</t>
        </is>
      </c>
      <c r="J105" t="inlineStr">
        <is>
          <t>일반법인</t>
        </is>
      </c>
      <c r="K105" t="inlineStr">
        <is>
          <t>중소기업</t>
        </is>
      </c>
      <c r="L105" t="inlineStr">
        <is>
          <t>외부감사대상</t>
        </is>
      </c>
      <c r="M105" s="6" t="inlineStr">
        <is>
          <t>2000-06-13</t>
        </is>
      </c>
      <c r="N105" t="inlineStr">
        <is>
          <t>KRI:10J5822200</t>
        </is>
      </c>
      <c r="O105" t="inlineStr">
        <is>
          <t>응용 소프트웨어 개발 및 공급업</t>
        </is>
      </c>
      <c r="P105" t="inlineStr">
        <is>
          <t>소프트웨어 개발,공급/컴퓨터하드웨어 제조/무역/부동산 임대</t>
        </is>
      </c>
      <c r="Q105" t="inlineStr">
        <is>
          <t>서울 서초구 방배동 984-3번지 프린스효령빌딩 6층 601호</t>
        </is>
      </c>
      <c r="R105" t="inlineStr">
        <is>
          <t>서울 서초구 효령로34길 4, 6층 601호 (방배동,프린스효령빌딩)</t>
        </is>
      </c>
    </row>
    <row r="106" ht="19.2" customHeight="1" s="1">
      <c r="A106" t="inlineStr">
        <is>
          <t>NICE:091803</t>
        </is>
      </c>
      <c r="B106" t="inlineStr">
        <is>
          <t>씨케이디한국</t>
        </is>
      </c>
      <c r="C106" t="inlineStr">
        <is>
          <t>우에노아키히로</t>
        </is>
      </c>
      <c r="D106" t="inlineStr">
        <is>
          <t>02-783-5201</t>
        </is>
      </c>
      <c r="E106" t="inlineStr">
        <is>
          <t>02-783-5204</t>
        </is>
      </c>
      <c r="F106" s="3">
        <f>HYPERLINK("http://www.ckdkorea.co.kr", "http://www.ckdkorea.co.kr")</f>
        <v/>
      </c>
      <c r="G106" t="inlineStr">
        <is>
          <t>1058642880</t>
        </is>
      </c>
      <c r="H106" t="inlineStr">
        <is>
          <t>1101112580953</t>
        </is>
      </c>
      <c r="I106" t="inlineStr">
        <is>
          <t>대상아님</t>
        </is>
      </c>
      <c r="J106" t="inlineStr">
        <is>
          <t>일반법인</t>
        </is>
      </c>
      <c r="K106" t="inlineStr">
        <is>
          <t>중견기업</t>
        </is>
      </c>
      <c r="L106" t="inlineStr">
        <is>
          <t>외부감사대상</t>
        </is>
      </c>
      <c r="M106" s="6" t="inlineStr">
        <is>
          <t>2002-08-01</t>
        </is>
      </c>
      <c r="N106" t="inlineStr">
        <is>
          <t>KRI:10G4659900</t>
        </is>
      </c>
      <c r="O106" t="inlineStr">
        <is>
          <t>그 외 기타 기계 및 장비 도매업</t>
        </is>
      </c>
      <c r="P106" t="inlineStr">
        <is>
          <t>공유압제어기기관련시스템,공유압제어기기관련시스템 도소매</t>
        </is>
      </c>
      <c r="Q106" t="inlineStr">
        <is>
          <t>서울 마포구 신수동 371-20번지 삼영빌딩 3층</t>
        </is>
      </c>
      <c r="R106" t="inlineStr">
        <is>
          <t>서울 마포구 신수로 44, 3층 (신수동,삼영빌딩)</t>
        </is>
      </c>
    </row>
    <row r="107" ht="19.2" customHeight="1" s="1">
      <c r="A107" t="inlineStr">
        <is>
          <t>NICE:091973</t>
        </is>
      </c>
      <c r="B107" t="inlineStr">
        <is>
          <t>지에스메디칼</t>
        </is>
      </c>
      <c r="C107" t="inlineStr">
        <is>
          <t>신민식</t>
        </is>
      </c>
      <c r="D107" t="inlineStr">
        <is>
          <t>02-2082-7777</t>
        </is>
      </c>
      <c r="E107" t="inlineStr">
        <is>
          <t>02-2082-7778</t>
        </is>
      </c>
      <c r="F107" s="3">
        <f>HYPERLINK("http://www.gsmedi.com", "http://www.gsmedi.com")</f>
        <v/>
      </c>
      <c r="G107" t="inlineStr">
        <is>
          <t>1148621778</t>
        </is>
      </c>
      <c r="H107" t="inlineStr">
        <is>
          <t>1101112603044</t>
        </is>
      </c>
      <c r="I107" t="inlineStr">
        <is>
          <t>대상아님</t>
        </is>
      </c>
      <c r="J107" t="inlineStr">
        <is>
          <t>일반법인</t>
        </is>
      </c>
      <c r="K107" t="inlineStr">
        <is>
          <t>중소기업</t>
        </is>
      </c>
      <c r="L107" t="inlineStr">
        <is>
          <t>외부감사대상</t>
        </is>
      </c>
      <c r="M107" s="6" t="inlineStr">
        <is>
          <t>2002-09-04</t>
        </is>
      </c>
      <c r="N107" t="inlineStr">
        <is>
          <t>KRI:10C2719900</t>
        </is>
      </c>
      <c r="O107" t="inlineStr">
        <is>
          <t>그 외 기타 의료용 기기 제조업</t>
        </is>
      </c>
      <c r="P107" t="inlineStr">
        <is>
          <t>의료기기,의료용보장구 제조,도매/무역/아파트형공장 임대</t>
        </is>
      </c>
      <c r="Q107" t="inlineStr">
        <is>
          <t>서울 금천구 가산동 505-14번지 코오롱디지털타워애스턴 1206,1207,1208,1209,1210호</t>
        </is>
      </c>
      <c r="R107" t="inlineStr">
        <is>
          <t>서울 금천구 가산디지털1로 212, 1206,1207,1208,1209,1210호 (가산동,코오롱디지털타워애스턴)</t>
        </is>
      </c>
    </row>
    <row r="108" ht="19.2" customHeight="1" s="1">
      <c r="A108" t="inlineStr">
        <is>
          <t>NICE:094789</t>
        </is>
      </c>
      <c r="B108" t="inlineStr">
        <is>
          <t>삼영엠티</t>
        </is>
      </c>
      <c r="C108" t="inlineStr">
        <is>
          <t>정원영/정재석</t>
        </is>
      </c>
      <c r="D108" t="inlineStr">
        <is>
          <t>051-971-3001</t>
        </is>
      </c>
      <c r="E108" t="inlineStr">
        <is>
          <t>051-971-2681</t>
        </is>
      </c>
      <c r="F108" s="3">
        <f>HYPERLINK("http://www.symold.co.kr", "http://www.symold.co.kr")</f>
        <v/>
      </c>
      <c r="G108" t="inlineStr">
        <is>
          <t>6068173426</t>
        </is>
      </c>
      <c r="H108" t="inlineStr">
        <is>
          <t>1801110398156</t>
        </is>
      </c>
      <c r="I108" t="inlineStr">
        <is>
          <t>대상아님</t>
        </is>
      </c>
      <c r="J108" t="inlineStr">
        <is>
          <t>일반법인</t>
        </is>
      </c>
      <c r="K108" t="inlineStr">
        <is>
          <t>중소기업</t>
        </is>
      </c>
      <c r="L108" t="inlineStr">
        <is>
          <t>외부감사대상</t>
        </is>
      </c>
      <c r="M108" s="6" t="inlineStr">
        <is>
          <t>2002-02-28</t>
        </is>
      </c>
      <c r="N108" t="inlineStr">
        <is>
          <t>KRI:10C2432100</t>
        </is>
      </c>
      <c r="O108" t="inlineStr">
        <is>
          <t>알루미늄주물 주조업</t>
        </is>
      </c>
      <c r="P108" t="inlineStr">
        <is>
          <t>자동차부품(알루미늄주물) 제조</t>
        </is>
      </c>
      <c r="Q108" t="inlineStr">
        <is>
          <t>부산 강서구 생곡동 1530-8번지</t>
        </is>
      </c>
      <c r="R108" t="inlineStr">
        <is>
          <t>부산 강서구 생곡산단1로 28</t>
        </is>
      </c>
    </row>
    <row r="109" ht="19.2" customHeight="1" s="1">
      <c r="A109" t="inlineStr">
        <is>
          <t>NICE:094839</t>
        </is>
      </c>
      <c r="B109" t="inlineStr">
        <is>
          <t>동화뉴텍</t>
        </is>
      </c>
      <c r="C109" t="inlineStr">
        <is>
          <t>김동건/권영우</t>
        </is>
      </c>
      <c r="D109" t="inlineStr">
        <is>
          <t>051-974-4805</t>
        </is>
      </c>
      <c r="E109" t="inlineStr">
        <is>
          <t>051-974-4899</t>
        </is>
      </c>
      <c r="F109" s="3">
        <f>HYPERLINK("http://www.dhkomp.co.kr", "http://www.dhkomp.co.kr")</f>
        <v/>
      </c>
      <c r="G109" t="inlineStr">
        <is>
          <t>6068177801</t>
        </is>
      </c>
      <c r="H109" t="inlineStr">
        <is>
          <t>1801110427880</t>
        </is>
      </c>
      <c r="I109" t="inlineStr">
        <is>
          <t>대상아님</t>
        </is>
      </c>
      <c r="J109" t="inlineStr">
        <is>
          <t>일반법인</t>
        </is>
      </c>
      <c r="K109" t="inlineStr">
        <is>
          <t>중견기업</t>
        </is>
      </c>
      <c r="L109" t="inlineStr">
        <is>
          <t>외부감사대상</t>
        </is>
      </c>
      <c r="M109" s="6" t="inlineStr">
        <is>
          <t>2002-11-05</t>
        </is>
      </c>
      <c r="N109" t="inlineStr">
        <is>
          <t>KRI:10C2913200</t>
        </is>
      </c>
      <c r="O109" t="inlineStr">
        <is>
          <t>기체 펌프 및 압축기 제조업</t>
        </is>
      </c>
      <c r="P109" t="inlineStr">
        <is>
          <t>공기압축기,열교환기,공조기기,산업설비,선박구성부분품 제조/태양광발전</t>
        </is>
      </c>
      <c r="Q109" t="inlineStr">
        <is>
          <t>부산 강서구 구랑동 1192-4번지</t>
        </is>
      </c>
      <c r="R109" t="inlineStr">
        <is>
          <t>부산 강서구 미음산단로8번길 75</t>
        </is>
      </c>
    </row>
    <row r="110" ht="19.2" customHeight="1" s="1">
      <c r="A110" t="inlineStr">
        <is>
          <t>NICE:095267</t>
        </is>
      </c>
      <c r="B110" t="inlineStr">
        <is>
          <t>세계에프엘</t>
        </is>
      </c>
      <c r="C110" t="inlineStr">
        <is>
          <t>이장우</t>
        </is>
      </c>
      <c r="D110" t="inlineStr">
        <is>
          <t>041-732-1803</t>
        </is>
      </c>
      <c r="E110" t="inlineStr">
        <is>
          <t>041-732-1824</t>
        </is>
      </c>
      <c r="F110" s="3">
        <f>HYPERLINK("http://www.sgfood.co.kr", "http://www.sgfood.co.kr")</f>
        <v/>
      </c>
      <c r="G110" t="inlineStr">
        <is>
          <t>3088116837</t>
        </is>
      </c>
      <c r="H110" t="inlineStr">
        <is>
          <t>1643110006101</t>
        </is>
      </c>
      <c r="I110" t="inlineStr">
        <is>
          <t>대상아님</t>
        </is>
      </c>
      <c r="J110" t="inlineStr">
        <is>
          <t>일반법인</t>
        </is>
      </c>
      <c r="K110" t="inlineStr">
        <is>
          <t>중소기업</t>
        </is>
      </c>
      <c r="L110" t="inlineStr">
        <is>
          <t>외부감사대상</t>
        </is>
      </c>
      <c r="M110" s="6" t="inlineStr">
        <is>
          <t>2001-12-24</t>
        </is>
      </c>
      <c r="N110" t="inlineStr">
        <is>
          <t>KRI:10C1074900</t>
        </is>
      </c>
      <c r="O110" t="inlineStr">
        <is>
          <t>기타 식품 첨가물 제조업</t>
        </is>
      </c>
      <c r="P110" t="inlineStr">
        <is>
          <t>식품첨가물,건강식품 제조,도소매/창고/연구,개발</t>
        </is>
      </c>
      <c r="Q110" t="inlineStr">
        <is>
          <t>충남 논산시 성동면 원북리 855-9번지</t>
        </is>
      </c>
      <c r="R110" t="inlineStr">
        <is>
          <t>충남 논산시 성동면 산업단지로3길 42</t>
        </is>
      </c>
    </row>
    <row r="111" ht="19.2" customHeight="1" s="1">
      <c r="A111" t="inlineStr">
        <is>
          <t>NICE:095557</t>
        </is>
      </c>
      <c r="B111" t="inlineStr">
        <is>
          <t>알코판넬</t>
        </is>
      </c>
      <c r="C111" t="inlineStr">
        <is>
          <t>김민한</t>
        </is>
      </c>
      <c r="D111" t="inlineStr">
        <is>
          <t>043-878-2367</t>
        </is>
      </c>
      <c r="E111" t="inlineStr">
        <is>
          <t>043-878-2433</t>
        </is>
      </c>
      <c r="F111" s="3">
        <f>HYPERLINK("http://www.alcopanel.com", "http://www.alcopanel.com")</f>
        <v/>
      </c>
      <c r="G111" t="inlineStr">
        <is>
          <t>3038134790</t>
        </is>
      </c>
      <c r="H111" t="inlineStr">
        <is>
          <t>1511110020556</t>
        </is>
      </c>
      <c r="I111" t="inlineStr">
        <is>
          <t>대상아님</t>
        </is>
      </c>
      <c r="J111" t="inlineStr">
        <is>
          <t>일반법인</t>
        </is>
      </c>
      <c r="K111" t="inlineStr">
        <is>
          <t>중소기업</t>
        </is>
      </c>
      <c r="L111" t="inlineStr">
        <is>
          <t>외부감사대상</t>
        </is>
      </c>
      <c r="M111" s="6" t="inlineStr">
        <is>
          <t>2002-11-05</t>
        </is>
      </c>
      <c r="N111" t="inlineStr">
        <is>
          <t>KRI:10C2422200</t>
        </is>
      </c>
      <c r="O111" t="inlineStr">
        <is>
          <t>알루미늄 압연, 압출 및 연신제품 제조업</t>
        </is>
      </c>
      <c r="P111" t="inlineStr">
        <is>
          <t>알루미늄복합패널 제조/세라믹코팅공사</t>
        </is>
      </c>
      <c r="Q111" t="inlineStr">
        <is>
          <t>충북 음성군 삼성면 청용리 351번지</t>
        </is>
      </c>
      <c r="R111" t="inlineStr">
        <is>
          <t>충북 음성군 삼성면 대청로 269</t>
        </is>
      </c>
    </row>
    <row r="112" ht="19.2" customHeight="1" s="1">
      <c r="A112" t="inlineStr">
        <is>
          <t>NICE:095591</t>
        </is>
      </c>
      <c r="B112" t="inlineStr">
        <is>
          <t>에이치제이씨</t>
        </is>
      </c>
      <c r="C112" t="inlineStr">
        <is>
          <t>홍석중/홍완기</t>
        </is>
      </c>
      <c r="D112" t="inlineStr">
        <is>
          <t>031-333-5451</t>
        </is>
      </c>
      <c r="E112" t="inlineStr">
        <is>
          <t>031-333-8063</t>
        </is>
      </c>
      <c r="F112" s="3">
        <f>HYPERLINK("http://www.hjc-helmet.com", "http://www.hjc-helmet.com")</f>
        <v/>
      </c>
      <c r="G112" t="inlineStr">
        <is>
          <t>1358109475</t>
        </is>
      </c>
      <c r="H112" t="inlineStr">
        <is>
          <t>1345110011079</t>
        </is>
      </c>
      <c r="I112" t="inlineStr">
        <is>
          <t>대상아님</t>
        </is>
      </c>
      <c r="J112" t="inlineStr">
        <is>
          <t>일반법인</t>
        </is>
      </c>
      <c r="K112" t="inlineStr">
        <is>
          <t>중견기업</t>
        </is>
      </c>
      <c r="L112" t="inlineStr">
        <is>
          <t>외부감사대상</t>
        </is>
      </c>
      <c r="M112" s="6" t="inlineStr">
        <is>
          <t>1971-10-01</t>
        </is>
      </c>
      <c r="N112" t="inlineStr">
        <is>
          <t>KRI:10C2229900</t>
        </is>
      </c>
      <c r="O112" t="inlineStr">
        <is>
          <t>그 외 기타 플라스틱 제품 제조업</t>
        </is>
      </c>
      <c r="P112" t="inlineStr">
        <is>
          <t>오토바이헬멧,특수용피복,섬유가공,통신기기,주변기기 제조/ FRP제품,특수용피복 도소매</t>
        </is>
      </c>
      <c r="Q112" t="inlineStr">
        <is>
          <t>경기 용인시 처인구 이동읍 서리 54-2번지</t>
        </is>
      </c>
      <c r="R112" t="inlineStr">
        <is>
          <t>경기 용인시 처인구 이동읍 서리로 23</t>
        </is>
      </c>
    </row>
    <row r="113">
      <c r="A113" t="inlineStr">
        <is>
          <t>NICE:096298</t>
        </is>
      </c>
      <c r="B113" t="inlineStr">
        <is>
          <t>에스제이피</t>
        </is>
      </c>
      <c r="C113" t="inlineStr">
        <is>
          <t>송승민</t>
        </is>
      </c>
      <c r="D113" t="inlineStr">
        <is>
          <t>031-676-7481</t>
        </is>
      </c>
      <c r="E113" t="inlineStr">
        <is>
          <t>031-676-7474</t>
        </is>
      </c>
      <c r="G113" t="inlineStr">
        <is>
          <t>1268158614</t>
        </is>
      </c>
      <c r="H113" t="inlineStr">
        <is>
          <t>1342110047939</t>
        </is>
      </c>
      <c r="I113" t="inlineStr">
        <is>
          <t>대상아님</t>
        </is>
      </c>
      <c r="J113" t="inlineStr">
        <is>
          <t>일반법인</t>
        </is>
      </c>
      <c r="K113" t="inlineStr">
        <is>
          <t>중소기업</t>
        </is>
      </c>
      <c r="L113" t="inlineStr">
        <is>
          <t>외부감사대상</t>
        </is>
      </c>
      <c r="M113" s="6" t="inlineStr">
        <is>
          <t>2001-12-18</t>
        </is>
      </c>
      <c r="N113" t="inlineStr">
        <is>
          <t>KRI:10C1722300</t>
        </is>
      </c>
      <c r="O113" t="inlineStr">
        <is>
          <t>식품 위생용 종이 상자 및 용기 제조업</t>
        </is>
      </c>
      <c r="P113" t="inlineStr">
        <is>
          <t>종이컵(라면,빙과 용기),기타지기 제조,도매</t>
        </is>
      </c>
      <c r="Q113" t="inlineStr">
        <is>
          <t>경기 안성시 죽산면 두교리 944번지</t>
        </is>
      </c>
      <c r="R113" t="inlineStr">
        <is>
          <t>경기 안성시 죽산면 용대길 38-10</t>
        </is>
      </c>
    </row>
    <row r="114" ht="19.2" customHeight="1" s="1">
      <c r="A114" t="inlineStr">
        <is>
          <t>NICE:098654</t>
        </is>
      </c>
      <c r="B114" t="inlineStr">
        <is>
          <t>세양기업</t>
        </is>
      </c>
      <c r="C114" t="inlineStr">
        <is>
          <t>박정현</t>
        </is>
      </c>
      <c r="D114" t="inlineStr">
        <is>
          <t>055-633-0560</t>
        </is>
      </c>
      <c r="E114" t="inlineStr">
        <is>
          <t>055-632-0423</t>
        </is>
      </c>
      <c r="F114" s="3">
        <f>HYPERLINK("http://www.seayang.co.kr", "http://www.seayang.co.kr")</f>
        <v/>
      </c>
      <c r="G114" t="inlineStr">
        <is>
          <t>6128112967</t>
        </is>
      </c>
      <c r="H114" t="inlineStr">
        <is>
          <t>1949110008349</t>
        </is>
      </c>
      <c r="I114" t="inlineStr">
        <is>
          <t>대상아님</t>
        </is>
      </c>
      <c r="J114" t="inlineStr">
        <is>
          <t>일반법인</t>
        </is>
      </c>
      <c r="K114" t="inlineStr">
        <is>
          <t>중소기업</t>
        </is>
      </c>
      <c r="L114" t="inlineStr">
        <is>
          <t>외부감사대상</t>
        </is>
      </c>
      <c r="M114" s="6" t="inlineStr">
        <is>
          <t>2001-05-22</t>
        </is>
      </c>
      <c r="N114" t="inlineStr">
        <is>
          <t>KRI:10C3111400</t>
        </is>
      </c>
      <c r="O114" t="inlineStr">
        <is>
          <t>선박 구성 부분품 제조업</t>
        </is>
      </c>
      <c r="P114" t="inlineStr">
        <is>
          <t>선박구성부분품 제조</t>
        </is>
      </c>
      <c r="Q114" t="inlineStr">
        <is>
          <t>경남 거제시 연초면 한내리 120번지</t>
        </is>
      </c>
      <c r="R114" t="inlineStr">
        <is>
          <t>경남 거제시 연초면 연하해안로 725-4</t>
        </is>
      </c>
    </row>
    <row r="115" ht="19.2" customHeight="1" s="1">
      <c r="A115" t="inlineStr">
        <is>
          <t>NICE:098659</t>
        </is>
      </c>
      <c r="B115" t="inlineStr">
        <is>
          <t>한국대일본인쇄</t>
        </is>
      </c>
      <c r="C115" t="inlineStr">
        <is>
          <t>스가누마코지</t>
        </is>
      </c>
      <c r="D115" t="inlineStr">
        <is>
          <t>02-565-2867</t>
        </is>
      </c>
      <c r="E115" t="inlineStr">
        <is>
          <t>02-565-1593</t>
        </is>
      </c>
      <c r="F115" s="3">
        <f>HYPERLINK("http://www.dnp.co.jp", "http://www.dnp.co.jp")</f>
        <v/>
      </c>
      <c r="G115" t="inlineStr">
        <is>
          <t>1208614933</t>
        </is>
      </c>
      <c r="H115" t="inlineStr">
        <is>
          <t>1101112124438</t>
        </is>
      </c>
      <c r="I115" t="inlineStr">
        <is>
          <t>대상아님</t>
        </is>
      </c>
      <c r="J115" t="inlineStr">
        <is>
          <t>일반법인</t>
        </is>
      </c>
      <c r="K115" t="inlineStr">
        <is>
          <t>중소기업</t>
        </is>
      </c>
      <c r="L115" t="inlineStr">
        <is>
          <t>외부감사대상</t>
        </is>
      </c>
      <c r="M115" s="6" t="inlineStr">
        <is>
          <t>2000-12-07</t>
        </is>
      </c>
      <c r="N115" t="inlineStr">
        <is>
          <t>KRI:10G4659500</t>
        </is>
      </c>
      <c r="O115" t="inlineStr">
        <is>
          <t>전기용 기계ㆍ장비 및 관련 기자재 도매업</t>
        </is>
      </c>
      <c r="P115" t="inlineStr">
        <is>
          <t>반도체전자부품(디스플레이용) 도매,무역</t>
        </is>
      </c>
      <c r="Q115" t="inlineStr">
        <is>
          <t>서울 강남구 삼성동 159-1번지</t>
        </is>
      </c>
      <c r="R115" t="inlineStr">
        <is>
          <t>서울 강남구 영동대로 511</t>
        </is>
      </c>
    </row>
    <row r="116" ht="19.2" customHeight="1" s="1">
      <c r="A116" t="inlineStr">
        <is>
          <t>NICE:098701</t>
        </is>
      </c>
      <c r="B116" t="inlineStr">
        <is>
          <t>제철세라믹</t>
        </is>
      </c>
      <c r="C116" t="inlineStr">
        <is>
          <t>이석형</t>
        </is>
      </c>
      <c r="D116" t="inlineStr">
        <is>
          <t>051-977-5100</t>
        </is>
      </c>
      <c r="E116" t="inlineStr">
        <is>
          <t>051-977-5152</t>
        </is>
      </c>
      <c r="F116" s="3">
        <f>HYPERLINK("http://www.posceramics.co.kr", "http://www.posceramics.co.kr")</f>
        <v/>
      </c>
      <c r="G116" t="inlineStr">
        <is>
          <t>5068104992</t>
        </is>
      </c>
      <c r="H116" t="inlineStr">
        <is>
          <t>1746110006111</t>
        </is>
      </c>
      <c r="I116" t="inlineStr">
        <is>
          <t>대상아님</t>
        </is>
      </c>
      <c r="J116" t="inlineStr">
        <is>
          <t>일반법인</t>
        </is>
      </c>
      <c r="K116" t="inlineStr">
        <is>
          <t>중소기업</t>
        </is>
      </c>
      <c r="L116" t="inlineStr">
        <is>
          <t>외부감사대상</t>
        </is>
      </c>
      <c r="M116" s="6" t="inlineStr">
        <is>
          <t>1987-05-25</t>
        </is>
      </c>
      <c r="N116" t="inlineStr">
        <is>
          <t>KRI:10C2399900</t>
        </is>
      </c>
      <c r="O116" t="inlineStr">
        <is>
          <t>그 외 기타 분류 안된 비금속 광물제품 제조업</t>
        </is>
      </c>
      <c r="P116" t="inlineStr">
        <is>
          <t>분쇄슬라그,비료,불연내외장재,시멘트,바인더,철강 제조/금속,비철금속원료 재활용처리</t>
        </is>
      </c>
      <c r="Q116" t="inlineStr">
        <is>
          <t>부산 해운대구 우동 1462번지 센텀그린 타워동 1801호</t>
        </is>
      </c>
      <c r="R116" t="inlineStr">
        <is>
          <t>부산 해운대구 센텀중앙로 78, 1801호 (우동,센텀그린타워)</t>
        </is>
      </c>
    </row>
    <row r="117" ht="19.2" customHeight="1" s="1">
      <c r="A117" t="inlineStr">
        <is>
          <t>NICE:098795</t>
        </is>
      </c>
      <c r="B117" t="inlineStr">
        <is>
          <t>정우금속공업</t>
        </is>
      </c>
      <c r="C117" t="inlineStr">
        <is>
          <t>이광원</t>
        </is>
      </c>
      <c r="D117" t="inlineStr">
        <is>
          <t>031-860-0500</t>
        </is>
      </c>
      <c r="E117" t="inlineStr">
        <is>
          <t>031-866-5939</t>
        </is>
      </c>
      <c r="F117" s="3">
        <f>HYPERLINK("http://www.jwmfittings.com/", "http://www.jwmfittings.com/")</f>
        <v/>
      </c>
      <c r="G117" t="inlineStr">
        <is>
          <t>1278108951</t>
        </is>
      </c>
      <c r="H117" t="inlineStr">
        <is>
          <t>1115110009310</t>
        </is>
      </c>
      <c r="I117" t="inlineStr">
        <is>
          <t>대상아님</t>
        </is>
      </c>
      <c r="J117" t="inlineStr">
        <is>
          <t>일반법인</t>
        </is>
      </c>
      <c r="K117" t="inlineStr">
        <is>
          <t>중견기업</t>
        </is>
      </c>
      <c r="L117" t="inlineStr">
        <is>
          <t>외부감사대상</t>
        </is>
      </c>
      <c r="M117" s="6" t="inlineStr">
        <is>
          <t>1979-02-01</t>
        </is>
      </c>
      <c r="N117" t="inlineStr">
        <is>
          <t>KRI:10C2422100</t>
        </is>
      </c>
      <c r="O117" t="inlineStr">
        <is>
          <t>동 압연, 압출 및 연신제품 제조업</t>
        </is>
      </c>
      <c r="P117" t="inlineStr">
        <is>
          <t>동관이음쇠  제조</t>
        </is>
      </c>
      <c r="Q117" t="inlineStr">
        <is>
          <t>경기 양주시 남면 구암리 371번지</t>
        </is>
      </c>
      <c r="R117" t="inlineStr">
        <is>
          <t>경기 양주시 남면 감악산로199번길 71-30</t>
        </is>
      </c>
    </row>
    <row r="118" ht="19.2" customHeight="1" s="1">
      <c r="A118" t="inlineStr">
        <is>
          <t>NICE:099173</t>
        </is>
      </c>
      <c r="B118" t="inlineStr">
        <is>
          <t>니덱어드밴스테크놀러지코리아</t>
        </is>
      </c>
      <c r="C118" t="inlineStr">
        <is>
          <t>이종곤</t>
        </is>
      </c>
      <c r="D118" t="inlineStr">
        <is>
          <t>043-276-2840</t>
        </is>
      </c>
      <c r="E118" t="inlineStr">
        <is>
          <t>043-276-2844</t>
        </is>
      </c>
      <c r="F118" s="3">
        <f>HYPERLINK("http://www.nidec.com/koidec-advancetechnology/", "http://www.nidec.com/koidec-advancetechnology/")</f>
        <v/>
      </c>
      <c r="G118" t="inlineStr">
        <is>
          <t>3018149604</t>
        </is>
      </c>
      <c r="H118" t="inlineStr">
        <is>
          <t>1543110010865</t>
        </is>
      </c>
      <c r="I118" t="inlineStr">
        <is>
          <t>대상아님</t>
        </is>
      </c>
      <c r="J118" t="inlineStr">
        <is>
          <t>일반법인</t>
        </is>
      </c>
      <c r="K118" t="inlineStr">
        <is>
          <t>중소기업</t>
        </is>
      </c>
      <c r="L118" t="inlineStr">
        <is>
          <t>외부감사대상</t>
        </is>
      </c>
      <c r="M118" s="6" t="inlineStr">
        <is>
          <t>2001-01-30</t>
        </is>
      </c>
      <c r="N118" t="inlineStr">
        <is>
          <t>KRI:10C2721200</t>
        </is>
      </c>
      <c r="O118" t="inlineStr">
        <is>
          <t>전자기 측정, 시험 및 분석기구 제조업</t>
        </is>
      </c>
      <c r="P118" t="inlineStr">
        <is>
          <t>전자계측기기 제조,보수/PCB전기체크 검사</t>
        </is>
      </c>
      <c r="Q118" t="inlineStr">
        <is>
          <t>충북 청주시 흥덕구 봉명동 391-21번지</t>
        </is>
      </c>
      <c r="R118" t="inlineStr">
        <is>
          <t>충북 청주시 흥덕구 송절로 10</t>
        </is>
      </c>
    </row>
    <row r="119" ht="19.2" customHeight="1" s="1">
      <c r="A119" t="inlineStr">
        <is>
          <t>NICE:100126</t>
        </is>
      </c>
      <c r="B119" t="inlineStr">
        <is>
          <t>한조</t>
        </is>
      </c>
      <c r="C119" t="inlineStr">
        <is>
          <t>김승재</t>
        </is>
      </c>
      <c r="D119" t="inlineStr">
        <is>
          <t>051-414-7201</t>
        </is>
      </c>
      <c r="E119" t="inlineStr">
        <is>
          <t>051-413-9878</t>
        </is>
      </c>
      <c r="F119" s="3">
        <f>HYPERLINK("http://www.hanjoms.co.kr", "http://www.hanjoms.co.kr")</f>
        <v/>
      </c>
      <c r="G119" t="inlineStr">
        <is>
          <t>6108122173</t>
        </is>
      </c>
      <c r="H119" t="inlineStr">
        <is>
          <t>1812110032868</t>
        </is>
      </c>
      <c r="I119" t="inlineStr">
        <is>
          <t>대상아님</t>
        </is>
      </c>
      <c r="J119" t="inlineStr">
        <is>
          <t>일반법인</t>
        </is>
      </c>
      <c r="K119" t="inlineStr">
        <is>
          <t>중소기업</t>
        </is>
      </c>
      <c r="L119" t="inlineStr">
        <is>
          <t>외부감사대상</t>
        </is>
      </c>
      <c r="M119" s="6" t="inlineStr">
        <is>
          <t>1995-06-10</t>
        </is>
      </c>
      <c r="N119" t="inlineStr">
        <is>
          <t>KRI:10C3111400</t>
        </is>
      </c>
      <c r="O119" t="inlineStr">
        <is>
          <t>선박 구성 부분품 제조업</t>
        </is>
      </c>
      <c r="P119" t="inlineStr">
        <is>
          <t>선박구성부품(필터),휠타제조기계부품,액체기체여과청정기,탭,밸브유사장치,자동차부품 제조</t>
        </is>
      </c>
      <c r="Q119" t="inlineStr">
        <is>
          <t>부산 영도구 남항동3가 141-127번지</t>
        </is>
      </c>
      <c r="R119" t="inlineStr">
        <is>
          <t>부산 영도구 남항서로 20</t>
        </is>
      </c>
    </row>
    <row r="120" ht="19.2" customHeight="1" s="1">
      <c r="A120" t="inlineStr">
        <is>
          <t>NICE:100854</t>
        </is>
      </c>
      <c r="B120" t="inlineStr">
        <is>
          <t>동명엔터프라이즈</t>
        </is>
      </c>
      <c r="C120" t="inlineStr">
        <is>
          <t>김주영</t>
        </is>
      </c>
      <c r="D120" t="inlineStr">
        <is>
          <t>02-2188-8700</t>
        </is>
      </c>
      <c r="E120" t="inlineStr">
        <is>
          <t>02-2188-8744</t>
        </is>
      </c>
      <c r="F120" s="3">
        <f>HYPERLINK("http://www.dm-ent.co.kr", "http://www.dm-ent.co.kr")</f>
        <v/>
      </c>
      <c r="G120" t="inlineStr">
        <is>
          <t>2208104138</t>
        </is>
      </c>
      <c r="H120" t="inlineStr">
        <is>
          <t>1101110429773</t>
        </is>
      </c>
      <c r="I120" t="inlineStr">
        <is>
          <t>대상아님</t>
        </is>
      </c>
      <c r="J120" t="inlineStr">
        <is>
          <t>일반법인</t>
        </is>
      </c>
      <c r="K120" t="inlineStr">
        <is>
          <t>중소기업</t>
        </is>
      </c>
      <c r="L120" t="inlineStr">
        <is>
          <t>외부감사대상</t>
        </is>
      </c>
      <c r="M120" s="6" t="inlineStr">
        <is>
          <t>1986-06-19</t>
        </is>
      </c>
      <c r="N120" t="inlineStr">
        <is>
          <t>KRI:10E3900100</t>
        </is>
      </c>
      <c r="O120" t="inlineStr">
        <is>
          <t>토양 및 지하수 정화업</t>
        </is>
      </c>
      <c r="P120" t="inlineStr">
        <is>
          <t>토양,지하수 정화,환경 컨설팅/철골,주유소관련기기,특장차 제조/고무보트수선/토목공사</t>
        </is>
      </c>
      <c r="Q120" t="inlineStr">
        <is>
          <t>서울 서초구 서초동 1424-8번지</t>
        </is>
      </c>
      <c r="R120" t="inlineStr">
        <is>
          <t>서울 서초구 남부순환로 2471</t>
        </is>
      </c>
    </row>
    <row r="121" ht="19.2" customHeight="1" s="1">
      <c r="A121" t="inlineStr">
        <is>
          <t>NICE:100975</t>
        </is>
      </c>
      <c r="B121" t="inlineStr">
        <is>
          <t>안산도시개발</t>
        </is>
      </c>
      <c r="C121" t="inlineStr">
        <is>
          <t>윤양노/안규철</t>
        </is>
      </c>
      <c r="D121" t="inlineStr">
        <is>
          <t>031-489-1211</t>
        </is>
      </c>
      <c r="E121" t="inlineStr">
        <is>
          <t>031-492-7600</t>
        </is>
      </c>
      <c r="F121" s="3">
        <f>HYPERLINK("http://www.asudi.co.kr", "http://www.asudi.co.kr")</f>
        <v/>
      </c>
      <c r="G121" t="inlineStr">
        <is>
          <t>1348127219</t>
        </is>
      </c>
      <c r="H121" t="inlineStr">
        <is>
          <t>1350110047362</t>
        </is>
      </c>
      <c r="I121" t="inlineStr">
        <is>
          <t>대상아님</t>
        </is>
      </c>
      <c r="J121" t="inlineStr">
        <is>
          <t>일반법인</t>
        </is>
      </c>
      <c r="K121" t="inlineStr">
        <is>
          <t>중견기업</t>
        </is>
      </c>
      <c r="L121" t="inlineStr">
        <is>
          <t>외부감사대상</t>
        </is>
      </c>
      <c r="M121" s="6" t="inlineStr">
        <is>
          <t>1995-06-28</t>
        </is>
      </c>
      <c r="N121" t="inlineStr">
        <is>
          <t>KRI:10D3530000</t>
        </is>
      </c>
      <c r="O121" t="inlineStr">
        <is>
          <t>증기, 냉ㆍ온수 및 공기조절 공급업</t>
        </is>
      </c>
      <c r="P121" t="inlineStr">
        <is>
          <t>증기,온수,전기 공급/부동산 임대/예술,스포츠,여가 서비스</t>
        </is>
      </c>
      <c r="Q121" t="inlineStr">
        <is>
          <t>경기 안산시 단원구 초지동 672번지</t>
        </is>
      </c>
      <c r="R121" t="inlineStr">
        <is>
          <t>경기 안산시 단원구 첨단로 670</t>
        </is>
      </c>
    </row>
    <row r="122" ht="19.2" customHeight="1" s="1">
      <c r="A122" t="inlineStr">
        <is>
          <t>NICE:101098</t>
        </is>
      </c>
      <c r="B122" t="inlineStr">
        <is>
          <t>강남드라이브</t>
        </is>
      </c>
      <c r="C122" t="inlineStr">
        <is>
          <t>정만영</t>
        </is>
      </c>
      <c r="D122" t="inlineStr">
        <is>
          <t>02-497-4505</t>
        </is>
      </c>
      <c r="E122" t="inlineStr">
        <is>
          <t>02-497-4506</t>
        </is>
      </c>
      <c r="F122" s="3">
        <f>HYPERLINK("http://www.kangnamdrive.co.kr", "http://www.kangnamdrive.co.kr")</f>
        <v/>
      </c>
      <c r="G122" t="inlineStr">
        <is>
          <t>2188119808</t>
        </is>
      </c>
      <c r="H122" t="inlineStr">
        <is>
          <t>1101111347776</t>
        </is>
      </c>
      <c r="I122" t="inlineStr">
        <is>
          <t>대상아님</t>
        </is>
      </c>
      <c r="J122" t="inlineStr">
        <is>
          <t>일반법인</t>
        </is>
      </c>
      <c r="K122" t="inlineStr">
        <is>
          <t>중소기업</t>
        </is>
      </c>
      <c r="L122" t="inlineStr">
        <is>
          <t>외부감사대상</t>
        </is>
      </c>
      <c r="M122" s="6" t="inlineStr">
        <is>
          <t>1994-03-18</t>
        </is>
      </c>
      <c r="N122" t="inlineStr">
        <is>
          <t>KRI:10C2812300</t>
        </is>
      </c>
      <c r="O122" t="inlineStr">
        <is>
          <t>배전반 및 전기 자동제어반 제조업</t>
        </is>
      </c>
      <c r="P122" t="inlineStr">
        <is>
          <t>전기제어장치 제조,신재생에너지산업/산업용기기,정보통신 도소매,기술용역/수출입</t>
        </is>
      </c>
      <c r="Q122" t="inlineStr">
        <is>
          <t>서울 성동구 성수동1가 16-4번지 에스케이테크노빌딩 807호</t>
        </is>
      </c>
      <c r="R122" t="inlineStr">
        <is>
          <t>서울 성동구 성수일로 55, 807호 (성수동1가,에스케이테크노빌딩)</t>
        </is>
      </c>
    </row>
    <row r="123" ht="19.2" customHeight="1" s="1">
      <c r="A123" t="inlineStr">
        <is>
          <t>NICE:102090</t>
        </is>
      </c>
      <c r="B123" t="inlineStr">
        <is>
          <t>해광이엔씨</t>
        </is>
      </c>
      <c r="C123" t="inlineStr">
        <is>
          <t>박시영/조인호</t>
        </is>
      </c>
      <c r="D123" t="inlineStr">
        <is>
          <t>02-3667-6800</t>
        </is>
      </c>
      <c r="E123" t="inlineStr">
        <is>
          <t>02-3667-2288</t>
        </is>
      </c>
      <c r="F123" s="3">
        <f>HYPERLINK("http://www.haegwang.net", "http://www.haegwang.net")</f>
        <v/>
      </c>
      <c r="G123" t="inlineStr">
        <is>
          <t>4098141809</t>
        </is>
      </c>
      <c r="H123" t="inlineStr">
        <is>
          <t>2001110083570</t>
        </is>
      </c>
      <c r="I123" t="inlineStr">
        <is>
          <t>대상아님</t>
        </is>
      </c>
      <c r="J123" t="inlineStr">
        <is>
          <t>일반법인</t>
        </is>
      </c>
      <c r="K123" t="inlineStr">
        <is>
          <t>중소기업</t>
        </is>
      </c>
      <c r="L123" t="inlineStr">
        <is>
          <t>외부감사대상</t>
        </is>
      </c>
      <c r="M123" s="6" t="inlineStr">
        <is>
          <t>1998-02-13</t>
        </is>
      </c>
      <c r="N123" t="inlineStr">
        <is>
          <t>KRI:10F4220200</t>
        </is>
      </c>
      <c r="O123" t="inlineStr">
        <is>
          <t>건물용 기계ㆍ장비 설치 공사업</t>
        </is>
      </c>
      <c r="P123" t="inlineStr">
        <is>
          <t>기계설비공사,전문소방공사,가스시공/건축설비자재 도소매/기계설비제작 엔지니어링</t>
        </is>
      </c>
      <c r="Q123" t="inlineStr">
        <is>
          <t>서울 영등포구 양평동3가 46번지 이앤씨드림 타워동 809호</t>
        </is>
      </c>
      <c r="R123" t="inlineStr">
        <is>
          <t>서울 영등포구 선유로 146, 809호 (양평동3가,이앤씨드림타워)</t>
        </is>
      </c>
    </row>
    <row r="124" ht="19.2" customHeight="1" s="1">
      <c r="A124" t="inlineStr">
        <is>
          <t>NICE:102398</t>
        </is>
      </c>
      <c r="B124" t="inlineStr">
        <is>
          <t>신영</t>
        </is>
      </c>
      <c r="C124" t="inlineStr">
        <is>
          <t>손종구</t>
        </is>
      </c>
      <c r="D124" t="inlineStr">
        <is>
          <t>02-6007-4510</t>
        </is>
      </c>
      <c r="E124" t="inlineStr">
        <is>
          <t>02-6007-4555</t>
        </is>
      </c>
      <c r="F124" s="3">
        <f>HYPERLINK("http://www.shinyoung21.com", "http://www.shinyoung21.com")</f>
        <v/>
      </c>
      <c r="G124" t="inlineStr">
        <is>
          <t>1208152188</t>
        </is>
      </c>
      <c r="H124" t="inlineStr">
        <is>
          <t>1101110618178</t>
        </is>
      </c>
      <c r="I124" t="inlineStr">
        <is>
          <t>대상아님</t>
        </is>
      </c>
      <c r="J124" t="inlineStr">
        <is>
          <t>일반법인</t>
        </is>
      </c>
      <c r="K124" t="inlineStr">
        <is>
          <t>중견기업</t>
        </is>
      </c>
      <c r="L124" t="inlineStr">
        <is>
          <t>외부감사대상</t>
        </is>
      </c>
      <c r="M124" s="6" t="inlineStr">
        <is>
          <t>1984-04-15</t>
        </is>
      </c>
      <c r="N124" t="inlineStr">
        <is>
          <t>KRI:10L6812100</t>
        </is>
      </c>
      <c r="O124" t="inlineStr">
        <is>
          <t>주거용 건물 개발 및 공급업</t>
        </is>
      </c>
      <c r="P124" t="inlineStr">
        <is>
          <t>주택신축 판매,임대,매매,부동산 컨설팅,용역/일반 창고,보관</t>
        </is>
      </c>
      <c r="Q124" t="inlineStr">
        <is>
          <t>서울 강남구 삼성동 159번지 아셈타워 14층 1401호</t>
        </is>
      </c>
      <c r="R124" t="inlineStr">
        <is>
          <t>서울 강남구 영동대로 517, 14층 1401호 (삼성동,아셈타워)</t>
        </is>
      </c>
    </row>
    <row r="125" ht="19.2" customHeight="1" s="1">
      <c r="A125" t="inlineStr">
        <is>
          <t>NICE:102849</t>
        </is>
      </c>
      <c r="B125" t="inlineStr">
        <is>
          <t>한국제이텍트써모시스템</t>
        </is>
      </c>
      <c r="C125" t="inlineStr">
        <is>
          <t>일본국인 카토나오히토</t>
        </is>
      </c>
      <c r="D125" t="inlineStr">
        <is>
          <t>031-654-3450</t>
        </is>
      </c>
      <c r="E125" t="inlineStr">
        <is>
          <t>031-654-2689</t>
        </is>
      </c>
      <c r="F125" s="3">
        <f>HYPERLINK("http://www.jtskr.co.kr", "http://www.jtskr.co.kr")</f>
        <v/>
      </c>
      <c r="G125" t="inlineStr">
        <is>
          <t>1258118619</t>
        </is>
      </c>
      <c r="H125" t="inlineStr">
        <is>
          <t>1346110007133</t>
        </is>
      </c>
      <c r="I125" t="inlineStr">
        <is>
          <t>대상아님</t>
        </is>
      </c>
      <c r="J125" t="inlineStr">
        <is>
          <t>일반법인</t>
        </is>
      </c>
      <c r="K125" t="inlineStr">
        <is>
          <t>중견기업</t>
        </is>
      </c>
      <c r="L125" t="inlineStr">
        <is>
          <t>외부감사대상</t>
        </is>
      </c>
      <c r="M125" s="6" t="inlineStr">
        <is>
          <t>1996-04-17</t>
        </is>
      </c>
      <c r="N125" t="inlineStr">
        <is>
          <t>KRI:10C2915000</t>
        </is>
      </c>
      <c r="O125" t="inlineStr">
        <is>
          <t>산업용 오븐, 노 및 노용 버너 제조업</t>
        </is>
      </c>
      <c r="P125" t="inlineStr">
        <is>
          <t>산업용오븐,노,노용버너 제조</t>
        </is>
      </c>
      <c r="Q125" t="inlineStr">
        <is>
          <t>경기 평택시 팽성읍 추팔리 397-4번지</t>
        </is>
      </c>
      <c r="R125" t="inlineStr">
        <is>
          <t>경기 평택시 팽성읍 추팔산단1길 70</t>
        </is>
      </c>
    </row>
    <row r="126">
      <c r="A126" t="inlineStr">
        <is>
          <t>NICE:103703</t>
        </is>
      </c>
      <c r="B126" t="inlineStr">
        <is>
          <t>동원유지</t>
        </is>
      </c>
      <c r="C126" t="inlineStr">
        <is>
          <t>박재필</t>
        </is>
      </c>
      <c r="D126" t="inlineStr">
        <is>
          <t>044-857-9675</t>
        </is>
      </c>
      <c r="E126" t="inlineStr">
        <is>
          <t>044-857-9675</t>
        </is>
      </c>
      <c r="G126" t="inlineStr">
        <is>
          <t>3078113249</t>
        </is>
      </c>
      <c r="H126" t="inlineStr">
        <is>
          <t>1612110006594</t>
        </is>
      </c>
      <c r="I126" t="inlineStr">
        <is>
          <t>대상아님</t>
        </is>
      </c>
      <c r="J126" t="inlineStr">
        <is>
          <t>일반법인</t>
        </is>
      </c>
      <c r="K126" t="inlineStr">
        <is>
          <t>중소기업</t>
        </is>
      </c>
      <c r="L126" t="inlineStr">
        <is>
          <t>외부감사대상</t>
        </is>
      </c>
      <c r="M126" s="6" t="inlineStr">
        <is>
          <t>1999-03-11</t>
        </is>
      </c>
      <c r="N126" t="inlineStr">
        <is>
          <t>KRI:10C1040100</t>
        </is>
      </c>
      <c r="O126" t="inlineStr">
        <is>
          <t>동물성 유지 제조업</t>
        </is>
      </c>
      <c r="P126" t="inlineStr">
        <is>
          <t>유지,사료유지박,원피 제조,도소매/축산물 판매/부동산 임대</t>
        </is>
      </c>
      <c r="Q126" t="inlineStr">
        <is>
          <t>세종 장군면 산학리 144번지</t>
        </is>
      </c>
      <c r="R126" t="inlineStr">
        <is>
          <t>세종 장군면 산학리길 139</t>
        </is>
      </c>
    </row>
    <row r="127" ht="19.2" customHeight="1" s="1">
      <c r="A127" t="inlineStr">
        <is>
          <t>NICE:104084</t>
        </is>
      </c>
      <c r="B127" t="inlineStr">
        <is>
          <t>미래시스템</t>
        </is>
      </c>
      <c r="C127" t="inlineStr">
        <is>
          <t>김상규</t>
        </is>
      </c>
      <c r="D127" t="inlineStr">
        <is>
          <t>042-939-4128</t>
        </is>
      </c>
      <c r="E127" t="inlineStr">
        <is>
          <t>042-936-7943</t>
        </is>
      </c>
      <c r="F127" s="3">
        <f>HYPERLINK("http://www.mrsys.co.kr", "http://www.mrsys.co.kr")</f>
        <v/>
      </c>
      <c r="G127" t="inlineStr">
        <is>
          <t>3148114023</t>
        </is>
      </c>
      <c r="H127" t="inlineStr">
        <is>
          <t>1601110050932</t>
        </is>
      </c>
      <c r="I127" t="inlineStr">
        <is>
          <t>대상아님</t>
        </is>
      </c>
      <c r="J127" t="inlineStr">
        <is>
          <t>일반법인</t>
        </is>
      </c>
      <c r="K127" t="inlineStr">
        <is>
          <t>중소기업</t>
        </is>
      </c>
      <c r="L127" t="inlineStr">
        <is>
          <t>외부감사대상</t>
        </is>
      </c>
      <c r="M127" s="6" t="inlineStr">
        <is>
          <t>1995-11-16</t>
        </is>
      </c>
      <c r="N127" t="inlineStr">
        <is>
          <t>KRI:10C2721500</t>
        </is>
      </c>
      <c r="O127" t="inlineStr">
        <is>
          <t>기기용 자동측정 및 제어장치 제조업</t>
        </is>
      </c>
      <c r="P127" t="inlineStr">
        <is>
          <t>레이다시뮬레이타,전자전측정장치,유도무기 제조</t>
        </is>
      </c>
      <c r="Q127" t="inlineStr">
        <is>
          <t>대전 유성구 관평동 704번지</t>
        </is>
      </c>
      <c r="R127" t="inlineStr">
        <is>
          <t>대전 유성구 테크노2로 80-27</t>
        </is>
      </c>
    </row>
    <row r="128" ht="19.2" customHeight="1" s="1">
      <c r="A128" t="inlineStr">
        <is>
          <t>NICE:107976</t>
        </is>
      </c>
      <c r="B128" t="inlineStr">
        <is>
          <t>천안논산고속도로</t>
        </is>
      </c>
      <c r="C128" t="inlineStr">
        <is>
          <t>이성기</t>
        </is>
      </c>
      <c r="D128" t="inlineStr">
        <is>
          <t>041-850-6700</t>
        </is>
      </c>
      <c r="E128" t="inlineStr">
        <is>
          <t>041-850-6789</t>
        </is>
      </c>
      <c r="F128" s="3">
        <f>HYPERLINK("http://www.cneway.co.kr", "http://www.cneway.co.kr")</f>
        <v/>
      </c>
      <c r="G128" t="inlineStr">
        <is>
          <t>3128127463</t>
        </is>
      </c>
      <c r="H128" t="inlineStr">
        <is>
          <t>1615110024102</t>
        </is>
      </c>
      <c r="I128" t="inlineStr">
        <is>
          <t>대상아님</t>
        </is>
      </c>
      <c r="J128" t="inlineStr">
        <is>
          <t>일반법인</t>
        </is>
      </c>
      <c r="K128" t="inlineStr">
        <is>
          <t>중견기업</t>
        </is>
      </c>
      <c r="L128" t="inlineStr">
        <is>
          <t>외부감사대상</t>
        </is>
      </c>
      <c r="M128" s="6" t="inlineStr">
        <is>
          <t>1997-07-22</t>
        </is>
      </c>
      <c r="N128" t="inlineStr">
        <is>
          <t>KRI:10H5291400</t>
        </is>
      </c>
      <c r="O128" t="inlineStr">
        <is>
          <t>도로 및 관련시설 운영업</t>
        </is>
      </c>
      <c r="P128" t="inlineStr">
        <is>
          <t>도로 관리,운영</t>
        </is>
      </c>
      <c r="Q128" t="inlineStr">
        <is>
          <t>충남 공주시 태봉동 457번지</t>
        </is>
      </c>
      <c r="R128" t="inlineStr">
        <is>
          <t>충남 공주시 봉정길 103</t>
        </is>
      </c>
    </row>
    <row r="129" ht="19.2" customHeight="1" s="1">
      <c r="A129" t="inlineStr">
        <is>
          <t>NICE:108930</t>
        </is>
      </c>
      <c r="B129" t="inlineStr">
        <is>
          <t>대한메디칼씨스템</t>
        </is>
      </c>
      <c r="C129" t="inlineStr">
        <is>
          <t>김세진/김민정</t>
        </is>
      </c>
      <c r="D129" t="inlineStr">
        <is>
          <t>031-432-6275</t>
        </is>
      </c>
      <c r="E129" t="inlineStr">
        <is>
          <t>031-432-6276</t>
        </is>
      </c>
      <c r="F129" s="3">
        <f>HYPERLINK("http://www.dmsleadwire.com", "http://www.dmsleadwire.com")</f>
        <v/>
      </c>
      <c r="G129" t="inlineStr">
        <is>
          <t>1338139667</t>
        </is>
      </c>
      <c r="H129" t="inlineStr">
        <is>
          <t>1355110095709</t>
        </is>
      </c>
      <c r="I129" t="inlineStr">
        <is>
          <t>대상아님</t>
        </is>
      </c>
      <c r="J129" t="inlineStr">
        <is>
          <t>일반법인</t>
        </is>
      </c>
      <c r="K129" t="inlineStr">
        <is>
          <t>중소기업</t>
        </is>
      </c>
      <c r="L129" t="inlineStr">
        <is>
          <t>외부감사대상</t>
        </is>
      </c>
      <c r="M129" s="6" t="inlineStr">
        <is>
          <t>1999-01-29</t>
        </is>
      </c>
      <c r="N129" t="inlineStr">
        <is>
          <t>KRI:10C2719900</t>
        </is>
      </c>
      <c r="O129" t="inlineStr">
        <is>
          <t>그 외 기타 의료용 기기 제조업</t>
        </is>
      </c>
      <c r="P129" t="inlineStr">
        <is>
          <t>의료용기기부품 제조/부동산 임대</t>
        </is>
      </c>
      <c r="Q129" t="inlineStr">
        <is>
          <t>경기 시흥시 정왕동 1255-13번지 시화공단2나 114호</t>
        </is>
      </c>
      <c r="R129" t="inlineStr">
        <is>
          <t>경기 시흥시 옥구천동로 250, 114호 (정왕동,시화공단2나)</t>
        </is>
      </c>
    </row>
    <row r="130" ht="19.2" customHeight="1" s="1">
      <c r="A130" t="inlineStr">
        <is>
          <t>NICE:110814</t>
        </is>
      </c>
      <c r="B130" t="inlineStr">
        <is>
          <t>에이비엠</t>
        </is>
      </c>
      <c r="C130" t="inlineStr">
        <is>
          <t>김정훈/한기영</t>
        </is>
      </c>
      <c r="D130" t="inlineStr">
        <is>
          <t>051-759-8632</t>
        </is>
      </c>
      <c r="E130" t="inlineStr">
        <is>
          <t>051-753-8942</t>
        </is>
      </c>
      <c r="F130" s="3">
        <f>HYPERLINK("http://www.abmarch.co.kr", "http://www.abmarch.co.kr")</f>
        <v/>
      </c>
      <c r="G130" t="inlineStr">
        <is>
          <t>6178109190</t>
        </is>
      </c>
      <c r="H130" t="inlineStr">
        <is>
          <t>1801110127159</t>
        </is>
      </c>
      <c r="I130" t="inlineStr">
        <is>
          <t>대상아님</t>
        </is>
      </c>
      <c r="J130" t="inlineStr">
        <is>
          <t>일반법인</t>
        </is>
      </c>
      <c r="K130" t="inlineStr">
        <is>
          <t>중소기업</t>
        </is>
      </c>
      <c r="L130" t="inlineStr">
        <is>
          <t>외부감사대상</t>
        </is>
      </c>
      <c r="M130" s="6" t="inlineStr">
        <is>
          <t>1992-06-08</t>
        </is>
      </c>
      <c r="N130" t="inlineStr">
        <is>
          <t>KRI:10F4213800</t>
        </is>
      </c>
      <c r="O130" t="inlineStr">
        <is>
          <t>지붕, 내ㆍ외벽 축조 관련 전문 공사업</t>
        </is>
      </c>
      <c r="P130" t="inlineStr">
        <is>
          <t>지붕판금공사,건축물조립공사/임산물 채취/금속재패널,조립식구조물,태양광발전장치 제조</t>
        </is>
      </c>
      <c r="Q130" t="inlineStr">
        <is>
          <t>부산 해운대구 우동 1470번지 에이스하이테크21 2002호</t>
        </is>
      </c>
      <c r="R130" t="inlineStr">
        <is>
          <t>부산 해운대구 센텀중앙로 48, 2002호 (우동,에이스하이테크21)</t>
        </is>
      </c>
    </row>
    <row r="131" ht="19.2" customHeight="1" s="1">
      <c r="A131" t="inlineStr">
        <is>
          <t>NICE:111117</t>
        </is>
      </c>
      <c r="B131" t="inlineStr">
        <is>
          <t>우미개발</t>
        </is>
      </c>
      <c r="C131" t="inlineStr">
        <is>
          <t>김부열</t>
        </is>
      </c>
      <c r="D131" t="inlineStr">
        <is>
          <t>062-710-4750</t>
        </is>
      </c>
      <c r="E131" t="inlineStr">
        <is>
          <t>02-6914-1899</t>
        </is>
      </c>
      <c r="F131" s="3">
        <f>HYPERLINK("http://www.woomi.co.kr", "http://www.woomi.co.kr")</f>
        <v/>
      </c>
      <c r="G131" t="inlineStr">
        <is>
          <t>4108120594</t>
        </is>
      </c>
      <c r="H131" t="inlineStr">
        <is>
          <t>2001110042568</t>
        </is>
      </c>
      <c r="I131" t="inlineStr">
        <is>
          <t>대상아님</t>
        </is>
      </c>
      <c r="J131" t="inlineStr">
        <is>
          <t>일반법인</t>
        </is>
      </c>
      <c r="K131" t="inlineStr">
        <is>
          <t>중견기업</t>
        </is>
      </c>
      <c r="L131" t="inlineStr">
        <is>
          <t>외부감사대상</t>
        </is>
      </c>
      <c r="M131" s="6" t="inlineStr">
        <is>
          <t>1993-12-21</t>
        </is>
      </c>
      <c r="N131" t="inlineStr">
        <is>
          <t>KRI:10F4111200</t>
        </is>
      </c>
      <c r="O131" t="inlineStr">
        <is>
          <t>아파트 건설업</t>
        </is>
      </c>
      <c r="P131" t="inlineStr">
        <is>
          <t>주택신축공사,토목건축공사/부동산 개발,분양/건설용기계 임대</t>
        </is>
      </c>
      <c r="Q131" t="inlineStr">
        <is>
          <t>광주 광산구 우산동 1582-2번지 3층 305호, 306호</t>
        </is>
      </c>
      <c r="R131" t="inlineStr">
        <is>
          <t>광주 광산구 사암로 209, 3층 305호, 306호</t>
        </is>
      </c>
    </row>
    <row r="132" ht="19.2" customHeight="1" s="1">
      <c r="A132" t="inlineStr">
        <is>
          <t>NICE:111761</t>
        </is>
      </c>
      <c r="B132" t="inlineStr">
        <is>
          <t>툴리스러쎌코터스코리아</t>
        </is>
      </c>
      <c r="C132" t="inlineStr">
        <is>
          <t>공성도</t>
        </is>
      </c>
      <c r="D132" t="inlineStr">
        <is>
          <t>031-499-1151</t>
        </is>
      </c>
      <c r="E132" t="inlineStr">
        <is>
          <t>031-499-1153</t>
        </is>
      </c>
      <c r="F132" s="3">
        <f>HYPERLINK("http://www.trcoaters.co.kr", "http://www.trcoaters.co.kr")</f>
        <v/>
      </c>
      <c r="G132" t="inlineStr">
        <is>
          <t>1348142369</t>
        </is>
      </c>
      <c r="H132" t="inlineStr">
        <is>
          <t>1350110085073</t>
        </is>
      </c>
      <c r="I132" t="inlineStr">
        <is>
          <t>대상아님</t>
        </is>
      </c>
      <c r="J132" t="inlineStr">
        <is>
          <t>일반법인</t>
        </is>
      </c>
      <c r="K132" t="inlineStr">
        <is>
          <t>중소기업</t>
        </is>
      </c>
      <c r="L132" t="inlineStr">
        <is>
          <t>외부감사대상</t>
        </is>
      </c>
      <c r="M132" s="6" t="inlineStr">
        <is>
          <t>1998-12-18</t>
        </is>
      </c>
      <c r="N132" t="inlineStr">
        <is>
          <t>KRI:10C1790900</t>
        </is>
      </c>
      <c r="O132" t="inlineStr">
        <is>
          <t>그 외 기타 종이 및 판지 제품 제조업</t>
        </is>
      </c>
      <c r="P132" t="inlineStr">
        <is>
          <t>종이,판지,펄프 제조,도소매,무역</t>
        </is>
      </c>
      <c r="Q132" t="inlineStr">
        <is>
          <t>경기 안산시 단원구 성곡동 689-1번지 ,6,7 시화공업단지 5바 802,820,821</t>
        </is>
      </c>
      <c r="R132" t="inlineStr">
        <is>
          <t>경기 안산시 단원구 진흥로38번길 8, ,6,7 시화공업단지 5바 802,820,821</t>
        </is>
      </c>
    </row>
    <row r="133" ht="19.2" customHeight="1" s="1">
      <c r="A133" t="inlineStr">
        <is>
          <t>NICE:112012</t>
        </is>
      </c>
      <c r="B133" t="inlineStr">
        <is>
          <t>웰템</t>
        </is>
      </c>
      <c r="C133" t="inlineStr">
        <is>
          <t>박정우</t>
        </is>
      </c>
      <c r="D133" t="inlineStr">
        <is>
          <t>055-294-9200</t>
        </is>
      </c>
      <c r="E133" t="inlineStr">
        <is>
          <t>055-294-9220</t>
        </is>
      </c>
      <c r="F133" s="3">
        <f>HYPERLINK("http://www.weltem.com/", "http://www.weltem.com/")</f>
        <v/>
      </c>
      <c r="G133" t="inlineStr">
        <is>
          <t>6088122961</t>
        </is>
      </c>
      <c r="H133" t="inlineStr">
        <is>
          <t>1901110022258</t>
        </is>
      </c>
      <c r="I133" t="inlineStr">
        <is>
          <t>대상아님</t>
        </is>
      </c>
      <c r="J133" t="inlineStr">
        <is>
          <t>일반법인</t>
        </is>
      </c>
      <c r="K133" t="inlineStr">
        <is>
          <t>중소기업</t>
        </is>
      </c>
      <c r="L133" t="inlineStr">
        <is>
          <t>외부감사대상</t>
        </is>
      </c>
      <c r="M133" s="6" t="inlineStr">
        <is>
          <t>1989-05-21</t>
        </is>
      </c>
      <c r="N133" t="inlineStr">
        <is>
          <t>KRI:10C2917200</t>
        </is>
      </c>
      <c r="O133" t="inlineStr">
        <is>
          <t>공기 조화장치 제조업</t>
        </is>
      </c>
      <c r="P133" t="inlineStr">
        <is>
          <t>공기조화장치,에어컨디셔너,공기청정기,연소기기 제조,판매/태양광 발전/전기공사</t>
        </is>
      </c>
      <c r="Q133" t="inlineStr">
        <is>
          <t>경남 창원시 마산회원구 양덕동 973-4번지</t>
        </is>
      </c>
      <c r="R133" t="inlineStr">
        <is>
          <t>경남 창원시 마산회원구 자유무역3길 154</t>
        </is>
      </c>
    </row>
    <row r="134" ht="19.2" customHeight="1" s="1">
      <c r="A134" t="inlineStr">
        <is>
          <t>NICE:112260</t>
        </is>
      </c>
      <c r="B134" t="inlineStr">
        <is>
          <t>센텍코리아</t>
        </is>
      </c>
      <c r="C134" t="inlineStr">
        <is>
          <t>유도준</t>
        </is>
      </c>
      <c r="D134" t="inlineStr">
        <is>
          <t>031-8071-4400</t>
        </is>
      </c>
      <c r="E134" t="inlineStr">
        <is>
          <t>031-8071-4624</t>
        </is>
      </c>
      <c r="F134" s="3">
        <f>HYPERLINK("http://www.sentechkorea.com", "http://www.sentechkorea.com")</f>
        <v/>
      </c>
      <c r="G134" t="inlineStr">
        <is>
          <t>5068129009</t>
        </is>
      </c>
      <c r="H134" t="inlineStr">
        <is>
          <t>1746110032736</t>
        </is>
      </c>
      <c r="I134" t="inlineStr">
        <is>
          <t>대상아님</t>
        </is>
      </c>
      <c r="J134" t="inlineStr">
        <is>
          <t>일반법인</t>
        </is>
      </c>
      <c r="K134" t="inlineStr">
        <is>
          <t>중소기업</t>
        </is>
      </c>
      <c r="L134" t="inlineStr">
        <is>
          <t>외부감사대상</t>
        </is>
      </c>
      <c r="M134" s="6" t="inlineStr">
        <is>
          <t>1998-07-29</t>
        </is>
      </c>
      <c r="N134" t="inlineStr">
        <is>
          <t>KRI:10C2721900</t>
        </is>
      </c>
      <c r="O134" t="inlineStr">
        <is>
          <t>기타 측정, 시험, 항해, 제어 및 정밀기기 제조업</t>
        </is>
      </c>
      <c r="P134" t="inlineStr">
        <is>
          <t>센서,음주감지기 제조/과학기기 도소매,무역,전자상거래/부동산 임대</t>
        </is>
      </c>
      <c r="Q134" t="inlineStr">
        <is>
          <t>경기 파주시 신촌동 63-23번지</t>
        </is>
      </c>
      <c r="R134" t="inlineStr">
        <is>
          <t>경기 파주시 지목로75번길 21-6</t>
        </is>
      </c>
    </row>
    <row r="135" ht="19.2" customHeight="1" s="1">
      <c r="A135" t="inlineStr">
        <is>
          <t>NICE:112853</t>
        </is>
      </c>
      <c r="B135" t="inlineStr">
        <is>
          <t>워터스코리아</t>
        </is>
      </c>
      <c r="C135" t="inlineStr">
        <is>
          <t>장타오</t>
        </is>
      </c>
      <c r="D135" t="inlineStr">
        <is>
          <t>02-6300-4800</t>
        </is>
      </c>
      <c r="E135" t="inlineStr">
        <is>
          <t>02-6300-9250</t>
        </is>
      </c>
      <c r="F135" s="3">
        <f>HYPERLINK("http://www.waters.com", "http://www.waters.com")</f>
        <v/>
      </c>
      <c r="G135" t="inlineStr">
        <is>
          <t>1188119944</t>
        </is>
      </c>
      <c r="H135" t="inlineStr">
        <is>
          <t>1101140029014</t>
        </is>
      </c>
      <c r="I135" t="inlineStr">
        <is>
          <t>대상아님</t>
        </is>
      </c>
      <c r="J135" t="inlineStr">
        <is>
          <t>일반법인</t>
        </is>
      </c>
      <c r="K135" t="inlineStr">
        <is>
          <t>중견기업</t>
        </is>
      </c>
      <c r="L135" t="inlineStr">
        <is>
          <t>외부감사대상</t>
        </is>
      </c>
      <c r="M135" s="6" t="inlineStr">
        <is>
          <t>1999-02-26</t>
        </is>
      </c>
      <c r="N135" t="inlineStr">
        <is>
          <t>KRI:10G4659300</t>
        </is>
      </c>
      <c r="O135" t="inlineStr">
        <is>
          <t>정밀기기 및 과학기기 도매업</t>
        </is>
      </c>
      <c r="P135" t="inlineStr">
        <is>
          <t>과학기기 도매,통신판매/과학기기 임대,A/S,학술연구용역,오파</t>
        </is>
      </c>
      <c r="Q135" t="inlineStr">
        <is>
          <t>경기 광명시 일직동 512-3번지 유플래닛타워 22층</t>
        </is>
      </c>
      <c r="R135" t="inlineStr">
        <is>
          <t>경기 광명시 신기로 20, 22층 (일직동,유플래닛타워)</t>
        </is>
      </c>
    </row>
    <row r="136" ht="19.2" customHeight="1" s="1">
      <c r="A136" t="inlineStr">
        <is>
          <t>NICE:113188</t>
        </is>
      </c>
      <c r="B136" t="inlineStr">
        <is>
          <t>엘씨텍</t>
        </is>
      </c>
      <c r="C136" t="inlineStr">
        <is>
          <t>김영복</t>
        </is>
      </c>
      <c r="D136" t="inlineStr">
        <is>
          <t>054-462-6991</t>
        </is>
      </c>
      <c r="E136" t="inlineStr">
        <is>
          <t>054-462-6995</t>
        </is>
      </c>
      <c r="F136" s="3">
        <f>HYPERLINK("http://www.lc-tek.co.kr", "http://www.lc-tek.co.kr")</f>
        <v/>
      </c>
      <c r="G136" t="inlineStr">
        <is>
          <t>5138114125</t>
        </is>
      </c>
      <c r="H136" t="inlineStr">
        <is>
          <t>1760110017316</t>
        </is>
      </c>
      <c r="I136" t="inlineStr">
        <is>
          <t>대상아님</t>
        </is>
      </c>
      <c r="J136" t="inlineStr">
        <is>
          <t>일반법인</t>
        </is>
      </c>
      <c r="K136" t="inlineStr">
        <is>
          <t>중소기업</t>
        </is>
      </c>
      <c r="L136" t="inlineStr">
        <is>
          <t>외부감사대상</t>
        </is>
      </c>
      <c r="M136" s="6" t="inlineStr">
        <is>
          <t>1998-09-23</t>
        </is>
      </c>
      <c r="N136" t="inlineStr">
        <is>
          <t>KRI:10C2629900</t>
        </is>
      </c>
      <c r="O136" t="inlineStr">
        <is>
          <t>그 외 기타 전자부품 제조업</t>
        </is>
      </c>
      <c r="P136" t="inlineStr">
        <is>
          <t>전기전자,기계 제조,도소매,정비</t>
        </is>
      </c>
      <c r="Q136" t="inlineStr">
        <is>
          <t>경북 구미시 공단동 223-1번지</t>
        </is>
      </c>
      <c r="R136" t="inlineStr">
        <is>
          <t>경북 구미시 1공단로7길 36-17</t>
        </is>
      </c>
    </row>
    <row r="137">
      <c r="A137" t="inlineStr">
        <is>
          <t>NICE:113542</t>
        </is>
      </c>
      <c r="B137" t="inlineStr">
        <is>
          <t>케이엔케이</t>
        </is>
      </c>
      <c r="C137" t="inlineStr">
        <is>
          <t>이동환</t>
        </is>
      </c>
      <c r="D137" t="inlineStr">
        <is>
          <t>051-253-4436</t>
        </is>
      </c>
      <c r="E137" t="inlineStr">
        <is>
          <t>051-253-4833</t>
        </is>
      </c>
      <c r="G137" t="inlineStr">
        <is>
          <t>6038138003</t>
        </is>
      </c>
      <c r="H137" t="inlineStr">
        <is>
          <t>1801110284347</t>
        </is>
      </c>
      <c r="I137" t="inlineStr">
        <is>
          <t>대상아님</t>
        </is>
      </c>
      <c r="J137" t="inlineStr">
        <is>
          <t>일반법인</t>
        </is>
      </c>
      <c r="K137" t="inlineStr">
        <is>
          <t>중소기업</t>
        </is>
      </c>
      <c r="L137" t="inlineStr">
        <is>
          <t>외부감사대상</t>
        </is>
      </c>
      <c r="M137" s="6" t="inlineStr">
        <is>
          <t>1999-04-16</t>
        </is>
      </c>
      <c r="N137" t="inlineStr">
        <is>
          <t>KRI:10G4632200</t>
        </is>
      </c>
      <c r="O137" t="inlineStr">
        <is>
          <t>수산물 가공식품 도매업</t>
        </is>
      </c>
      <c r="P137" t="inlineStr">
        <is>
          <t>수산물가공식품 도매</t>
        </is>
      </c>
      <c r="Q137" t="inlineStr">
        <is>
          <t>부산 서구 암남동 255-1번지 송도탑스빌 103호</t>
        </is>
      </c>
      <c r="R137" t="inlineStr">
        <is>
          <t>부산 서구 충무대로 56, 103호 (암남동,송도탑스빌)</t>
        </is>
      </c>
    </row>
    <row r="138" ht="19.2" customHeight="1" s="1">
      <c r="A138" t="inlineStr">
        <is>
          <t>NICE:117145</t>
        </is>
      </c>
      <c r="B138" t="inlineStr">
        <is>
          <t>크로버</t>
        </is>
      </c>
      <c r="C138" t="inlineStr">
        <is>
          <t>문일묵</t>
        </is>
      </c>
      <c r="D138" t="inlineStr">
        <is>
          <t>031-456-6266</t>
        </is>
      </c>
      <c r="E138" t="inlineStr">
        <is>
          <t>031-458-5077</t>
        </is>
      </c>
      <c r="F138" s="3">
        <f>HYPERLINK("http://www.clovercooler.com", "http://www.clovercooler.com")</f>
        <v/>
      </c>
      <c r="G138" t="inlineStr">
        <is>
          <t>1238130733</t>
        </is>
      </c>
      <c r="H138" t="inlineStr">
        <is>
          <t>1351110038301</t>
        </is>
      </c>
      <c r="I138" t="inlineStr">
        <is>
          <t>대상아님</t>
        </is>
      </c>
      <c r="J138" t="inlineStr">
        <is>
          <t>일반법인</t>
        </is>
      </c>
      <c r="K138" t="inlineStr">
        <is>
          <t>중소기업</t>
        </is>
      </c>
      <c r="L138" t="inlineStr">
        <is>
          <t>외부감사대상</t>
        </is>
      </c>
      <c r="M138" s="6" t="inlineStr">
        <is>
          <t>1992-12-23</t>
        </is>
      </c>
      <c r="N138" t="inlineStr">
        <is>
          <t>KRI:10C2917500</t>
        </is>
      </c>
      <c r="O138" t="inlineStr">
        <is>
          <t>액체 여과기 제조업</t>
        </is>
      </c>
      <c r="P138" t="inlineStr">
        <is>
          <t>생활,환경가전(냉온수기,정수기,커피머신) 제조,무역(수출)</t>
        </is>
      </c>
      <c r="Q138" t="inlineStr">
        <is>
          <t>경기 안양시 동안구 호계동 911-2번지</t>
        </is>
      </c>
      <c r="R138" t="inlineStr">
        <is>
          <t>경기 안양시 동안구 시민대로98번길 61</t>
        </is>
      </c>
    </row>
    <row r="139" ht="19.2" customHeight="1" s="1">
      <c r="A139" t="inlineStr">
        <is>
          <t>NICE:117654</t>
        </is>
      </c>
      <c r="B139" t="inlineStr">
        <is>
          <t>길종합건축사사무소이엔지</t>
        </is>
      </c>
      <c r="C139" t="inlineStr">
        <is>
          <t>이길환</t>
        </is>
      </c>
      <c r="D139" t="inlineStr">
        <is>
          <t>063-276-7200</t>
        </is>
      </c>
      <c r="E139" t="inlineStr">
        <is>
          <t>063-276-7201</t>
        </is>
      </c>
      <c r="F139" s="3">
        <f>HYPERLINK("http://www.gilgroup.co.kr", "http://www.gilgroup.co.kr")</f>
        <v/>
      </c>
      <c r="G139" t="inlineStr">
        <is>
          <t>4038115360</t>
        </is>
      </c>
      <c r="H139" t="inlineStr">
        <is>
          <t>2149110010092</t>
        </is>
      </c>
      <c r="I139" t="inlineStr">
        <is>
          <t>대상아님</t>
        </is>
      </c>
      <c r="J139" t="inlineStr">
        <is>
          <t>일반법인</t>
        </is>
      </c>
      <c r="K139" t="inlineStr">
        <is>
          <t>중소기업</t>
        </is>
      </c>
      <c r="L139" t="inlineStr">
        <is>
          <t>외부감사대상</t>
        </is>
      </c>
      <c r="M139" s="6" t="inlineStr">
        <is>
          <t>1996-01-01</t>
        </is>
      </c>
      <c r="N139" t="inlineStr">
        <is>
          <t>KRI:10M7211100</t>
        </is>
      </c>
      <c r="O139" t="inlineStr">
        <is>
          <t>건축설계 및 관련 서비스업</t>
        </is>
      </c>
      <c r="P139" t="inlineStr">
        <is>
          <t>건축 설계</t>
        </is>
      </c>
      <c r="Q139" t="inlineStr">
        <is>
          <t>전북 전주시 완산구 효자동3가 703번지</t>
        </is>
      </c>
      <c r="R139" t="inlineStr">
        <is>
          <t>전북 전주시 완산구 천잠로 531</t>
        </is>
      </c>
    </row>
    <row r="140" ht="19.2" customHeight="1" s="1">
      <c r="A140" t="inlineStr">
        <is>
          <t>NICE:118649</t>
        </is>
      </c>
      <c r="B140" t="inlineStr">
        <is>
          <t>삼천리금속</t>
        </is>
      </c>
      <c r="C140" t="inlineStr">
        <is>
          <t>조현익</t>
        </is>
      </c>
      <c r="D140" t="inlineStr">
        <is>
          <t>041-582-1321</t>
        </is>
      </c>
      <c r="E140" t="inlineStr">
        <is>
          <t>041-582-1340</t>
        </is>
      </c>
      <c r="F140" s="3">
        <f>HYPERLINK("http://www.smetal.co.kr", "http://www.smetal.co.kr")</f>
        <v/>
      </c>
      <c r="G140" t="inlineStr">
        <is>
          <t>3128130158</t>
        </is>
      </c>
      <c r="H140" t="inlineStr">
        <is>
          <t>1615110026801</t>
        </is>
      </c>
      <c r="I140" t="inlineStr">
        <is>
          <t>대상아님</t>
        </is>
      </c>
      <c r="J140" t="inlineStr">
        <is>
          <t>일반법인</t>
        </is>
      </c>
      <c r="K140" t="inlineStr">
        <is>
          <t>중소기업</t>
        </is>
      </c>
      <c r="L140" t="inlineStr">
        <is>
          <t>외부감사대상</t>
        </is>
      </c>
      <c r="M140" s="6" t="inlineStr">
        <is>
          <t>1998-05-04</t>
        </is>
      </c>
      <c r="N140" t="inlineStr">
        <is>
          <t>KRI:10C2431100</t>
        </is>
      </c>
      <c r="O140" t="inlineStr">
        <is>
          <t>선철주물 주조업</t>
        </is>
      </c>
      <c r="P140" t="inlineStr">
        <is>
          <t>선철주물(선박엔진부품,사출기실린더) 제조</t>
        </is>
      </c>
      <c r="Q140" t="inlineStr">
        <is>
          <t>충남 천안시 서북구 성환읍 매주리 394-2번지</t>
        </is>
      </c>
      <c r="R140" t="inlineStr">
        <is>
          <t>충남 천안시 서북구 성환읍 연암율금로 431</t>
        </is>
      </c>
    </row>
    <row r="141" ht="19.2" customHeight="1" s="1">
      <c r="A141" t="inlineStr">
        <is>
          <t>NICE:118876</t>
        </is>
      </c>
      <c r="B141" t="inlineStr">
        <is>
          <t>일강이엔아이</t>
        </is>
      </c>
      <c r="C141" t="inlineStr">
        <is>
          <t>김승기</t>
        </is>
      </c>
      <c r="D141" t="inlineStr">
        <is>
          <t>02-547-3311</t>
        </is>
      </c>
      <c r="E141" t="inlineStr">
        <is>
          <t>02-539-5920</t>
        </is>
      </c>
      <c r="F141" s="3">
        <f>HYPERLINK("http://ilkang.co.kr", "http://ilkang.co.kr")</f>
        <v/>
      </c>
      <c r="G141" t="inlineStr">
        <is>
          <t>2208133424</t>
        </is>
      </c>
      <c r="H141" t="inlineStr">
        <is>
          <t>1101111230658</t>
        </is>
      </c>
      <c r="I141" t="inlineStr">
        <is>
          <t>대상아님</t>
        </is>
      </c>
      <c r="J141" t="inlineStr">
        <is>
          <t>일반법인</t>
        </is>
      </c>
      <c r="K141" t="inlineStr">
        <is>
          <t>중소기업</t>
        </is>
      </c>
      <c r="L141" t="inlineStr">
        <is>
          <t>외부감사대상</t>
        </is>
      </c>
      <c r="M141" s="6" t="inlineStr">
        <is>
          <t>1996-01-11</t>
        </is>
      </c>
      <c r="N141" t="inlineStr">
        <is>
          <t>KRI:10F4213800</t>
        </is>
      </c>
      <c r="O141" t="inlineStr">
        <is>
          <t>지붕, 내ㆍ외벽 축조 관련 전문 공사업</t>
        </is>
      </c>
      <c r="P141" t="inlineStr">
        <is>
          <t>지붕판금공사</t>
        </is>
      </c>
      <c r="Q141" t="inlineStr">
        <is>
          <t>서울 강남구 개포동 1164-7번지 아람손프라자 2층</t>
        </is>
      </c>
      <c r="R141" t="inlineStr">
        <is>
          <t>서울 강남구 논현로2길 22, 2층 (개포동,아람손프라자)</t>
        </is>
      </c>
    </row>
    <row r="142" ht="19.2" customHeight="1" s="1">
      <c r="A142" t="inlineStr">
        <is>
          <t>NICE:119024</t>
        </is>
      </c>
      <c r="B142" t="inlineStr">
        <is>
          <t>태화인더스트리</t>
        </is>
      </c>
      <c r="C142" t="inlineStr">
        <is>
          <t>김성문</t>
        </is>
      </c>
      <c r="D142" t="inlineStr">
        <is>
          <t>02-598-1126</t>
        </is>
      </c>
      <c r="E142" t="inlineStr">
        <is>
          <t>02-598-1129</t>
        </is>
      </c>
      <c r="F142" s="3">
        <f>HYPERLINK("http://www.thi.co.kr", "http://www.thi.co.kr")</f>
        <v/>
      </c>
      <c r="G142" t="inlineStr">
        <is>
          <t>2148154254</t>
        </is>
      </c>
      <c r="H142" t="inlineStr">
        <is>
          <t>1101110937164</t>
        </is>
      </c>
      <c r="I142" t="inlineStr">
        <is>
          <t>대상아님</t>
        </is>
      </c>
      <c r="J142" t="inlineStr">
        <is>
          <t>일반법인</t>
        </is>
      </c>
      <c r="K142" t="inlineStr">
        <is>
          <t>중소기업</t>
        </is>
      </c>
      <c r="L142" t="inlineStr">
        <is>
          <t>외부감사대상</t>
        </is>
      </c>
      <c r="M142" s="6" t="inlineStr">
        <is>
          <t>1993-04-22</t>
        </is>
      </c>
      <c r="N142" t="inlineStr">
        <is>
          <t>KRI:10C2917100</t>
        </is>
      </c>
      <c r="O142" t="inlineStr">
        <is>
          <t>산업용 냉장 및 냉동 장비 제조업</t>
        </is>
      </c>
      <c r="P142" t="inlineStr">
        <is>
          <t>산업냉동기,응축기,신재생에너지 제조,도매,오파/기계설비공사,냉동설비공사</t>
        </is>
      </c>
      <c r="Q142" t="inlineStr">
        <is>
          <t>서울 서초구 서초동 1449-12번지 한원빌딩 2층</t>
        </is>
      </c>
      <c r="R142" t="inlineStr">
        <is>
          <t>서울 서초구 남부순환로 2423, 2층 (서초동,한원빌딩)</t>
        </is>
      </c>
    </row>
    <row r="143" ht="19.2" customHeight="1" s="1">
      <c r="A143" t="inlineStr">
        <is>
          <t>NICE:119289</t>
        </is>
      </c>
      <c r="B143" t="inlineStr">
        <is>
          <t>세화엔스텍</t>
        </is>
      </c>
      <c r="C143" t="inlineStr">
        <is>
          <t>고동균</t>
        </is>
      </c>
      <c r="D143" t="inlineStr">
        <is>
          <t>032-571-4221</t>
        </is>
      </c>
      <c r="E143" t="inlineStr">
        <is>
          <t>032-571-4217</t>
        </is>
      </c>
      <c r="F143" s="3">
        <f>HYPERLINK("http://www.sehwaetc.com", "http://www.sehwaetc.com")</f>
        <v/>
      </c>
      <c r="G143" t="inlineStr">
        <is>
          <t>1098118000</t>
        </is>
      </c>
      <c r="H143" t="inlineStr">
        <is>
          <t>1101110569016</t>
        </is>
      </c>
      <c r="I143" t="inlineStr">
        <is>
          <t>대상아님</t>
        </is>
      </c>
      <c r="J143" t="inlineStr">
        <is>
          <t>일반법인</t>
        </is>
      </c>
      <c r="K143" t="inlineStr">
        <is>
          <t>중소기업</t>
        </is>
      </c>
      <c r="L143" t="inlineStr">
        <is>
          <t>외부감사대상</t>
        </is>
      </c>
      <c r="M143" s="6" t="inlineStr">
        <is>
          <t>1988-04-01</t>
        </is>
      </c>
      <c r="N143" t="inlineStr">
        <is>
          <t>KRI:10E3822000</t>
        </is>
      </c>
      <c r="O143" t="inlineStr">
        <is>
          <t>지정 폐기물 처리업</t>
        </is>
      </c>
      <c r="P143" t="inlineStr">
        <is>
          <t>지정폐기물,폐수수탁 처리/환경오염방지시설설계시공사/재생처리/환경오염 측정대행</t>
        </is>
      </c>
      <c r="Q143" t="inlineStr">
        <is>
          <t>경기 부천시 원미구 상동 548-4번지 굿모닝오피스텔 707호</t>
        </is>
      </c>
      <c r="R143" t="inlineStr">
        <is>
          <t>경기 부천시 원미구 길주로 64, 707호 (상동,굿모닝오피스텔)</t>
        </is>
      </c>
    </row>
    <row r="144" ht="19.2" customHeight="1" s="1">
      <c r="A144" t="inlineStr">
        <is>
          <t>NICE:119470</t>
        </is>
      </c>
      <c r="B144" t="inlineStr">
        <is>
          <t>에이스택</t>
        </is>
      </c>
      <c r="C144" t="inlineStr">
        <is>
          <t>장정훈</t>
        </is>
      </c>
      <c r="D144" t="inlineStr">
        <is>
          <t>02-420-2343</t>
        </is>
      </c>
      <c r="E144" t="inlineStr">
        <is>
          <t>02-420-2757</t>
        </is>
      </c>
      <c r="F144" s="3">
        <f>HYPERLINK("http://www.acetronix.co.kr", "http://www.acetronix.co.kr")</f>
        <v/>
      </c>
      <c r="G144" t="inlineStr">
        <is>
          <t>2158168464</t>
        </is>
      </c>
      <c r="H144" t="inlineStr">
        <is>
          <t>1101111512478</t>
        </is>
      </c>
      <c r="I144" t="inlineStr">
        <is>
          <t>대상아님</t>
        </is>
      </c>
      <c r="J144" t="inlineStr">
        <is>
          <t>일반법인</t>
        </is>
      </c>
      <c r="K144" t="inlineStr">
        <is>
          <t>중소기업</t>
        </is>
      </c>
      <c r="L144" t="inlineStr">
        <is>
          <t>외부감사대상</t>
        </is>
      </c>
      <c r="M144" s="6" t="inlineStr">
        <is>
          <t>1994-10-01</t>
        </is>
      </c>
      <c r="N144" t="inlineStr">
        <is>
          <t>KRI:10C2631000</t>
        </is>
      </c>
      <c r="O144" t="inlineStr">
        <is>
          <t>컴퓨터 제조업</t>
        </is>
      </c>
      <c r="P144" t="inlineStr">
        <is>
          <t>컴퓨터,방송,무선통신기기,자동제어반 제조/신재생에너지/컴퓨터,주변기기,철도신호제어시스템 도소매,무역/소프트웨어 개발,공급</t>
        </is>
      </c>
      <c r="Q144" t="inlineStr">
        <is>
          <t>서울 구로구 구로동 222-14번지 에이스하이엔드타워2차 1604호</t>
        </is>
      </c>
      <c r="R144" t="inlineStr">
        <is>
          <t>서울 구로구 디지털로26길 61, 1604호 (구로동,에이스하이엔드타워2차)</t>
        </is>
      </c>
    </row>
    <row r="145" ht="19.2" customHeight="1" s="1">
      <c r="A145" t="inlineStr">
        <is>
          <t>NICE:119563</t>
        </is>
      </c>
      <c r="B145" t="inlineStr">
        <is>
          <t>한국에바라정밀기계</t>
        </is>
      </c>
      <c r="C145" t="inlineStr">
        <is>
          <t>박신영</t>
        </is>
      </c>
      <c r="D145" t="inlineStr">
        <is>
          <t>031-665-0001</t>
        </is>
      </c>
      <c r="E145" t="inlineStr">
        <is>
          <t>031-665-0003</t>
        </is>
      </c>
      <c r="F145" s="3">
        <f>HYPERLINK("http://www.ebara.co.kr", "http://www.ebara.co.kr")</f>
        <v/>
      </c>
      <c r="G145" t="inlineStr">
        <is>
          <t>1258110975</t>
        </is>
      </c>
      <c r="H145" t="inlineStr">
        <is>
          <t>1347110009434</t>
        </is>
      </c>
      <c r="I145" t="inlineStr">
        <is>
          <t>대상아님</t>
        </is>
      </c>
      <c r="J145" t="inlineStr">
        <is>
          <t>일반법인</t>
        </is>
      </c>
      <c r="K145" t="inlineStr">
        <is>
          <t>중견기업</t>
        </is>
      </c>
      <c r="L145" t="inlineStr">
        <is>
          <t>외부감사대상</t>
        </is>
      </c>
      <c r="M145" s="6" t="inlineStr">
        <is>
          <t>1993-04-21</t>
        </is>
      </c>
      <c r="N145" t="inlineStr">
        <is>
          <t>KRI:10C2927100</t>
        </is>
      </c>
      <c r="O145" t="inlineStr">
        <is>
          <t>반도체 제조용 기계 제조업</t>
        </is>
      </c>
      <c r="P145" t="inlineStr">
        <is>
          <t>반도체장비(진공펌프,CMP장비) 제조,판매,보수,수리</t>
        </is>
      </c>
      <c r="Q145" t="inlineStr">
        <is>
          <t>경기 평택시 모곡동 446-4번지</t>
        </is>
      </c>
      <c r="R145" t="inlineStr">
        <is>
          <t>경기 평택시 산단로16번길 11</t>
        </is>
      </c>
    </row>
    <row r="146" ht="19.2" customHeight="1" s="1">
      <c r="A146" t="inlineStr">
        <is>
          <t>NICE:121216</t>
        </is>
      </c>
      <c r="B146" t="inlineStr">
        <is>
          <t>일진종합건설</t>
        </is>
      </c>
      <c r="C146" t="inlineStr">
        <is>
          <t>강규철/강기용</t>
        </is>
      </c>
      <c r="D146" t="inlineStr">
        <is>
          <t>055-714-7695</t>
        </is>
      </c>
      <c r="E146" t="inlineStr">
        <is>
          <t>055-713-6364</t>
        </is>
      </c>
      <c r="F146" s="3">
        <f>HYPERLINK("http://www.ijcco.co.kr", "http://www.ijcco.co.kr")</f>
        <v/>
      </c>
      <c r="G146" t="inlineStr">
        <is>
          <t>6098120078</t>
        </is>
      </c>
      <c r="H146" t="inlineStr">
        <is>
          <t>1942110016718</t>
        </is>
      </c>
      <c r="I146" t="inlineStr">
        <is>
          <t>대상아님</t>
        </is>
      </c>
      <c r="J146" t="inlineStr">
        <is>
          <t>일반법인</t>
        </is>
      </c>
      <c r="K146" t="inlineStr">
        <is>
          <t>중소기업</t>
        </is>
      </c>
      <c r="L146" t="inlineStr">
        <is>
          <t>외부감사대상</t>
        </is>
      </c>
      <c r="M146" s="6" t="inlineStr">
        <is>
          <t>1988-08-01</t>
        </is>
      </c>
      <c r="N146" t="inlineStr">
        <is>
          <t>KRI:10F4110000</t>
        </is>
      </c>
      <c r="O146" t="inlineStr">
        <is>
          <t>건물 건설업</t>
        </is>
      </c>
      <c r="P146" t="inlineStr">
        <is>
          <t>건축공사,철근콘크리트공사,토목건축공사,조경공사/철구조물 제조/부동산 임대/시설물유지보수</t>
        </is>
      </c>
      <c r="Q146" t="inlineStr">
        <is>
          <t>경남 창원시 성산구 용호동 7-2번지 오피스프라자 303호</t>
        </is>
      </c>
      <c r="R146" t="inlineStr">
        <is>
          <t>경남 창원시 성산구 중앙대로 263, 303호 (용호동,오피스프라자)</t>
        </is>
      </c>
    </row>
    <row r="147" ht="19.2" customHeight="1" s="1">
      <c r="A147" t="inlineStr">
        <is>
          <t>NICE:121603</t>
        </is>
      </c>
      <c r="B147" t="inlineStr">
        <is>
          <t>대동항업</t>
        </is>
      </c>
      <c r="C147" t="inlineStr">
        <is>
          <t>신용완</t>
        </is>
      </c>
      <c r="D147" t="inlineStr">
        <is>
          <t>041-664-8647</t>
        </is>
      </c>
      <c r="E147" t="inlineStr">
        <is>
          <t>041-664-8648</t>
        </is>
      </c>
      <c r="F147" s="3">
        <f>HYPERLINK("http://www.portdaesan.co.kr", "http://www.portdaesan.co.kr")</f>
        <v/>
      </c>
      <c r="G147" t="inlineStr">
        <is>
          <t>3108101701</t>
        </is>
      </c>
      <c r="H147" t="inlineStr">
        <is>
          <t>1614110000857</t>
        </is>
      </c>
      <c r="I147" t="inlineStr">
        <is>
          <t>대상아님</t>
        </is>
      </c>
      <c r="J147" t="inlineStr">
        <is>
          <t>일반법인</t>
        </is>
      </c>
      <c r="K147" t="inlineStr">
        <is>
          <t>중소기업</t>
        </is>
      </c>
      <c r="L147" t="inlineStr">
        <is>
          <t>외부감사대상</t>
        </is>
      </c>
      <c r="M147" s="6" t="inlineStr">
        <is>
          <t>1988-02-26</t>
        </is>
      </c>
      <c r="N147" t="inlineStr">
        <is>
          <t>KRI:10H5013000</t>
        </is>
      </c>
      <c r="O147" t="inlineStr">
        <is>
          <t>기타 해상 운송업</t>
        </is>
      </c>
      <c r="P147" t="inlineStr">
        <is>
          <t>예인선/해운대리점,선박관리,항만운송/선박 임대/부동산 임대,매매</t>
        </is>
      </c>
      <c r="Q147" t="inlineStr">
        <is>
          <t>충남 서산시 대산읍 대로리 274번지</t>
        </is>
      </c>
      <c r="R147" t="inlineStr">
        <is>
          <t>충남 서산시 대산읍 영좌동길 156</t>
        </is>
      </c>
    </row>
    <row r="148" ht="19.2" customHeight="1" s="1">
      <c r="A148" t="inlineStr">
        <is>
          <t>NICE:122427</t>
        </is>
      </c>
      <c r="B148" t="inlineStr">
        <is>
          <t>라인테크닉스</t>
        </is>
      </c>
      <c r="C148" t="inlineStr">
        <is>
          <t>예태환</t>
        </is>
      </c>
      <c r="D148" t="inlineStr">
        <is>
          <t>031-489-8311</t>
        </is>
      </c>
      <c r="E148" t="inlineStr">
        <is>
          <t>031-434-3344</t>
        </is>
      </c>
      <c r="F148" s="3">
        <f>HYPERLINK("http://www.linetechnics.co.kr", "http://www.linetechnics.co.kr")</f>
        <v/>
      </c>
      <c r="G148" t="inlineStr">
        <is>
          <t>1398102377</t>
        </is>
      </c>
      <c r="H148" t="inlineStr">
        <is>
          <t>1201110081084</t>
        </is>
      </c>
      <c r="I148" t="inlineStr">
        <is>
          <t>대상아님</t>
        </is>
      </c>
      <c r="J148" t="inlineStr">
        <is>
          <t>일반법인</t>
        </is>
      </c>
      <c r="K148" t="inlineStr">
        <is>
          <t>중소기업</t>
        </is>
      </c>
      <c r="L148" t="inlineStr">
        <is>
          <t>외부감사대상</t>
        </is>
      </c>
      <c r="M148" s="6" t="inlineStr">
        <is>
          <t>1987-01-01</t>
        </is>
      </c>
      <c r="N148" t="inlineStr">
        <is>
          <t>KRI:10C2641000</t>
        </is>
      </c>
      <c r="O148" t="inlineStr">
        <is>
          <t>유선 통신장비 제조업</t>
        </is>
      </c>
      <c r="P148" t="inlineStr">
        <is>
          <t>유무선전자통신기기 제조/무역/부동산 임대</t>
        </is>
      </c>
      <c r="Q148" t="inlineStr">
        <is>
          <t>경기 안산시 단원구 성곡동 823-1번지</t>
        </is>
      </c>
      <c r="R148" t="inlineStr">
        <is>
          <t>경기 안산시 단원구 엠티브이22로 86</t>
        </is>
      </c>
    </row>
    <row r="149" ht="19.2" customHeight="1" s="1">
      <c r="A149" t="inlineStr">
        <is>
          <t>NICE:122476</t>
        </is>
      </c>
      <c r="B149" t="inlineStr">
        <is>
          <t>원건설</t>
        </is>
      </c>
      <c r="C149" t="inlineStr">
        <is>
          <t>이상용</t>
        </is>
      </c>
      <c r="D149" t="inlineStr">
        <is>
          <t>043-229-2300</t>
        </is>
      </c>
      <c r="E149" t="inlineStr">
        <is>
          <t>043-259-4434</t>
        </is>
      </c>
      <c r="F149" s="3">
        <f>HYPERLINK("http://www.wonenc.co.kr", "http://www.wonenc.co.kr")</f>
        <v/>
      </c>
      <c r="G149" t="inlineStr">
        <is>
          <t>3018119323</t>
        </is>
      </c>
      <c r="H149" t="inlineStr">
        <is>
          <t>1501110015889</t>
        </is>
      </c>
      <c r="I149" t="inlineStr">
        <is>
          <t>대상아님</t>
        </is>
      </c>
      <c r="J149" t="inlineStr">
        <is>
          <t>일반법인</t>
        </is>
      </c>
      <c r="K149" t="inlineStr">
        <is>
          <t>중견기업</t>
        </is>
      </c>
      <c r="L149" t="inlineStr">
        <is>
          <t>외부감사대상</t>
        </is>
      </c>
      <c r="M149" s="6" t="inlineStr">
        <is>
          <t>1984-02-01</t>
        </is>
      </c>
      <c r="N149" t="inlineStr">
        <is>
          <t>KRI:10F4122000</t>
        </is>
      </c>
      <c r="O149" t="inlineStr">
        <is>
          <t>토목시설물 건설업</t>
        </is>
      </c>
      <c r="P149" t="inlineStr">
        <is>
          <t>토목건축공사,주택신축판매(건설),조경공사,전문소방시설공사,전기공사/수목 도매</t>
        </is>
      </c>
      <c r="Q149" t="inlineStr">
        <is>
          <t>충북 청주시 상당구 북문로2가 116-166번지</t>
        </is>
      </c>
      <c r="R149" t="inlineStr">
        <is>
          <t>충북 청주시 상당구 상당로 127</t>
        </is>
      </c>
    </row>
    <row r="150">
      <c r="A150" t="inlineStr">
        <is>
          <t>NICE:122702</t>
        </is>
      </c>
      <c r="B150" t="inlineStr">
        <is>
          <t>태길종합건설</t>
        </is>
      </c>
      <c r="C150" t="inlineStr">
        <is>
          <t>박근숙</t>
        </is>
      </c>
      <c r="D150" t="inlineStr">
        <is>
          <t>031-600-1700</t>
        </is>
      </c>
      <c r="E150" t="inlineStr">
        <is>
          <t>031-600-1799</t>
        </is>
      </c>
      <c r="G150" t="inlineStr">
        <is>
          <t>1208185544</t>
        </is>
      </c>
      <c r="H150" t="inlineStr">
        <is>
          <t>1101111629455</t>
        </is>
      </c>
      <c r="I150" t="inlineStr">
        <is>
          <t>대상아님</t>
        </is>
      </c>
      <c r="J150" t="inlineStr">
        <is>
          <t>일반법인</t>
        </is>
      </c>
      <c r="K150" t="inlineStr">
        <is>
          <t>대기업</t>
        </is>
      </c>
      <c r="L150" t="inlineStr">
        <is>
          <t>외부감사대상</t>
        </is>
      </c>
      <c r="M150" s="6" t="inlineStr">
        <is>
          <t>1999-01-06</t>
        </is>
      </c>
      <c r="N150" t="inlineStr">
        <is>
          <t>KRI:10L6812200</t>
        </is>
      </c>
      <c r="O150" t="inlineStr">
        <is>
          <t>비주거용 건물 개발 및 공급업</t>
        </is>
      </c>
      <c r="P150" t="inlineStr">
        <is>
          <t>부동산 분양,임대,매매/토목건축공사,준설공사,토공사,퇴적오염물질수거공사/풍력발전/건설기계대여/건축,토목관련자재 도소매,무역</t>
        </is>
      </c>
      <c r="Q150" t="inlineStr">
        <is>
          <t>경기 성남시 중원구 성남동 4169번지 성남메트로칸 4층 425호</t>
        </is>
      </c>
      <c r="R150" t="inlineStr">
        <is>
          <t>경기 성남시 중원구 성남대로 1133, 4층 425호 (성남동,성남메트로칸)</t>
        </is>
      </c>
    </row>
    <row r="151" ht="19.2" customHeight="1" s="1">
      <c r="A151" t="inlineStr">
        <is>
          <t>NICE:122856</t>
        </is>
      </c>
      <c r="B151" t="inlineStr">
        <is>
          <t>한경닷컴</t>
        </is>
      </c>
      <c r="C151" t="inlineStr">
        <is>
          <t>박수진</t>
        </is>
      </c>
      <c r="D151" t="inlineStr">
        <is>
          <t>02-3277-9900</t>
        </is>
      </c>
      <c r="E151" t="inlineStr">
        <is>
          <t>02-392-8773</t>
        </is>
      </c>
      <c r="F151" s="3">
        <f>HYPERLINK("http://www.hankyung.com", "http://www.hankyung.com")</f>
        <v/>
      </c>
      <c r="G151" t="inlineStr">
        <is>
          <t>1048147984</t>
        </is>
      </c>
      <c r="H151" t="inlineStr">
        <is>
          <t>1101111800211</t>
        </is>
      </c>
      <c r="I151" t="inlineStr">
        <is>
          <t>대상아님</t>
        </is>
      </c>
      <c r="J151" t="inlineStr">
        <is>
          <t>일반법인</t>
        </is>
      </c>
      <c r="K151" t="inlineStr">
        <is>
          <t>중견기업</t>
        </is>
      </c>
      <c r="L151" t="inlineStr">
        <is>
          <t>외부감사대상</t>
        </is>
      </c>
      <c r="M151" s="6" t="inlineStr">
        <is>
          <t>1999-11-01</t>
        </is>
      </c>
      <c r="N151" t="inlineStr">
        <is>
          <t>KRI:10J6399100</t>
        </is>
      </c>
      <c r="O151" t="inlineStr">
        <is>
          <t>데이터베이스 및 온라인정보 제공업</t>
        </is>
      </c>
      <c r="P151" t="inlineStr">
        <is>
          <t>온라인,부동산정보 제공/컴퓨터,주변기기 제조/소프트웨어 개발,공급</t>
        </is>
      </c>
      <c r="Q151" t="inlineStr">
        <is>
          <t>서울 중구 중림동 441번지</t>
        </is>
      </c>
      <c r="R151" t="inlineStr">
        <is>
          <t>서울 중구 청파로 463</t>
        </is>
      </c>
    </row>
    <row r="152" ht="19.2" customHeight="1" s="1">
      <c r="A152" t="inlineStr">
        <is>
          <t>NICE:123364</t>
        </is>
      </c>
      <c r="B152" t="inlineStr">
        <is>
          <t>케이비아이국인산업</t>
        </is>
      </c>
      <c r="C152" t="inlineStr">
        <is>
          <t>김선진</t>
        </is>
      </c>
      <c r="D152" t="inlineStr">
        <is>
          <t>054-473-1116</t>
        </is>
      </c>
      <c r="E152" t="inlineStr">
        <is>
          <t>054-473-2686</t>
        </is>
      </c>
      <c r="F152" s="3">
        <f>HYPERLINK("http://www.kukin.co.kr", "http://www.kukin.co.kr")</f>
        <v/>
      </c>
      <c r="G152" t="inlineStr">
        <is>
          <t>5088105677</t>
        </is>
      </c>
      <c r="H152" t="inlineStr">
        <is>
          <t>1711110004515</t>
        </is>
      </c>
      <c r="I152" t="inlineStr">
        <is>
          <t>대상아님</t>
        </is>
      </c>
      <c r="J152" t="inlineStr">
        <is>
          <t>일반법인</t>
        </is>
      </c>
      <c r="K152" t="inlineStr">
        <is>
          <t>중견기업</t>
        </is>
      </c>
      <c r="L152" t="inlineStr">
        <is>
          <t>외부감사대상</t>
        </is>
      </c>
      <c r="M152" s="6" t="inlineStr">
        <is>
          <t>1996-11-29</t>
        </is>
      </c>
      <c r="N152" t="inlineStr">
        <is>
          <t>KRI:10E3821000</t>
        </is>
      </c>
      <c r="O152" t="inlineStr">
        <is>
          <t>지정 외 폐기물 처리업</t>
        </is>
      </c>
      <c r="P152" t="inlineStr">
        <is>
          <t>지정외폐기물(산업폐기물,핵폐기물) 수집처리/화공품 재생/부동산 임대</t>
        </is>
      </c>
      <c r="Q152" t="inlineStr">
        <is>
          <t>경북 구미시 시미동 166-7번지</t>
        </is>
      </c>
      <c r="R152" t="inlineStr">
        <is>
          <t>경북 구미시 3공단3로 46-79</t>
        </is>
      </c>
    </row>
    <row r="153" ht="19.2" customHeight="1" s="1">
      <c r="A153" t="inlineStr">
        <is>
          <t>NICE:124499</t>
        </is>
      </c>
      <c r="B153" t="inlineStr">
        <is>
          <t>연무기술</t>
        </is>
      </c>
      <c r="C153" t="inlineStr">
        <is>
          <t>박재용</t>
        </is>
      </c>
      <c r="D153" t="inlineStr">
        <is>
          <t>042-863-9187</t>
        </is>
      </c>
      <c r="E153" t="inlineStr">
        <is>
          <t>042-863-9185</t>
        </is>
      </c>
      <c r="F153" s="3">
        <f>HYPERLINK("http://www.yeonmu.com", "http://www.yeonmu.com")</f>
        <v/>
      </c>
      <c r="G153" t="inlineStr">
        <is>
          <t>3148125419</t>
        </is>
      </c>
      <c r="H153" t="inlineStr">
        <is>
          <t>1601110080202</t>
        </is>
      </c>
      <c r="I153" t="inlineStr">
        <is>
          <t>대상아님</t>
        </is>
      </c>
      <c r="J153" t="inlineStr">
        <is>
          <t>일반법인</t>
        </is>
      </c>
      <c r="K153" t="inlineStr">
        <is>
          <t>중소기업</t>
        </is>
      </c>
      <c r="L153" t="inlineStr">
        <is>
          <t>외부감사대상</t>
        </is>
      </c>
      <c r="M153" s="6" t="inlineStr">
        <is>
          <t>1999-03-24</t>
        </is>
      </c>
      <c r="N153" t="inlineStr">
        <is>
          <t>KRI:10J6209000</t>
        </is>
      </c>
      <c r="O153" t="inlineStr">
        <is>
          <t>기타 정보기술 및 컴퓨터운영 관련 서비스업</t>
        </is>
      </c>
      <c r="P153" t="inlineStr">
        <is>
          <t>통신장비,전산장비 유지보수용역/정보통신 설계</t>
        </is>
      </c>
      <c r="Q153" t="inlineStr">
        <is>
          <t>대전 유성구 도룡동 385-19번지</t>
        </is>
      </c>
      <c r="R153" t="inlineStr">
        <is>
          <t>대전 유성구 대덕대로590번길 11-14</t>
        </is>
      </c>
    </row>
    <row r="154" ht="19.2" customHeight="1" s="1">
      <c r="A154" t="inlineStr">
        <is>
          <t>NICE:124521</t>
        </is>
      </c>
      <c r="B154" t="inlineStr">
        <is>
          <t>에이치디현대삼호</t>
        </is>
      </c>
      <c r="C154" t="inlineStr">
        <is>
          <t>김재을</t>
        </is>
      </c>
      <c r="D154" t="inlineStr">
        <is>
          <t>061-460-2114</t>
        </is>
      </c>
      <c r="E154" t="inlineStr">
        <is>
          <t>061-460-3701</t>
        </is>
      </c>
      <c r="F154" s="3">
        <f>HYPERLINK("http://www.hshi.co.kr", "http://www.hshi.co.kr")</f>
        <v/>
      </c>
      <c r="G154" t="inlineStr">
        <is>
          <t>4118119799</t>
        </is>
      </c>
      <c r="H154" t="inlineStr">
        <is>
          <t>2054110003915</t>
        </is>
      </c>
      <c r="I154" t="inlineStr">
        <is>
          <t>대상아님</t>
        </is>
      </c>
      <c r="J154" t="inlineStr">
        <is>
          <t>일반법인</t>
        </is>
      </c>
      <c r="K154" t="inlineStr">
        <is>
          <t>대기업</t>
        </is>
      </c>
      <c r="L154" t="inlineStr">
        <is>
          <t>외부감사대상</t>
        </is>
      </c>
      <c r="M154" s="6" t="inlineStr">
        <is>
          <t>1998-11-04</t>
        </is>
      </c>
      <c r="N154" t="inlineStr">
        <is>
          <t>KRI:10C3111100</t>
        </is>
      </c>
      <c r="O154" t="inlineStr">
        <is>
          <t>강선 건조업</t>
        </is>
      </c>
      <c r="P154" t="inlineStr">
        <is>
          <t>강선건조,수리 제조</t>
        </is>
      </c>
      <c r="Q154" t="inlineStr">
        <is>
          <t>전남 영암군 삼호읍 용당리 2172-5번지</t>
        </is>
      </c>
      <c r="R154" t="inlineStr">
        <is>
          <t>전남 영암군 삼호읍 대불로 93</t>
        </is>
      </c>
    </row>
    <row r="155" ht="19.2" customHeight="1" s="1">
      <c r="A155" t="inlineStr">
        <is>
          <t>NICE:125614</t>
        </is>
      </c>
      <c r="B155" t="inlineStr">
        <is>
          <t>한무컨벤션</t>
        </is>
      </c>
      <c r="C155" t="inlineStr">
        <is>
          <t>조윤영</t>
        </is>
      </c>
      <c r="D155" t="inlineStr">
        <is>
          <t>02-3466-7304</t>
        </is>
      </c>
      <c r="E155" t="inlineStr">
        <is>
          <t>02-3466-7910</t>
        </is>
      </c>
      <c r="F155" s="3">
        <f>HYPERLINK("http://www.oakwoodpremier.co.kr", "http://www.oakwoodpremier.co.kr")</f>
        <v/>
      </c>
      <c r="G155" t="inlineStr">
        <is>
          <t>1208109492</t>
        </is>
      </c>
      <c r="H155" t="inlineStr">
        <is>
          <t>1101110808290</t>
        </is>
      </c>
      <c r="I155" t="inlineStr">
        <is>
          <t>대상아님</t>
        </is>
      </c>
      <c r="J155" t="inlineStr">
        <is>
          <t>일반법인</t>
        </is>
      </c>
      <c r="K155" t="inlineStr">
        <is>
          <t>중견기업</t>
        </is>
      </c>
      <c r="L155" t="inlineStr">
        <is>
          <t>외부감사대상</t>
        </is>
      </c>
      <c r="M155" s="6" t="inlineStr">
        <is>
          <t>1991-10-07</t>
        </is>
      </c>
      <c r="N155" t="inlineStr">
        <is>
          <t>KRI:10I5510100</t>
        </is>
      </c>
      <c r="O155" t="inlineStr">
        <is>
          <t>호텔업</t>
        </is>
      </c>
      <c r="P155" t="inlineStr">
        <is>
          <t>호텔/통신 판매/한식점/외화 환전/부동산 임대</t>
        </is>
      </c>
      <c r="Q155" t="inlineStr">
        <is>
          <t>서울 강남구 삼성동 159번지</t>
        </is>
      </c>
      <c r="R155" t="inlineStr">
        <is>
          <t>서울 강남구 봉은사로 524</t>
        </is>
      </c>
    </row>
    <row r="156" ht="19.2" customHeight="1" s="1">
      <c r="A156" t="inlineStr">
        <is>
          <t>NICE:125771</t>
        </is>
      </c>
      <c r="B156" t="inlineStr">
        <is>
          <t>화인케미칼</t>
        </is>
      </c>
      <c r="C156" t="inlineStr">
        <is>
          <t>이성율</t>
        </is>
      </c>
      <c r="D156" t="inlineStr">
        <is>
          <t>055-345-2030</t>
        </is>
      </c>
      <c r="E156" t="inlineStr">
        <is>
          <t>055-342-4617</t>
        </is>
      </c>
      <c r="F156" s="3">
        <f>HYPERLINK("http://www.finechemical.co.kr", "http://www.finechemical.co.kr")</f>
        <v/>
      </c>
      <c r="G156" t="inlineStr">
        <is>
          <t>6228115919</t>
        </is>
      </c>
      <c r="H156" t="inlineStr">
        <is>
          <t>1846110021638</t>
        </is>
      </c>
      <c r="I156" t="inlineStr">
        <is>
          <t>대상아님</t>
        </is>
      </c>
      <c r="J156" t="inlineStr">
        <is>
          <t>일반법인</t>
        </is>
      </c>
      <c r="K156" t="inlineStr">
        <is>
          <t>중소기업</t>
        </is>
      </c>
      <c r="L156" t="inlineStr">
        <is>
          <t>외부감사대상</t>
        </is>
      </c>
      <c r="M156" s="6" t="inlineStr">
        <is>
          <t>1997-03-07</t>
        </is>
      </c>
      <c r="N156" t="inlineStr">
        <is>
          <t>KRI:10G4673300</t>
        </is>
      </c>
      <c r="O156" t="inlineStr">
        <is>
          <t>플라스틱물질 및 합성고무 도매업</t>
        </is>
      </c>
      <c r="P156" t="inlineStr">
        <is>
          <t>산업용 고무스폰지 도소매,제조</t>
        </is>
      </c>
      <c r="Q156" t="inlineStr">
        <is>
          <t>경남 김해시 진영읍 죽곡리 7-1번지</t>
        </is>
      </c>
      <c r="R156" t="inlineStr">
        <is>
          <t>경남 김해시 진영읍 서부로123번길 30-16</t>
        </is>
      </c>
    </row>
    <row r="157" ht="19.2" customHeight="1" s="1">
      <c r="A157" t="inlineStr">
        <is>
          <t>NICE:126628</t>
        </is>
      </c>
      <c r="B157" t="inlineStr">
        <is>
          <t>티맥스소프트</t>
        </is>
      </c>
      <c r="C157" t="inlineStr">
        <is>
          <t>이형용</t>
        </is>
      </c>
      <c r="D157" t="inlineStr">
        <is>
          <t>031-8018-1000</t>
        </is>
      </c>
      <c r="E157" t="inlineStr">
        <is>
          <t>031-8018-1115</t>
        </is>
      </c>
      <c r="F157" s="3">
        <f>HYPERLINK("http://www.tmaxsoft.com", "http://www.tmaxsoft.com")</f>
        <v/>
      </c>
      <c r="G157" t="inlineStr">
        <is>
          <t>2208145181</t>
        </is>
      </c>
      <c r="H157" t="inlineStr">
        <is>
          <t>1101111422148</t>
        </is>
      </c>
      <c r="I157" t="inlineStr">
        <is>
          <t>제3시장</t>
        </is>
      </c>
      <c r="J157" t="inlineStr">
        <is>
          <t>일반법인</t>
        </is>
      </c>
      <c r="K157" t="inlineStr">
        <is>
          <t>중견기업</t>
        </is>
      </c>
      <c r="L157" t="inlineStr">
        <is>
          <t>외부감사대상</t>
        </is>
      </c>
      <c r="M157" s="6" t="inlineStr">
        <is>
          <t>1997-06-03</t>
        </is>
      </c>
      <c r="N157" t="inlineStr">
        <is>
          <t>KRI:10J5822100</t>
        </is>
      </c>
      <c r="O157" t="inlineStr">
        <is>
          <t>시스템 소프트웨어 개발 및 공급업</t>
        </is>
      </c>
      <c r="P157" t="inlineStr">
        <is>
          <t>컴퓨터소프트웨어 개발,자문,공급/컴퓨터,주변기기,소프트웨어 도소매,전자상거래/평생교육시설 운영</t>
        </is>
      </c>
      <c r="Q157" t="inlineStr">
        <is>
          <t>경기 성남시 분당구 금곡동 196번지</t>
        </is>
      </c>
      <c r="R157" t="inlineStr">
        <is>
          <t>경기 성남시 분당구 정자일로 45</t>
        </is>
      </c>
    </row>
    <row r="158">
      <c r="A158" t="inlineStr">
        <is>
          <t>NICE:127823</t>
        </is>
      </c>
      <c r="B158" t="inlineStr">
        <is>
          <t>조광선박</t>
        </is>
      </c>
      <c r="C158" t="inlineStr">
        <is>
          <t>김경민</t>
        </is>
      </c>
      <c r="D158" t="inlineStr">
        <is>
          <t>052-265-7756</t>
        </is>
      </c>
      <c r="E158" t="inlineStr">
        <is>
          <t>052-267-4496</t>
        </is>
      </c>
      <c r="G158" t="inlineStr">
        <is>
          <t>6108104971</t>
        </is>
      </c>
      <c r="H158" t="inlineStr">
        <is>
          <t>1812110002473</t>
        </is>
      </c>
      <c r="I158" t="inlineStr">
        <is>
          <t>대상아님</t>
        </is>
      </c>
      <c r="J158" t="inlineStr">
        <is>
          <t>일반법인</t>
        </is>
      </c>
      <c r="K158" t="inlineStr">
        <is>
          <t>중소기업</t>
        </is>
      </c>
      <c r="L158" t="inlineStr">
        <is>
          <t>외부감사대상</t>
        </is>
      </c>
      <c r="M158" s="6" t="inlineStr">
        <is>
          <t>1982-05-13</t>
        </is>
      </c>
      <c r="N158" t="inlineStr">
        <is>
          <t>KRI:10H5013000</t>
        </is>
      </c>
      <c r="O158" t="inlineStr">
        <is>
          <t>기타 해상 운송업</t>
        </is>
      </c>
      <c r="P158" t="inlineStr">
        <is>
          <t>해상예인선 운송/방제/선박 수리</t>
        </is>
      </c>
      <c r="Q158" t="inlineStr">
        <is>
          <t>울산 남구 장생포동 60-5번지</t>
        </is>
      </c>
      <c r="R158" t="inlineStr">
        <is>
          <t>울산 남구 장생포고래로 225</t>
        </is>
      </c>
    </row>
    <row r="159" ht="19.2" customHeight="1" s="1">
      <c r="A159" t="inlineStr">
        <is>
          <t>NICE:129254</t>
        </is>
      </c>
      <c r="B159" t="inlineStr">
        <is>
          <t>극동볼트</t>
        </is>
      </c>
      <c r="C159" t="inlineStr">
        <is>
          <t>최병길</t>
        </is>
      </c>
      <c r="D159" t="inlineStr">
        <is>
          <t>053-581-1501</t>
        </is>
      </c>
      <c r="E159" t="inlineStr">
        <is>
          <t>053-581-1503</t>
        </is>
      </c>
      <c r="F159" s="3">
        <f>HYPERLINK("http://www.kdbolt.com", "http://www.kdbolt.com")</f>
        <v/>
      </c>
      <c r="G159" t="inlineStr">
        <is>
          <t>5038613861</t>
        </is>
      </c>
      <c r="H159" t="inlineStr">
        <is>
          <t>1701110532003</t>
        </is>
      </c>
      <c r="I159" t="inlineStr">
        <is>
          <t>대상아님</t>
        </is>
      </c>
      <c r="J159" t="inlineStr">
        <is>
          <t>일반법인</t>
        </is>
      </c>
      <c r="K159" t="inlineStr">
        <is>
          <t>중소기업</t>
        </is>
      </c>
      <c r="L159" t="inlineStr">
        <is>
          <t>외부감사대상</t>
        </is>
      </c>
      <c r="M159" s="6" t="inlineStr">
        <is>
          <t>1988-04-01</t>
        </is>
      </c>
      <c r="N159" t="inlineStr">
        <is>
          <t>KRI:10C2594100</t>
        </is>
      </c>
      <c r="O159" t="inlineStr">
        <is>
          <t>볼트 및 너트류 제조업</t>
        </is>
      </c>
      <c r="P159" t="inlineStr">
        <is>
          <t>볼트(자동차조립용) 제조,도소매</t>
        </is>
      </c>
      <c r="Q159" t="inlineStr">
        <is>
          <t>대구 달서구 갈산동 358-77번지</t>
        </is>
      </c>
      <c r="R159" t="inlineStr">
        <is>
          <t>대구 달서구 성서서로 136</t>
        </is>
      </c>
    </row>
    <row r="160" ht="19.2" customHeight="1" s="1">
      <c r="A160" t="inlineStr">
        <is>
          <t>NICE:130389</t>
        </is>
      </c>
      <c r="B160" t="inlineStr">
        <is>
          <t>동남</t>
        </is>
      </c>
      <c r="C160" t="inlineStr">
        <is>
          <t>윤명길</t>
        </is>
      </c>
      <c r="D160" t="inlineStr">
        <is>
          <t>051-250-7000</t>
        </is>
      </c>
      <c r="E160" t="inlineStr">
        <is>
          <t>051-250-7023</t>
        </is>
      </c>
      <c r="F160" s="3">
        <f>HYPERLINK("http://www.charmson.co.kr", "http://www.charmson.co.kr")</f>
        <v/>
      </c>
      <c r="G160" t="inlineStr">
        <is>
          <t>6038106419</t>
        </is>
      </c>
      <c r="H160" t="inlineStr">
        <is>
          <t>1801110026997</t>
        </is>
      </c>
      <c r="I160" t="inlineStr">
        <is>
          <t>대상아님</t>
        </is>
      </c>
      <c r="J160" t="inlineStr">
        <is>
          <t>일반법인</t>
        </is>
      </c>
      <c r="K160" t="inlineStr">
        <is>
          <t>중소기업</t>
        </is>
      </c>
      <c r="L160" t="inlineStr">
        <is>
          <t>외부감사대상</t>
        </is>
      </c>
      <c r="M160" s="6" t="inlineStr">
        <is>
          <t>1977-05-19</t>
        </is>
      </c>
      <c r="N160" t="inlineStr">
        <is>
          <t>KRI:10G4631500</t>
        </is>
      </c>
      <c r="O160" t="inlineStr">
        <is>
          <t>신선, 냉동 및 기타 수산물 도매업</t>
        </is>
      </c>
      <c r="P160" t="inlineStr">
        <is>
          <t>수산물 도매/원양어업</t>
        </is>
      </c>
      <c r="Q160" t="inlineStr">
        <is>
          <t>부산 서구 암남동 739번지</t>
        </is>
      </c>
      <c r="R160" t="inlineStr">
        <is>
          <t>부산 서구 원양로 171</t>
        </is>
      </c>
    </row>
    <row r="161" ht="19.2" customHeight="1" s="1">
      <c r="A161" t="inlineStr">
        <is>
          <t>NICE:132482</t>
        </is>
      </c>
      <c r="B161" t="inlineStr">
        <is>
          <t>피엠씨바이오제닉스코리아</t>
        </is>
      </c>
      <c r="C161" t="inlineStr">
        <is>
          <t>뎁토시차크라바르티/폴제라드바이스</t>
        </is>
      </c>
      <c r="D161" t="inlineStr">
        <is>
          <t>054-776-0625</t>
        </is>
      </c>
      <c r="E161" t="inlineStr">
        <is>
          <t>054-776-0623</t>
        </is>
      </c>
      <c r="F161" s="3">
        <f>HYPERLINK("http://pmcbiogenixkorea.com", "http://pmcbiogenixkorea.com")</f>
        <v/>
      </c>
      <c r="G161" t="inlineStr">
        <is>
          <t>5058116495</t>
        </is>
      </c>
      <c r="H161" t="inlineStr">
        <is>
          <t>1712110018258</t>
        </is>
      </c>
      <c r="I161" t="inlineStr">
        <is>
          <t>대상아님</t>
        </is>
      </c>
      <c r="J161" t="inlineStr">
        <is>
          <t>일반법인</t>
        </is>
      </c>
      <c r="K161" t="inlineStr">
        <is>
          <t>중소기업</t>
        </is>
      </c>
      <c r="L161" t="inlineStr">
        <is>
          <t>외부감사대상</t>
        </is>
      </c>
      <c r="M161" s="6" t="inlineStr">
        <is>
          <t>1998-09-29</t>
        </is>
      </c>
      <c r="N161" t="inlineStr">
        <is>
          <t>KRI:10C2049900</t>
        </is>
      </c>
      <c r="O161" t="inlineStr">
        <is>
          <t>그 외 기타 분류 안된 화학제품 제조업</t>
        </is>
      </c>
      <c r="P161" t="inlineStr">
        <is>
          <t>플라스틱첨가제(지방산 모노아마이드) 제조,도매</t>
        </is>
      </c>
      <c r="Q161" t="inlineStr">
        <is>
          <t>경북 경주시 황성동 1070-2번지</t>
        </is>
      </c>
      <c r="R161" t="inlineStr">
        <is>
          <t>경북 경주시 유림로13번길 64</t>
        </is>
      </c>
    </row>
    <row r="162" ht="19.2" customHeight="1" s="1">
      <c r="A162" t="inlineStr">
        <is>
          <t>NICE:132913</t>
        </is>
      </c>
      <c r="B162" t="inlineStr">
        <is>
          <t>오스테오시스</t>
        </is>
      </c>
      <c r="C162" t="inlineStr">
        <is>
          <t>안영복</t>
        </is>
      </c>
      <c r="D162" t="inlineStr">
        <is>
          <t>02-6124-5900</t>
        </is>
      </c>
      <c r="E162" t="inlineStr">
        <is>
          <t>02-6124-5958</t>
        </is>
      </c>
      <c r="F162" s="3">
        <f>HYPERLINK("http://www.osteosys.com", "http://www.osteosys.com")</f>
        <v/>
      </c>
      <c r="G162" t="inlineStr">
        <is>
          <t>1208199219</t>
        </is>
      </c>
      <c r="H162" t="inlineStr">
        <is>
          <t>1101111870149</t>
        </is>
      </c>
      <c r="I162" t="inlineStr">
        <is>
          <t>대상아님</t>
        </is>
      </c>
      <c r="J162" t="inlineStr">
        <is>
          <t>일반법인</t>
        </is>
      </c>
      <c r="K162" t="inlineStr">
        <is>
          <t>중소기업</t>
        </is>
      </c>
      <c r="L162" t="inlineStr">
        <is>
          <t>외부감사대상</t>
        </is>
      </c>
      <c r="M162" s="6" t="inlineStr">
        <is>
          <t>2000-02-02</t>
        </is>
      </c>
      <c r="N162" t="inlineStr">
        <is>
          <t>KRI:10C2719900</t>
        </is>
      </c>
      <c r="O162" t="inlineStr">
        <is>
          <t>그 외 기타 의료용 기기 제조업</t>
        </is>
      </c>
      <c r="P162" t="inlineStr">
        <is>
          <t>의료기기,장비 제조,도소매/부동산 임대</t>
        </is>
      </c>
      <c r="Q162" t="inlineStr">
        <is>
          <t>서울 구로구 구로동 222-3번지 901호,902호,903호,904호,905호,906호,907호,908호,909호,910호,911</t>
        </is>
      </c>
      <c r="R162" t="inlineStr">
        <is>
          <t>서울 구로구 디지털로26길 111, 901호,902호,903호,904호,905호,906호,907호,908호,909호,910호,911</t>
        </is>
      </c>
    </row>
    <row r="163" ht="19.2" customHeight="1" s="1">
      <c r="A163" t="inlineStr">
        <is>
          <t>NICE:133122</t>
        </is>
      </c>
      <c r="B163" t="inlineStr">
        <is>
          <t>포스텍전자</t>
        </is>
      </c>
      <c r="C163" t="inlineStr">
        <is>
          <t>구본철/구자웅</t>
        </is>
      </c>
      <c r="D163" t="inlineStr">
        <is>
          <t>055-371-7000</t>
        </is>
      </c>
      <c r="E163" t="inlineStr">
        <is>
          <t>055-384-8114</t>
        </is>
      </c>
      <c r="F163" s="3">
        <f>HYPERLINK("http://www.postec.co.kr", "http://www.postec.co.kr")</f>
        <v/>
      </c>
      <c r="G163" t="inlineStr">
        <is>
          <t>6218133103</t>
        </is>
      </c>
      <c r="H163" t="inlineStr">
        <is>
          <t>1845110020335</t>
        </is>
      </c>
      <c r="I163" t="inlineStr">
        <is>
          <t>대상아님</t>
        </is>
      </c>
      <c r="J163" t="inlineStr">
        <is>
          <t>일반법인</t>
        </is>
      </c>
      <c r="K163" t="inlineStr">
        <is>
          <t>중소기업</t>
        </is>
      </c>
      <c r="L163" t="inlineStr">
        <is>
          <t>외부감사대상</t>
        </is>
      </c>
      <c r="M163" s="6" t="inlineStr">
        <is>
          <t>1999-02-12</t>
        </is>
      </c>
      <c r="N163" t="inlineStr">
        <is>
          <t>KRI:10C2629900</t>
        </is>
      </c>
      <c r="O163" t="inlineStr">
        <is>
          <t>그 외 기타 전자부품 제조업</t>
        </is>
      </c>
      <c r="P163" t="inlineStr">
        <is>
          <t>전자부품,센서,로보트부품 제조</t>
        </is>
      </c>
      <c r="Q163" t="inlineStr">
        <is>
          <t>경남 양산시 산막동 311번지</t>
        </is>
      </c>
      <c r="R163" t="inlineStr">
        <is>
          <t>경남 양산시 산막공단북2길 34-1</t>
        </is>
      </c>
    </row>
    <row r="164" ht="19.2" customHeight="1" s="1">
      <c r="A164" t="inlineStr">
        <is>
          <t>NICE:133137</t>
        </is>
      </c>
      <c r="B164" t="inlineStr">
        <is>
          <t>한미식품</t>
        </is>
      </c>
      <c r="C164" t="inlineStr">
        <is>
          <t>박승백</t>
        </is>
      </c>
      <c r="D164" t="inlineStr">
        <is>
          <t>041-745-1868</t>
        </is>
      </c>
      <c r="E164" t="inlineStr">
        <is>
          <t>041-745-1888</t>
        </is>
      </c>
      <c r="F164" s="3">
        <f>HYPERLINK("http://www.hanmifood.co.kr", "http://www.hanmifood.co.kr")</f>
        <v/>
      </c>
      <c r="G164" t="inlineStr">
        <is>
          <t>1368126782</t>
        </is>
      </c>
      <c r="H164" t="inlineStr">
        <is>
          <t>1244110031980</t>
        </is>
      </c>
      <c r="I164" t="inlineStr">
        <is>
          <t>대상아님</t>
        </is>
      </c>
      <c r="J164" t="inlineStr">
        <is>
          <t>일반법인</t>
        </is>
      </c>
      <c r="K164" t="inlineStr">
        <is>
          <t>중소기업</t>
        </is>
      </c>
      <c r="L164" t="inlineStr">
        <is>
          <t>외부감사대상</t>
        </is>
      </c>
      <c r="M164" s="6" t="inlineStr">
        <is>
          <t>1998-03-13</t>
        </is>
      </c>
      <c r="N164" t="inlineStr">
        <is>
          <t>KRI:10C1079400</t>
        </is>
      </c>
      <c r="O164" t="inlineStr">
        <is>
          <t>두부 및 유사식품 제조업</t>
        </is>
      </c>
      <c r="P164" t="inlineStr">
        <is>
          <t>유부.곤약,과일젤리,육류포장육,냉동육,면류,음료 제조</t>
        </is>
      </c>
      <c r="Q164" t="inlineStr">
        <is>
          <t>충남 논산시 강경읍 채운리 519번지</t>
        </is>
      </c>
      <c r="R164" t="inlineStr">
        <is>
          <t>충남 논산시 강경읍 농공단지로 8</t>
        </is>
      </c>
    </row>
    <row r="165" ht="19.2" customHeight="1" s="1">
      <c r="A165" t="inlineStr">
        <is>
          <t>NICE:133810</t>
        </is>
      </c>
      <c r="B165" t="inlineStr">
        <is>
          <t>삼보개발</t>
        </is>
      </c>
      <c r="C165" t="inlineStr">
        <is>
          <t>류경호</t>
        </is>
      </c>
      <c r="D165" t="inlineStr">
        <is>
          <t>031-539-5700</t>
        </is>
      </c>
      <c r="E165" t="inlineStr">
        <is>
          <t>031-539-5723</t>
        </is>
      </c>
      <c r="F165" s="3">
        <f>HYPERLINK("http://www.bearcreek.co.kr", "http://www.bearcreek.co.kr")</f>
        <v/>
      </c>
      <c r="G165" t="inlineStr">
        <is>
          <t>1278127642</t>
        </is>
      </c>
      <c r="H165" t="inlineStr">
        <is>
          <t>1154110014733</t>
        </is>
      </c>
      <c r="I165" t="inlineStr">
        <is>
          <t>대상아님</t>
        </is>
      </c>
      <c r="J165" t="inlineStr">
        <is>
          <t>일반법인</t>
        </is>
      </c>
      <c r="K165" t="inlineStr">
        <is>
          <t>중소기업</t>
        </is>
      </c>
      <c r="L165" t="inlineStr">
        <is>
          <t>외부감사대상</t>
        </is>
      </c>
      <c r="M165" s="6" t="inlineStr">
        <is>
          <t>1999-09-30</t>
        </is>
      </c>
      <c r="N165" t="inlineStr">
        <is>
          <t>KRI:10R9112100</t>
        </is>
      </c>
      <c r="O165" t="inlineStr">
        <is>
          <t>골프장 운영업</t>
        </is>
      </c>
      <c r="P165" t="inlineStr">
        <is>
          <t>골프장 운영</t>
        </is>
      </c>
      <c r="Q165" t="inlineStr">
        <is>
          <t>경기 포천시 화현면 지현리 산2-1번지</t>
        </is>
      </c>
      <c r="R165" t="inlineStr">
        <is>
          <t>경기 포천시 화현면 달인동로 35</t>
        </is>
      </c>
    </row>
    <row r="166" ht="19.2" customHeight="1" s="1">
      <c r="A166" t="inlineStr">
        <is>
          <t>NICE:134139</t>
        </is>
      </c>
      <c r="B166" t="inlineStr">
        <is>
          <t>동일토건</t>
        </is>
      </c>
      <c r="C166" t="inlineStr">
        <is>
          <t>고동현</t>
        </is>
      </c>
      <c r="D166" t="inlineStr">
        <is>
          <t>041-620-2000</t>
        </is>
      </c>
      <c r="E166" t="inlineStr">
        <is>
          <t>041-558-1910</t>
        </is>
      </c>
      <c r="F166" s="3">
        <f>HYPERLINK("http://www.dihv.co.kr", "http://www.dihv.co.kr")</f>
        <v/>
      </c>
      <c r="G166" t="inlineStr">
        <is>
          <t>1148135694</t>
        </is>
      </c>
      <c r="H166" t="inlineStr">
        <is>
          <t>1101110629026</t>
        </is>
      </c>
      <c r="I166" t="inlineStr">
        <is>
          <t>대상아님</t>
        </is>
      </c>
      <c r="J166" t="inlineStr">
        <is>
          <t>일반법인</t>
        </is>
      </c>
      <c r="K166" t="inlineStr">
        <is>
          <t>중견기업</t>
        </is>
      </c>
      <c r="L166" t="inlineStr">
        <is>
          <t>외부감사대상</t>
        </is>
      </c>
      <c r="M166" s="6" t="inlineStr">
        <is>
          <t>1989-05-20</t>
        </is>
      </c>
      <c r="N166" t="inlineStr">
        <is>
          <t>KRI:10F4111100</t>
        </is>
      </c>
      <c r="O166" t="inlineStr">
        <is>
          <t>단독 주택 건설업</t>
        </is>
      </c>
      <c r="P166" t="inlineStr">
        <is>
          <t>주택공사/부동산 매매,임대</t>
        </is>
      </c>
      <c r="Q166" t="inlineStr">
        <is>
          <t>충남 천안시 서북구 두정동 538번지 엠프라자 4층</t>
        </is>
      </c>
      <c r="R166" t="inlineStr">
        <is>
          <t>충남 천안시 서북구 두정로 106, 4층 (두정동,엠프라자)</t>
        </is>
      </c>
    </row>
    <row r="167" ht="19.2" customHeight="1" s="1">
      <c r="A167" t="inlineStr">
        <is>
          <t>NICE:135305</t>
        </is>
      </c>
      <c r="B167" t="inlineStr">
        <is>
          <t>은산건업</t>
        </is>
      </c>
      <c r="C167" t="inlineStr">
        <is>
          <t>박병길</t>
        </is>
      </c>
      <c r="D167" t="inlineStr">
        <is>
          <t>051-756-3494</t>
        </is>
      </c>
      <c r="E167" t="inlineStr">
        <is>
          <t>051-756-3493</t>
        </is>
      </c>
      <c r="F167" s="3">
        <f>HYPERLINK("http://www.eunsanwin.co.kr", "http://www.eunsanwin.co.kr")</f>
        <v/>
      </c>
      <c r="G167" t="inlineStr">
        <is>
          <t>6178113414</t>
        </is>
      </c>
      <c r="H167" t="inlineStr">
        <is>
          <t>1801110161256</t>
        </is>
      </c>
      <c r="I167" t="inlineStr">
        <is>
          <t>대상아님</t>
        </is>
      </c>
      <c r="J167" t="inlineStr">
        <is>
          <t>일반법인</t>
        </is>
      </c>
      <c r="K167" t="inlineStr">
        <is>
          <t>중소기업</t>
        </is>
      </c>
      <c r="L167" t="inlineStr">
        <is>
          <t>외부감사대상</t>
        </is>
      </c>
      <c r="M167" s="6" t="inlineStr">
        <is>
          <t>1990-01-01</t>
        </is>
      </c>
      <c r="N167" t="inlineStr">
        <is>
          <t>KRI:10F4242000</t>
        </is>
      </c>
      <c r="O167" t="inlineStr">
        <is>
          <t>유리 및 창호 공사업</t>
        </is>
      </c>
      <c r="P167" t="inlineStr">
        <is>
          <t>창호공사,철물공사,건축물조립공사/창호 제조</t>
        </is>
      </c>
      <c r="Q167" t="inlineStr">
        <is>
          <t>부산 북구 만덕동 302번지 다산타워 301호</t>
        </is>
      </c>
      <c r="R167" t="inlineStr">
        <is>
          <t>부산 북구 만덕2로17번길 1, 301호 (만덕동,다산타워)</t>
        </is>
      </c>
    </row>
    <row r="168" ht="19.2" customHeight="1" s="1">
      <c r="A168" t="inlineStr">
        <is>
          <t>NICE:135450</t>
        </is>
      </c>
      <c r="B168" t="inlineStr">
        <is>
          <t>서머텍코리아</t>
        </is>
      </c>
      <c r="C168" t="inlineStr">
        <is>
          <t>김동진</t>
        </is>
      </c>
      <c r="D168" t="inlineStr">
        <is>
          <t>055-260-1240</t>
        </is>
      </c>
      <c r="E168" t="inlineStr">
        <is>
          <t>055-287-8717</t>
        </is>
      </c>
      <c r="F168" s="3">
        <f>HYPERLINK("http://www.sermatechkorea.co.kr", "http://www.sermatechkorea.co.kr")</f>
        <v/>
      </c>
      <c r="G168" t="inlineStr">
        <is>
          <t>6098139316</t>
        </is>
      </c>
      <c r="H168" t="inlineStr">
        <is>
          <t>1942110037558</t>
        </is>
      </c>
      <c r="I168" t="inlineStr">
        <is>
          <t>대상아님</t>
        </is>
      </c>
      <c r="J168" t="inlineStr">
        <is>
          <t>일반법인</t>
        </is>
      </c>
      <c r="K168" t="inlineStr">
        <is>
          <t>중소기업</t>
        </is>
      </c>
      <c r="L168" t="inlineStr">
        <is>
          <t>외부감사대상</t>
        </is>
      </c>
      <c r="M168" s="6" t="inlineStr">
        <is>
          <t>1999-10-30</t>
        </is>
      </c>
      <c r="N168" t="inlineStr">
        <is>
          <t>KRI:10C2592300</t>
        </is>
      </c>
      <c r="O168" t="inlineStr">
        <is>
          <t>도장 및 기타 피막처리업</t>
        </is>
      </c>
      <c r="P168" t="inlineStr">
        <is>
          <t>프라즈마,서멀코팅,수리 용접/확산 코팅</t>
        </is>
      </c>
      <c r="Q168" t="inlineStr">
        <is>
          <t>경남 창원시 성산구 성주동 28번지</t>
        </is>
      </c>
      <c r="R168" t="inlineStr">
        <is>
          <t>경남 창원시 성산구 창원대로 1204</t>
        </is>
      </c>
    </row>
    <row r="169" ht="19.2" customHeight="1" s="1">
      <c r="A169" t="inlineStr">
        <is>
          <t>NICE:137222</t>
        </is>
      </c>
      <c r="B169" t="inlineStr">
        <is>
          <t>탑플렉스</t>
        </is>
      </c>
      <c r="C169" t="inlineStr">
        <is>
          <t>황용해</t>
        </is>
      </c>
      <c r="D169" t="inlineStr">
        <is>
          <t>055-335-8782</t>
        </is>
      </c>
      <c r="E169" t="inlineStr">
        <is>
          <t>055-332-4194</t>
        </is>
      </c>
      <c r="F169" s="3">
        <f>HYPERLINK("http://www.topplex.com", "http://www.topplex.com")</f>
        <v/>
      </c>
      <c r="G169" t="inlineStr">
        <is>
          <t>6228117620</t>
        </is>
      </c>
      <c r="H169" t="inlineStr">
        <is>
          <t>1846110023056</t>
        </is>
      </c>
      <c r="I169" t="inlineStr">
        <is>
          <t>대상아님</t>
        </is>
      </c>
      <c r="J169" t="inlineStr">
        <is>
          <t>일반법인</t>
        </is>
      </c>
      <c r="K169" t="inlineStr">
        <is>
          <t>중소기업</t>
        </is>
      </c>
      <c r="L169" t="inlineStr">
        <is>
          <t>외부감사대상</t>
        </is>
      </c>
      <c r="M169" s="6" t="inlineStr">
        <is>
          <t>1996-12-01</t>
        </is>
      </c>
      <c r="N169" t="inlineStr">
        <is>
          <t>KRI:10C3020100</t>
        </is>
      </c>
      <c r="O169" t="inlineStr">
        <is>
          <t>차체 및 특장차 제조업</t>
        </is>
      </c>
      <c r="P169" t="inlineStr">
        <is>
          <t>차체,특장차,탑,간판 제조/차량광고</t>
        </is>
      </c>
      <c r="Q169" t="inlineStr">
        <is>
          <t>경남 김해시 어방동 1065-11번지</t>
        </is>
      </c>
      <c r="R169" t="inlineStr">
        <is>
          <t>경남 김해시 김해대로2567번길 27</t>
        </is>
      </c>
    </row>
    <row r="170" ht="19.2" customHeight="1" s="1">
      <c r="A170" t="inlineStr">
        <is>
          <t>NICE:138749</t>
        </is>
      </c>
      <c r="B170" t="inlineStr">
        <is>
          <t>유닉사운드</t>
        </is>
      </c>
      <c r="C170" t="inlineStr">
        <is>
          <t>유형식</t>
        </is>
      </c>
      <c r="D170" t="inlineStr">
        <is>
          <t>02-2697-8442</t>
        </is>
      </c>
      <c r="E170" t="inlineStr">
        <is>
          <t>02-2695-6985</t>
        </is>
      </c>
      <c r="F170" s="3">
        <f>HYPERLINK("http://www.unique-sound.co.kr", "http://www.unique-sound.co.kr")</f>
        <v/>
      </c>
      <c r="G170" t="inlineStr">
        <is>
          <t>1178119387</t>
        </is>
      </c>
      <c r="H170" t="inlineStr">
        <is>
          <t>1101111414799</t>
        </is>
      </c>
      <c r="I170" t="inlineStr">
        <is>
          <t>대상아님</t>
        </is>
      </c>
      <c r="J170" t="inlineStr">
        <is>
          <t>일반법인</t>
        </is>
      </c>
      <c r="K170" t="inlineStr">
        <is>
          <t>중소기업</t>
        </is>
      </c>
      <c r="L170" t="inlineStr">
        <is>
          <t>외부감사대상</t>
        </is>
      </c>
      <c r="M170" s="6" t="inlineStr">
        <is>
          <t>1997-05-16</t>
        </is>
      </c>
      <c r="N170" t="inlineStr">
        <is>
          <t>KRI:10C2629900</t>
        </is>
      </c>
      <c r="O170" t="inlineStr">
        <is>
          <t>그 외 기타 전자부품 제조업</t>
        </is>
      </c>
      <c r="P170" t="inlineStr">
        <is>
          <t>전자부품(자동차용) 제조,도매</t>
        </is>
      </c>
      <c r="Q170" t="inlineStr">
        <is>
          <t>서울 양천구 신월동 48-8번지</t>
        </is>
      </c>
      <c r="R170" t="inlineStr">
        <is>
          <t>서울 양천구 가로공원로 91</t>
        </is>
      </c>
    </row>
    <row r="171" ht="19.2" customHeight="1" s="1">
      <c r="A171" t="inlineStr">
        <is>
          <t>NICE:140651</t>
        </is>
      </c>
      <c r="B171" t="inlineStr">
        <is>
          <t>삼구화학공업</t>
        </is>
      </c>
      <c r="C171" t="inlineStr">
        <is>
          <t>염복철</t>
        </is>
      </c>
      <c r="D171" t="inlineStr">
        <is>
          <t>031-492-1735</t>
        </is>
      </c>
      <c r="E171" t="inlineStr">
        <is>
          <t>031-492-1739</t>
        </is>
      </c>
      <c r="F171" s="3">
        <f>HYPERLINK("http://www.samgoo.co.kr", "http://www.samgoo.co.kr")</f>
        <v/>
      </c>
      <c r="G171" t="inlineStr">
        <is>
          <t>1348111605</t>
        </is>
      </c>
      <c r="H171" t="inlineStr">
        <is>
          <t>1101110092629</t>
        </is>
      </c>
      <c r="I171" t="inlineStr">
        <is>
          <t>대상아님</t>
        </is>
      </c>
      <c r="J171" t="inlineStr">
        <is>
          <t>일반법인</t>
        </is>
      </c>
      <c r="K171" t="inlineStr">
        <is>
          <t>중소기업</t>
        </is>
      </c>
      <c r="L171" t="inlineStr">
        <is>
          <t>외부감사대상</t>
        </is>
      </c>
      <c r="M171" s="6" t="inlineStr">
        <is>
          <t>1971-02-24</t>
        </is>
      </c>
      <c r="N171" t="inlineStr">
        <is>
          <t>KRI:10C2049900</t>
        </is>
      </c>
      <c r="O171" t="inlineStr">
        <is>
          <t>그 외 기타 분류 안된 화학제품 제조업</t>
        </is>
      </c>
      <c r="P171" t="inlineStr">
        <is>
          <t>정수약품,수처리제(폴리수산화염화한산알루미늄,폴리염화알루미늄) 제조, 도소매</t>
        </is>
      </c>
      <c r="Q171" t="inlineStr">
        <is>
          <t>경기 안산시 단원구 성곡동 633-4번지</t>
        </is>
      </c>
      <c r="R171" t="inlineStr">
        <is>
          <t>경기 안산시 단원구 신원로133번길 23</t>
        </is>
      </c>
    </row>
    <row r="172" ht="19.2" customHeight="1" s="1">
      <c r="A172" t="inlineStr">
        <is>
          <t>NICE:141002</t>
        </is>
      </c>
      <c r="B172" t="inlineStr">
        <is>
          <t>와치텍</t>
        </is>
      </c>
      <c r="C172" t="inlineStr">
        <is>
          <t>박권재</t>
        </is>
      </c>
      <c r="D172" t="inlineStr">
        <is>
          <t>02-783-1334</t>
        </is>
      </c>
      <c r="E172" t="inlineStr">
        <is>
          <t>02-783-1336</t>
        </is>
      </c>
      <c r="F172" s="3">
        <f>HYPERLINK("http://www,watchtek.co.kr", "http://www,watchtek.co.kr")</f>
        <v/>
      </c>
      <c r="G172" t="inlineStr">
        <is>
          <t>1168171304</t>
        </is>
      </c>
      <c r="H172" t="inlineStr">
        <is>
          <t>1101111633175</t>
        </is>
      </c>
      <c r="I172" t="inlineStr">
        <is>
          <t>대상아님</t>
        </is>
      </c>
      <c r="J172" t="inlineStr">
        <is>
          <t>일반법인</t>
        </is>
      </c>
      <c r="K172" t="inlineStr">
        <is>
          <t>중소기업</t>
        </is>
      </c>
      <c r="L172" t="inlineStr">
        <is>
          <t>외부감사대상</t>
        </is>
      </c>
      <c r="M172" s="6" t="inlineStr">
        <is>
          <t>1999-01-13</t>
        </is>
      </c>
      <c r="N172" t="inlineStr">
        <is>
          <t>KRI:10J5822200</t>
        </is>
      </c>
      <c r="O172" t="inlineStr">
        <is>
          <t>응용 소프트웨어 개발 및 공급업</t>
        </is>
      </c>
      <c r="P172" t="inlineStr">
        <is>
          <t>소프트웨어 개발,공급,자문,도소매</t>
        </is>
      </c>
      <c r="Q172" t="inlineStr">
        <is>
          <t>서울 영등포구 여의도동 44-1번지 대영빌딩</t>
        </is>
      </c>
      <c r="R172" t="inlineStr">
        <is>
          <t>서울 영등포구 국제금융로8길 11 (여의도동,대영빌딩)</t>
        </is>
      </c>
    </row>
    <row r="173" ht="19.2" customHeight="1" s="1">
      <c r="A173" t="inlineStr">
        <is>
          <t>NICE:141074</t>
        </is>
      </c>
      <c r="B173" t="inlineStr">
        <is>
          <t>농업회사법인영양에프앤에스</t>
        </is>
      </c>
      <c r="C173" t="inlineStr">
        <is>
          <t>이동환</t>
        </is>
      </c>
      <c r="D173" t="inlineStr">
        <is>
          <t>031-637-0088</t>
        </is>
      </c>
      <c r="E173" t="inlineStr">
        <is>
          <t>031-637-0087</t>
        </is>
      </c>
      <c r="F173" s="3">
        <f>HYPERLINK("http://www.sunvillage.co.kr", "http://www.sunvillage.co.kr")</f>
        <v/>
      </c>
      <c r="G173" t="inlineStr">
        <is>
          <t>2298135787</t>
        </is>
      </c>
      <c r="H173" t="inlineStr">
        <is>
          <t>1101111636731</t>
        </is>
      </c>
      <c r="I173" t="inlineStr">
        <is>
          <t>대상아님</t>
        </is>
      </c>
      <c r="J173" t="inlineStr">
        <is>
          <t>일반법인</t>
        </is>
      </c>
      <c r="K173" t="inlineStr">
        <is>
          <t>중소기업</t>
        </is>
      </c>
      <c r="L173" t="inlineStr">
        <is>
          <t>외부감사대상</t>
        </is>
      </c>
      <c r="M173" s="6" t="inlineStr">
        <is>
          <t>1999-01-19</t>
        </is>
      </c>
      <c r="N173" t="inlineStr">
        <is>
          <t>KRI:10G4721800</t>
        </is>
      </c>
      <c r="O173" t="inlineStr">
        <is>
          <t>조리 반찬류 소매업</t>
        </is>
      </c>
      <c r="P173" t="inlineStr">
        <is>
          <t>농산물,농산물가공,일반공산품</t>
        </is>
      </c>
      <c r="Q173" t="inlineStr">
        <is>
          <t>경기 이천시 신둔면 마교리 151-5번지</t>
        </is>
      </c>
      <c r="R173" t="inlineStr">
        <is>
          <t>경기 이천시 신둔면 경충대로3233번길 203-11</t>
        </is>
      </c>
    </row>
    <row r="174" ht="19.2" customHeight="1" s="1">
      <c r="A174" t="inlineStr">
        <is>
          <t>NICE:144398</t>
        </is>
      </c>
      <c r="B174" t="inlineStr">
        <is>
          <t>인창기건</t>
        </is>
      </c>
      <c r="C174" t="inlineStr">
        <is>
          <t>박종기/박종성</t>
        </is>
      </c>
      <c r="D174" t="inlineStr">
        <is>
          <t>02-420-2727</t>
        </is>
      </c>
      <c r="E174" t="inlineStr">
        <is>
          <t>02-422-0471</t>
        </is>
      </c>
      <c r="F174" s="3">
        <f>HYPERLINK("http://www.inchangeng.com", "http://www.inchangeng.com")</f>
        <v/>
      </c>
      <c r="G174" t="inlineStr">
        <is>
          <t>2198102713</t>
        </is>
      </c>
      <c r="H174" t="inlineStr">
        <is>
          <t>1101110529705</t>
        </is>
      </c>
      <c r="I174" t="inlineStr">
        <is>
          <t>대상아님</t>
        </is>
      </c>
      <c r="J174" t="inlineStr">
        <is>
          <t>일반법인</t>
        </is>
      </c>
      <c r="K174" t="inlineStr">
        <is>
          <t>중소기업</t>
        </is>
      </c>
      <c r="L174" t="inlineStr">
        <is>
          <t>외부감사대상</t>
        </is>
      </c>
      <c r="M174" s="6" t="inlineStr">
        <is>
          <t>1987-05-06</t>
        </is>
      </c>
      <c r="N174" t="inlineStr">
        <is>
          <t>KRI:10F4249200</t>
        </is>
      </c>
      <c r="O174" t="inlineStr">
        <is>
          <t>건물용 금속공작물 설치 공사업</t>
        </is>
      </c>
      <c r="P174" t="inlineStr">
        <is>
          <t>강구조물공사,철물공사,시설물유지관리공사/건축자재 도매/강구조물,철물 제조</t>
        </is>
      </c>
      <c r="Q174" t="inlineStr">
        <is>
          <t>서울 송파구 거여동 19-8번지 인창빌딩 5,6,7층</t>
        </is>
      </c>
      <c r="R174" t="inlineStr">
        <is>
          <t>서울 송파구 오금로 457, 5,6,7층 (거여동,인창빌딩)</t>
        </is>
      </c>
    </row>
    <row r="175">
      <c r="A175" t="inlineStr">
        <is>
          <t>NICE:144896</t>
        </is>
      </c>
      <c r="B175" t="inlineStr">
        <is>
          <t>원보</t>
        </is>
      </c>
      <c r="C175" t="inlineStr">
        <is>
          <t>유길문</t>
        </is>
      </c>
      <c r="D175" t="inlineStr">
        <is>
          <t>031-573-6001</t>
        </is>
      </c>
      <c r="E175" t="inlineStr">
        <is>
          <t>031-573-4702</t>
        </is>
      </c>
      <c r="G175" t="inlineStr">
        <is>
          <t>1328113382</t>
        </is>
      </c>
      <c r="H175" t="inlineStr">
        <is>
          <t>1152110017860</t>
        </is>
      </c>
      <c r="I175" t="inlineStr">
        <is>
          <t>대상아님</t>
        </is>
      </c>
      <c r="J175" t="inlineStr">
        <is>
          <t>일반법인</t>
        </is>
      </c>
      <c r="K175" t="inlineStr">
        <is>
          <t>중소기업</t>
        </is>
      </c>
      <c r="L175" t="inlineStr">
        <is>
          <t>외부감사대상</t>
        </is>
      </c>
      <c r="M175" s="6" t="inlineStr">
        <is>
          <t>1996-05-20</t>
        </is>
      </c>
      <c r="N175" t="inlineStr">
        <is>
          <t>KRI:10E3823000</t>
        </is>
      </c>
      <c r="O175" t="inlineStr">
        <is>
          <t>건설 폐기물 처리업</t>
        </is>
      </c>
      <c r="P175" t="inlineStr">
        <is>
          <t>건설폐기물 중간처리,수집운반</t>
        </is>
      </c>
      <c r="Q175" t="inlineStr">
        <is>
          <t>경기 남양주시 진건읍 송능리 113-8번지</t>
        </is>
      </c>
      <c r="R175" t="inlineStr">
        <is>
          <t>경기 남양주시 진건읍 진건오남로 397-11</t>
        </is>
      </c>
    </row>
    <row r="176" ht="19.2" customHeight="1" s="1">
      <c r="A176" t="inlineStr">
        <is>
          <t>NICE:145076</t>
        </is>
      </c>
      <c r="B176" t="inlineStr">
        <is>
          <t>서울향료</t>
        </is>
      </c>
      <c r="C176" t="inlineStr">
        <is>
          <t>조병해/조성용</t>
        </is>
      </c>
      <c r="D176" t="inlineStr">
        <is>
          <t>02-517-4050</t>
        </is>
      </c>
      <c r="E176" t="inlineStr">
        <is>
          <t>02-515-6550</t>
        </is>
      </c>
      <c r="F176" s="3">
        <f>HYPERLINK("http://www.seoulfnf.com", "http://www.seoulfnf.com")</f>
        <v/>
      </c>
      <c r="G176" t="inlineStr">
        <is>
          <t>1148149223</t>
        </is>
      </c>
      <c r="H176" t="inlineStr">
        <is>
          <t>1101110158851</t>
        </is>
      </c>
      <c r="I176" t="inlineStr">
        <is>
          <t>대상아님</t>
        </is>
      </c>
      <c r="J176" t="inlineStr">
        <is>
          <t>일반법인</t>
        </is>
      </c>
      <c r="K176" t="inlineStr">
        <is>
          <t>중견기업</t>
        </is>
      </c>
      <c r="L176" t="inlineStr">
        <is>
          <t>외부감사대상</t>
        </is>
      </c>
      <c r="M176" s="6" t="inlineStr">
        <is>
          <t>1974-01-21</t>
        </is>
      </c>
      <c r="N176" t="inlineStr">
        <is>
          <t>KRI:10C1074900</t>
        </is>
      </c>
      <c r="O176" t="inlineStr">
        <is>
          <t>기타 식품 첨가물 제조업</t>
        </is>
      </c>
      <c r="P176" t="inlineStr">
        <is>
          <t>향료(스위트플레이버,세이버리플레이버) 제조,도매/부동산 임대</t>
        </is>
      </c>
      <c r="Q176" t="inlineStr">
        <is>
          <t>서울 서초구 반포동 701-7번지</t>
        </is>
      </c>
      <c r="R176" t="inlineStr">
        <is>
          <t>서울 서초구 신반포로 306</t>
        </is>
      </c>
    </row>
    <row r="177" ht="19.2" customHeight="1" s="1">
      <c r="A177" t="inlineStr">
        <is>
          <t>NICE:145222</t>
        </is>
      </c>
      <c r="B177" t="inlineStr">
        <is>
          <t>지에스파워</t>
        </is>
      </c>
      <c r="C177" t="inlineStr">
        <is>
          <t>유재영</t>
        </is>
      </c>
      <c r="D177" t="inlineStr">
        <is>
          <t>1644-3657</t>
        </is>
      </c>
      <c r="E177" t="inlineStr">
        <is>
          <t>031-420-8334</t>
        </is>
      </c>
      <c r="F177" s="3">
        <f>HYPERLINK("http://www.gspower.co.kr", "http://www.gspower.co.kr")</f>
        <v/>
      </c>
      <c r="G177" t="inlineStr">
        <is>
          <t>1238157770</t>
        </is>
      </c>
      <c r="H177" t="inlineStr">
        <is>
          <t>1341110074744</t>
        </is>
      </c>
      <c r="I177" t="inlineStr">
        <is>
          <t>대상아님</t>
        </is>
      </c>
      <c r="J177" t="inlineStr">
        <is>
          <t>일반법인</t>
        </is>
      </c>
      <c r="K177" t="inlineStr">
        <is>
          <t>대기업</t>
        </is>
      </c>
      <c r="L177" t="inlineStr">
        <is>
          <t>외부감사대상</t>
        </is>
      </c>
      <c r="M177" s="6" t="inlineStr">
        <is>
          <t>2000-06-07</t>
        </is>
      </c>
      <c r="N177" t="inlineStr">
        <is>
          <t>KRI:10D3511900</t>
        </is>
      </c>
      <c r="O177" t="inlineStr">
        <is>
          <t>기타 발전업</t>
        </is>
      </c>
      <c r="P177" t="inlineStr">
        <is>
          <t>발전,전기,증기,난방사업</t>
        </is>
      </c>
      <c r="Q177" t="inlineStr">
        <is>
          <t>경기 안양시 동안구 평촌동 897-2번지</t>
        </is>
      </c>
      <c r="R177" t="inlineStr">
        <is>
          <t>경기 안양시 동안구 부림로 100</t>
        </is>
      </c>
    </row>
    <row r="178" ht="19.2" customHeight="1" s="1">
      <c r="A178" t="inlineStr">
        <is>
          <t>NICE:145688</t>
        </is>
      </c>
      <c r="B178" t="inlineStr">
        <is>
          <t>마리오쇼핑</t>
        </is>
      </c>
      <c r="C178" t="inlineStr">
        <is>
          <t>홍성열</t>
        </is>
      </c>
      <c r="D178" t="inlineStr">
        <is>
          <t>02-2109-7000</t>
        </is>
      </c>
      <c r="E178" t="inlineStr">
        <is>
          <t>02-869-1185</t>
        </is>
      </c>
      <c r="F178" s="3">
        <f>HYPERLINK("http://www.mario.co.kr", "http://www.mario.co.kr")</f>
        <v/>
      </c>
      <c r="G178" t="inlineStr">
        <is>
          <t>1128115877</t>
        </is>
      </c>
      <c r="H178" t="inlineStr">
        <is>
          <t>1101110534340</t>
        </is>
      </c>
      <c r="I178" t="inlineStr">
        <is>
          <t>대상아님</t>
        </is>
      </c>
      <c r="J178" t="inlineStr">
        <is>
          <t>일반법인</t>
        </is>
      </c>
      <c r="K178" t="inlineStr">
        <is>
          <t>중소기업</t>
        </is>
      </c>
      <c r="L178" t="inlineStr">
        <is>
          <t>외부감사대상</t>
        </is>
      </c>
      <c r="M178" s="6" t="inlineStr">
        <is>
          <t>1987-07-16</t>
        </is>
      </c>
      <c r="N178" t="inlineStr">
        <is>
          <t>KRI:10G4711900</t>
        </is>
      </c>
      <c r="O178" t="inlineStr">
        <is>
          <t>기타 대형 종합 소매업</t>
        </is>
      </c>
      <c r="P178" t="inlineStr">
        <is>
          <t>대형할인점/의류 도소매,무역,전자상거래/일반음식점/부동산 임대,공급</t>
        </is>
      </c>
      <c r="Q178" t="inlineStr">
        <is>
          <t>서울 금천구 가산동 60-22번지</t>
        </is>
      </c>
      <c r="R178" t="inlineStr">
        <is>
          <t>서울 금천구 디지털로 185</t>
        </is>
      </c>
    </row>
    <row r="179" ht="19.2" customHeight="1" s="1">
      <c r="A179" t="inlineStr">
        <is>
          <t>NICE:145903</t>
        </is>
      </c>
      <c r="B179" t="inlineStr">
        <is>
          <t>파워맥스</t>
        </is>
      </c>
      <c r="C179" t="inlineStr">
        <is>
          <t>박해인</t>
        </is>
      </c>
      <c r="D179" t="inlineStr">
        <is>
          <t>031-319-6291</t>
        </is>
      </c>
      <c r="E179" t="inlineStr">
        <is>
          <t>031-319-6308</t>
        </is>
      </c>
      <c r="F179" s="3">
        <f>HYPERLINK("http://www.powermaxkorea.co.kr", "http://www.powermaxkorea.co.kr")</f>
        <v/>
      </c>
      <c r="G179" t="inlineStr">
        <is>
          <t>1218135144</t>
        </is>
      </c>
      <c r="H179" t="inlineStr">
        <is>
          <t>1201110208969</t>
        </is>
      </c>
      <c r="I179" t="inlineStr">
        <is>
          <t>대상아님</t>
        </is>
      </c>
      <c r="J179" t="inlineStr">
        <is>
          <t>일반법인</t>
        </is>
      </c>
      <c r="K179" t="inlineStr">
        <is>
          <t>중소기업</t>
        </is>
      </c>
      <c r="L179" t="inlineStr">
        <is>
          <t>외부감사대상</t>
        </is>
      </c>
      <c r="M179" s="6" t="inlineStr">
        <is>
          <t>1999-12-17</t>
        </is>
      </c>
      <c r="N179" t="inlineStr">
        <is>
          <t>KRI:10C2811200</t>
        </is>
      </c>
      <c r="O179" t="inlineStr">
        <is>
          <t>변압기 제조업</t>
        </is>
      </c>
      <c r="P179" t="inlineStr">
        <is>
          <t>변압기,발전기 제조/전기공사/부동산 임대</t>
        </is>
      </c>
      <c r="Q179" t="inlineStr">
        <is>
          <t>경기 시흥시 정왕동 1263-8번지</t>
        </is>
      </c>
      <c r="R179" t="inlineStr">
        <is>
          <t>경기 시흥시 희망공원로 188</t>
        </is>
      </c>
    </row>
    <row r="180" ht="19.2" customHeight="1" s="1">
      <c r="A180" t="inlineStr">
        <is>
          <t>NICE:146094</t>
        </is>
      </c>
      <c r="B180" t="inlineStr">
        <is>
          <t>건축사사무소건원엔지니어링</t>
        </is>
      </c>
      <c r="C180" t="inlineStr">
        <is>
          <t>김득한/이석기</t>
        </is>
      </c>
      <c r="D180" t="inlineStr">
        <is>
          <t>02-3458-2800</t>
        </is>
      </c>
      <c r="E180" t="inlineStr">
        <is>
          <t>02-556-3523</t>
        </is>
      </c>
      <c r="F180" s="3">
        <f>HYPERLINK("http://www.kunwoneng.com", "http://www.kunwoneng.com")</f>
        <v/>
      </c>
      <c r="G180" t="inlineStr">
        <is>
          <t>2208171530</t>
        </is>
      </c>
      <c r="H180" t="inlineStr">
        <is>
          <t>1101111820441</t>
        </is>
      </c>
      <c r="I180" t="inlineStr">
        <is>
          <t>대상아님</t>
        </is>
      </c>
      <c r="J180" t="inlineStr">
        <is>
          <t>일반법인</t>
        </is>
      </c>
      <c r="K180" t="inlineStr">
        <is>
          <t>중견기업</t>
        </is>
      </c>
      <c r="L180" t="inlineStr">
        <is>
          <t>외부감사대상</t>
        </is>
      </c>
      <c r="M180" s="6" t="inlineStr">
        <is>
          <t>1999-12-02</t>
        </is>
      </c>
      <c r="N180" t="inlineStr">
        <is>
          <t>KRI:10M7211100</t>
        </is>
      </c>
      <c r="O180" t="inlineStr">
        <is>
          <t>건축설계 및 관련 서비스업</t>
        </is>
      </c>
      <c r="P180" t="inlineStr">
        <is>
          <t>건축 시공감리,설계,엔지니어링</t>
        </is>
      </c>
      <c r="Q180" t="inlineStr">
        <is>
          <t>서울 송파구 문정동 651번지 문정역테라타워1 B동 1606호</t>
        </is>
      </c>
      <c r="R180" t="inlineStr">
        <is>
          <t>서울 송파구 송파대로 167, B동 1606호 (문정동,문정역테라타워1)</t>
        </is>
      </c>
    </row>
    <row r="181" ht="19.2" customHeight="1" s="1">
      <c r="A181" t="inlineStr">
        <is>
          <t>NICE:146156</t>
        </is>
      </c>
      <c r="B181" t="inlineStr">
        <is>
          <t>엘엠디지털</t>
        </is>
      </c>
      <c r="C181" t="inlineStr">
        <is>
          <t>유제욱/유철현</t>
        </is>
      </c>
      <c r="D181" t="inlineStr">
        <is>
          <t>031-456-6171</t>
        </is>
      </c>
      <c r="E181" t="inlineStr">
        <is>
          <t>031-456-6613</t>
        </is>
      </c>
      <c r="F181" s="3">
        <f>HYPERLINK("http://www.lmdigital.com", "http://www.lmdigital.com")</f>
        <v/>
      </c>
      <c r="G181" t="inlineStr">
        <is>
          <t>1238125958</t>
        </is>
      </c>
      <c r="H181" t="inlineStr">
        <is>
          <t>1341110033857</t>
        </is>
      </c>
      <c r="I181" t="inlineStr">
        <is>
          <t>대상아님</t>
        </is>
      </c>
      <c r="J181" t="inlineStr">
        <is>
          <t>일반법인</t>
        </is>
      </c>
      <c r="K181" t="inlineStr">
        <is>
          <t>중소기업</t>
        </is>
      </c>
      <c r="L181" t="inlineStr">
        <is>
          <t>외부감사대상</t>
        </is>
      </c>
      <c r="M181" s="6" t="inlineStr">
        <is>
          <t>1991-07-01</t>
        </is>
      </c>
      <c r="N181" t="inlineStr">
        <is>
          <t>KRI:10M7291900</t>
        </is>
      </c>
      <c r="O181" t="inlineStr">
        <is>
          <t>기타 기술 시험, 검사 및 분석업</t>
        </is>
      </c>
      <c r="P181" t="inlineStr">
        <is>
          <t>기술 검사/전기,전자부품 제조/수출입</t>
        </is>
      </c>
      <c r="Q181" t="inlineStr">
        <is>
          <t>경기 안양시 동안구 호계동 908-1번지</t>
        </is>
      </c>
      <c r="R181" t="inlineStr">
        <is>
          <t>경기 안양시 동안구 귀인로 39</t>
        </is>
      </c>
    </row>
    <row r="182" ht="19.2" customHeight="1" s="1">
      <c r="A182" t="inlineStr">
        <is>
          <t>NICE:146292</t>
        </is>
      </c>
      <c r="B182" t="inlineStr">
        <is>
          <t>에스에프씨</t>
        </is>
      </c>
      <c r="C182" t="inlineStr">
        <is>
          <t>김용관</t>
        </is>
      </c>
      <c r="D182" t="inlineStr">
        <is>
          <t>043-280-9500</t>
        </is>
      </c>
      <c r="E182" t="inlineStr">
        <is>
          <t>043-280-9505</t>
        </is>
      </c>
      <c r="F182" s="3">
        <f>HYPERLINK("http://www.sfc-dye.com", "http://www.sfc-dye.com")</f>
        <v/>
      </c>
      <c r="G182" t="inlineStr">
        <is>
          <t>1348154429</t>
        </is>
      </c>
      <c r="H182" t="inlineStr">
        <is>
          <t>1355110105889</t>
        </is>
      </c>
      <c r="I182" t="inlineStr">
        <is>
          <t>대상아님</t>
        </is>
      </c>
      <c r="J182" t="inlineStr">
        <is>
          <t>일반법인</t>
        </is>
      </c>
      <c r="K182" t="inlineStr">
        <is>
          <t>중견기업</t>
        </is>
      </c>
      <c r="L182" t="inlineStr">
        <is>
          <t>외부감사대상</t>
        </is>
      </c>
      <c r="M182" s="6" t="inlineStr">
        <is>
          <t>1998-07-01</t>
        </is>
      </c>
      <c r="N182" t="inlineStr">
        <is>
          <t>KRI:10C2049100</t>
        </is>
      </c>
      <c r="O182" t="inlineStr">
        <is>
          <t>감광재료 및 관련 화학제품 제조업</t>
        </is>
      </c>
      <c r="P182" t="inlineStr">
        <is>
          <t>OLED 발광재료,정밀화학제품 제조,도소매</t>
        </is>
      </c>
      <c r="Q182" t="inlineStr">
        <is>
          <t>충북 청주시 청원구 오창읍 각리 653-9번지</t>
        </is>
      </c>
      <c r="R182" t="inlineStr">
        <is>
          <t>충북 청주시 청원구 오창읍 과학산업5로 89</t>
        </is>
      </c>
    </row>
    <row r="183">
      <c r="A183" t="inlineStr">
        <is>
          <t>NICE:146784</t>
        </is>
      </c>
      <c r="B183" t="inlineStr">
        <is>
          <t>아이존</t>
        </is>
      </c>
      <c r="C183" t="inlineStr">
        <is>
          <t>이병도</t>
        </is>
      </c>
      <c r="D183" t="inlineStr">
        <is>
          <t>070-7477-5500</t>
        </is>
      </c>
      <c r="E183" t="inlineStr">
        <is>
          <t>051-728-7630</t>
        </is>
      </c>
      <c r="G183" t="inlineStr">
        <is>
          <t>6188125397</t>
        </is>
      </c>
      <c r="H183" t="inlineStr">
        <is>
          <t>1801110295336</t>
        </is>
      </c>
      <c r="I183" t="inlineStr">
        <is>
          <t>대상아님</t>
        </is>
      </c>
      <c r="J183" t="inlineStr">
        <is>
          <t>일반법인</t>
        </is>
      </c>
      <c r="K183" t="inlineStr">
        <is>
          <t>중소기업</t>
        </is>
      </c>
      <c r="L183" t="inlineStr">
        <is>
          <t>외부감사대상</t>
        </is>
      </c>
      <c r="M183" s="6" t="inlineStr">
        <is>
          <t>1999-07-29</t>
        </is>
      </c>
      <c r="N183" t="inlineStr">
        <is>
          <t>KRI:10C3039900</t>
        </is>
      </c>
      <c r="O183" t="inlineStr">
        <is>
          <t>그 외 자동차용 신품 부품 제조업</t>
        </is>
      </c>
      <c r="P183" t="inlineStr">
        <is>
          <t>자동차부품,목재포장용기 제조,도매,무역(수출입)/부동산 임대,매매/포장</t>
        </is>
      </c>
      <c r="Q183" t="inlineStr">
        <is>
          <t>부산 기장군 정관읍 달산리 148-12번지</t>
        </is>
      </c>
      <c r="R183" t="inlineStr">
        <is>
          <t>부산 기장군 정관읍 농공길 2-9</t>
        </is>
      </c>
    </row>
    <row r="184" ht="19.2" customHeight="1" s="1">
      <c r="A184" t="inlineStr">
        <is>
          <t>NICE:147775</t>
        </is>
      </c>
      <c r="B184" t="inlineStr">
        <is>
          <t>에이치엘비오션테크</t>
        </is>
      </c>
      <c r="C184" t="inlineStr">
        <is>
          <t>김기원</t>
        </is>
      </c>
      <c r="D184" t="inlineStr">
        <is>
          <t>055-720-1000</t>
        </is>
      </c>
      <c r="E184" t="inlineStr">
        <is>
          <t>055-720-1010</t>
        </is>
      </c>
      <c r="F184" s="3">
        <f>HYPERLINK("http://www.badahi.co.kr", "http://www.badahi.co.kr")</f>
        <v/>
      </c>
      <c r="G184" t="inlineStr">
        <is>
          <t>6038138658</t>
        </is>
      </c>
      <c r="H184" t="inlineStr">
        <is>
          <t>1801110288654</t>
        </is>
      </c>
      <c r="I184" t="inlineStr">
        <is>
          <t>대상아님</t>
        </is>
      </c>
      <c r="J184" t="inlineStr">
        <is>
          <t>일반법인</t>
        </is>
      </c>
      <c r="K184" t="inlineStr">
        <is>
          <t>중소기업</t>
        </is>
      </c>
      <c r="L184" t="inlineStr">
        <is>
          <t>외부감사대상</t>
        </is>
      </c>
      <c r="M184" s="6" t="inlineStr">
        <is>
          <t>1992-10-01</t>
        </is>
      </c>
      <c r="N184" t="inlineStr">
        <is>
          <t>KRI:10C3111400</t>
        </is>
      </c>
      <c r="O184" t="inlineStr">
        <is>
          <t>선박 구성 부분품 제조업</t>
        </is>
      </c>
      <c r="P184" t="inlineStr">
        <is>
          <t>선박용크레인,MHE,산업기계,기관,병기부속 제조/무역/부동산 임대</t>
        </is>
      </c>
      <c r="Q184" t="inlineStr">
        <is>
          <t>경남 김해시 진영읍 진영리 1002번지</t>
        </is>
      </c>
      <c r="R184" t="inlineStr">
        <is>
          <t>경남 김해시 진영읍 진산대로 135-56</t>
        </is>
      </c>
    </row>
    <row r="185" ht="19.2" customHeight="1" s="1">
      <c r="A185" t="inlineStr">
        <is>
          <t>NICE:148503</t>
        </is>
      </c>
      <c r="B185" t="inlineStr">
        <is>
          <t>금강비앤에프</t>
        </is>
      </c>
      <c r="C185" t="inlineStr">
        <is>
          <t>한평식</t>
        </is>
      </c>
      <c r="D185" t="inlineStr">
        <is>
          <t>070-7011-5718</t>
        </is>
      </c>
      <c r="E185" t="inlineStr">
        <is>
          <t>043-851-3515</t>
        </is>
      </c>
      <c r="F185" s="3">
        <f>HYPERLINK("http://www.keumkangbnf.com/", "http://www.keumkangbnf.com/")</f>
        <v/>
      </c>
      <c r="G185" t="inlineStr">
        <is>
          <t>3038105257</t>
        </is>
      </c>
      <c r="H185" t="inlineStr">
        <is>
          <t>1511110002463</t>
        </is>
      </c>
      <c r="I185" t="inlineStr">
        <is>
          <t>대상아님</t>
        </is>
      </c>
      <c r="J185" t="inlineStr">
        <is>
          <t>일반법인</t>
        </is>
      </c>
      <c r="K185" t="inlineStr">
        <is>
          <t>중소기업</t>
        </is>
      </c>
      <c r="L185" t="inlineStr">
        <is>
          <t>외부감사대상</t>
        </is>
      </c>
      <c r="M185" s="6" t="inlineStr">
        <is>
          <t>1988-03-23</t>
        </is>
      </c>
      <c r="N185" t="inlineStr">
        <is>
          <t>KRI:10C1120900</t>
        </is>
      </c>
      <c r="O185" t="inlineStr">
        <is>
          <t>기타 비알코올 음료 제조업</t>
        </is>
      </c>
      <c r="P185" t="inlineStr">
        <is>
          <t>청량음료,특수영양식품 제조/식품가공,특수영양식품 도매/비주거용 건물 임대(점포,자기땅)</t>
        </is>
      </c>
      <c r="Q185" t="inlineStr">
        <is>
          <t>충북 충주시 대소원면 영평리 291-1번지</t>
        </is>
      </c>
      <c r="R185" t="inlineStr">
        <is>
          <t>충북 충주시 대소원면 두산길 106</t>
        </is>
      </c>
    </row>
    <row r="186" ht="19.2" customHeight="1" s="1">
      <c r="A186" t="inlineStr">
        <is>
          <t>NICE:149046</t>
        </is>
      </c>
      <c r="B186" t="inlineStr">
        <is>
          <t>한국에머슨마린솔루션즈</t>
        </is>
      </c>
      <c r="C186" t="inlineStr">
        <is>
          <t>킴브라이언라스무센</t>
        </is>
      </c>
      <c r="D186" t="inlineStr">
        <is>
          <t>051-602-5510</t>
        </is>
      </c>
      <c r="E186" t="inlineStr">
        <is>
          <t>051-602-5552</t>
        </is>
      </c>
      <c r="F186" s="3">
        <f>HYPERLINK("http://www.emersonprocess.com/marine", "http://www.emersonprocess.com/marine")</f>
        <v/>
      </c>
      <c r="G186" t="inlineStr">
        <is>
          <t>6038142263</t>
        </is>
      </c>
      <c r="H186" t="inlineStr">
        <is>
          <t>1801110326868</t>
        </is>
      </c>
      <c r="I186" t="inlineStr">
        <is>
          <t>대상아님</t>
        </is>
      </c>
      <c r="J186" t="inlineStr">
        <is>
          <t>일반법인</t>
        </is>
      </c>
      <c r="K186" t="inlineStr">
        <is>
          <t>중소기업</t>
        </is>
      </c>
      <c r="L186" t="inlineStr">
        <is>
          <t>외부감사대상</t>
        </is>
      </c>
      <c r="M186" s="6" t="inlineStr">
        <is>
          <t>2000-06-16</t>
        </is>
      </c>
      <c r="N186" t="inlineStr">
        <is>
          <t>KRI:10C2812300</t>
        </is>
      </c>
      <c r="O186" t="inlineStr">
        <is>
          <t>배전반 및 전기 자동제어반 제조업</t>
        </is>
      </c>
      <c r="P186" t="inlineStr">
        <is>
          <t>밸브원격조정장치,탱크관리제어제품 제조,도매,무역</t>
        </is>
      </c>
      <c r="Q186" t="inlineStr">
        <is>
          <t>부산 사하구 신평동 530번지</t>
        </is>
      </c>
      <c r="R186" t="inlineStr">
        <is>
          <t>부산 사하구 장평로 223</t>
        </is>
      </c>
    </row>
    <row r="187" ht="19.2" customHeight="1" s="1">
      <c r="A187" t="inlineStr">
        <is>
          <t>NICE:149369</t>
        </is>
      </c>
      <c r="B187" t="inlineStr">
        <is>
          <t>진텍엔지니어링</t>
        </is>
      </c>
      <c r="C187" t="inlineStr">
        <is>
          <t>이은정</t>
        </is>
      </c>
      <c r="D187" t="inlineStr">
        <is>
          <t>032-563-8721</t>
        </is>
      </c>
      <c r="E187" t="inlineStr">
        <is>
          <t>032-568-0619</t>
        </is>
      </c>
      <c r="F187" s="3">
        <f>HYPERLINK("http://www.jintecheng.co.kr", "http://www.jintecheng.co.kr")</f>
        <v/>
      </c>
      <c r="G187" t="inlineStr">
        <is>
          <t>1198128922</t>
        </is>
      </c>
      <c r="H187" t="inlineStr">
        <is>
          <t>1101111602394</t>
        </is>
      </c>
      <c r="I187" t="inlineStr">
        <is>
          <t>대상아님</t>
        </is>
      </c>
      <c r="J187" t="inlineStr">
        <is>
          <t>일반법인</t>
        </is>
      </c>
      <c r="K187" t="inlineStr">
        <is>
          <t>중소기업</t>
        </is>
      </c>
      <c r="L187" t="inlineStr">
        <is>
          <t>외부감사대상</t>
        </is>
      </c>
      <c r="M187" s="6" t="inlineStr">
        <is>
          <t>1998-11-02</t>
        </is>
      </c>
      <c r="N187" t="inlineStr">
        <is>
          <t>KRI:10C2929000</t>
        </is>
      </c>
      <c r="O187" t="inlineStr">
        <is>
          <t>기타 특수 목적용 기계 제조업</t>
        </is>
      </c>
      <c r="P187" t="inlineStr">
        <is>
          <t>도장설비산업기계,고철가공처리 제조/의류,가구 도소매,무역</t>
        </is>
      </c>
      <c r="Q187" t="inlineStr">
        <is>
          <t>인천 부평구 청천동 426-1번지 부평제이타워3차지식산업센터 813호 ,814호</t>
        </is>
      </c>
      <c r="R187" t="inlineStr">
        <is>
          <t>인천 부평구 부평대로 337, 813호,814호 (청천동,부평제이타워3차지식산업센터)</t>
        </is>
      </c>
    </row>
    <row r="188" ht="19.2" customHeight="1" s="1">
      <c r="A188" t="inlineStr">
        <is>
          <t>NICE:150769</t>
        </is>
      </c>
      <c r="B188" t="inlineStr">
        <is>
          <t>지성큐앤텍</t>
        </is>
      </c>
      <c r="C188" t="inlineStr">
        <is>
          <t>박희석/최외규</t>
        </is>
      </c>
      <c r="D188" t="inlineStr">
        <is>
          <t>055-285-2446</t>
        </is>
      </c>
      <c r="E188" t="inlineStr">
        <is>
          <t>055-285-5916</t>
        </is>
      </c>
      <c r="F188" s="3">
        <f>HYPERLINK("http://www.jisungqt.com", "http://www.jisungqt.com")</f>
        <v/>
      </c>
      <c r="G188" t="inlineStr">
        <is>
          <t>6098127445</t>
        </is>
      </c>
      <c r="H188" t="inlineStr">
        <is>
          <t>1942110023490</t>
        </is>
      </c>
      <c r="I188" t="inlineStr">
        <is>
          <t>대상아님</t>
        </is>
      </c>
      <c r="J188" t="inlineStr">
        <is>
          <t>일반법인</t>
        </is>
      </c>
      <c r="K188" t="inlineStr">
        <is>
          <t>중소기업</t>
        </is>
      </c>
      <c r="L188" t="inlineStr">
        <is>
          <t>외부감사대상</t>
        </is>
      </c>
      <c r="M188" s="6" t="inlineStr">
        <is>
          <t>1993-03-01</t>
        </is>
      </c>
      <c r="N188" t="inlineStr">
        <is>
          <t>KRI:10C3191000</t>
        </is>
      </c>
      <c r="O188" t="inlineStr">
        <is>
          <t>전투용 차량 제조업</t>
        </is>
      </c>
      <c r="P188" t="inlineStr">
        <is>
          <t>자동차부품,압력용기 제조/가스시설시공</t>
        </is>
      </c>
      <c r="Q188" t="inlineStr">
        <is>
          <t>경남 창원시 성산구 남산동 604-44번지</t>
        </is>
      </c>
      <c r="R188" t="inlineStr">
        <is>
          <t>경남 창원시 성산구 성주로81번길 6</t>
        </is>
      </c>
    </row>
    <row r="189" ht="19.2" customHeight="1" s="1">
      <c r="A189" t="inlineStr">
        <is>
          <t>NICE:151319</t>
        </is>
      </c>
      <c r="B189" t="inlineStr">
        <is>
          <t>니카코리아</t>
        </is>
      </c>
      <c r="C189" t="inlineStr">
        <is>
          <t>김희철/나가미네히로마사</t>
        </is>
      </c>
      <c r="D189" t="inlineStr">
        <is>
          <t>02-779-7727</t>
        </is>
      </c>
      <c r="E189" t="inlineStr">
        <is>
          <t>02-757-7437</t>
        </is>
      </c>
      <c r="F189" s="3">
        <f>HYPERLINK("http://www.niccakorea.com", "http://www.niccakorea.com")</f>
        <v/>
      </c>
      <c r="G189" t="inlineStr">
        <is>
          <t>1048131916</t>
        </is>
      </c>
      <c r="H189" t="inlineStr">
        <is>
          <t>1101110123044</t>
        </is>
      </c>
      <c r="I189" t="inlineStr">
        <is>
          <t>대상아님</t>
        </is>
      </c>
      <c r="J189" t="inlineStr">
        <is>
          <t>일반법인</t>
        </is>
      </c>
      <c r="K189" t="inlineStr">
        <is>
          <t>중소기업</t>
        </is>
      </c>
      <c r="L189" t="inlineStr">
        <is>
          <t>외부감사대상</t>
        </is>
      </c>
      <c r="M189" s="6" t="inlineStr">
        <is>
          <t>1971-05-22</t>
        </is>
      </c>
      <c r="N189" t="inlineStr">
        <is>
          <t>KRI:10C2042100</t>
        </is>
      </c>
      <c r="O189" t="inlineStr">
        <is>
          <t>계면활성제 제조업</t>
        </is>
      </c>
      <c r="P189" t="inlineStr">
        <is>
          <t>계면활성제(섬유가공,제지용,금속용),화학약품,화장품 제조,판매/무역</t>
        </is>
      </c>
      <c r="Q189" t="inlineStr">
        <is>
          <t>서울 금천구 가산동 459-11번지 제이플라츠 1502호</t>
        </is>
      </c>
      <c r="R189" t="inlineStr">
        <is>
          <t>서울 금천구 가산디지털1로 186, 1502호 (가산동,제이플라츠)</t>
        </is>
      </c>
    </row>
    <row r="190">
      <c r="A190" t="inlineStr">
        <is>
          <t>NICE:152970</t>
        </is>
      </c>
      <c r="B190" t="inlineStr">
        <is>
          <t>모젤디앤에스</t>
        </is>
      </c>
      <c r="C190" t="inlineStr">
        <is>
          <t>조대영</t>
        </is>
      </c>
      <c r="D190" t="inlineStr">
        <is>
          <t>043-838-5837</t>
        </is>
      </c>
      <c r="E190" t="inlineStr">
        <is>
          <t>043-838-7161</t>
        </is>
      </c>
      <c r="G190" t="inlineStr">
        <is>
          <t>3018147682</t>
        </is>
      </c>
      <c r="H190" t="inlineStr">
        <is>
          <t>1543110010609</t>
        </is>
      </c>
      <c r="I190" t="inlineStr">
        <is>
          <t>대상아님</t>
        </is>
      </c>
      <c r="J190" t="inlineStr">
        <is>
          <t>일반법인</t>
        </is>
      </c>
      <c r="K190" t="inlineStr">
        <is>
          <t>중소기업</t>
        </is>
      </c>
      <c r="L190" t="inlineStr">
        <is>
          <t>외부감사대상</t>
        </is>
      </c>
      <c r="M190" s="6" t="inlineStr">
        <is>
          <t>2000-11-17</t>
        </is>
      </c>
      <c r="N190" t="inlineStr">
        <is>
          <t>KRI:10C1790300</t>
        </is>
      </c>
      <c r="O190" t="inlineStr">
        <is>
          <t>벽지 및 장판지 제조업</t>
        </is>
      </c>
      <c r="P190" t="inlineStr">
        <is>
          <t>벽지,시트류 제조</t>
        </is>
      </c>
      <c r="Q190" t="inlineStr">
        <is>
          <t>충북 진천군 초평면 은암리 222-4번지</t>
        </is>
      </c>
      <c r="R190" t="inlineStr">
        <is>
          <t>충북 진천군 초평면 초평로 1222-15</t>
        </is>
      </c>
    </row>
    <row r="191" ht="19.2" customHeight="1" s="1">
      <c r="A191" t="inlineStr">
        <is>
          <t>NICE:153119</t>
        </is>
      </c>
      <c r="B191" t="inlineStr">
        <is>
          <t>비를라카본코리아</t>
        </is>
      </c>
      <c r="C191" t="inlineStr">
        <is>
          <t>아미트쿠마르</t>
        </is>
      </c>
      <c r="D191" t="inlineStr">
        <is>
          <t>061-688-3346</t>
        </is>
      </c>
      <c r="E191" t="inlineStr">
        <is>
          <t>061-688-3348</t>
        </is>
      </c>
      <c r="F191" s="3">
        <f>HYPERLINK("http://birlacarbon.com", "http://birlacarbon.com")</f>
        <v/>
      </c>
      <c r="G191" t="inlineStr">
        <is>
          <t>4178117746</t>
        </is>
      </c>
      <c r="H191" t="inlineStr">
        <is>
          <t>2062110014593</t>
        </is>
      </c>
      <c r="I191" t="inlineStr">
        <is>
          <t>대상아님</t>
        </is>
      </c>
      <c r="J191" t="inlineStr">
        <is>
          <t>일반법인</t>
        </is>
      </c>
      <c r="K191" t="inlineStr">
        <is>
          <t>중견기업</t>
        </is>
      </c>
      <c r="L191" t="inlineStr">
        <is>
          <t>외부감사대상</t>
        </is>
      </c>
      <c r="M191" s="6" t="inlineStr">
        <is>
          <t>1999-01-15</t>
        </is>
      </c>
      <c r="N191" t="inlineStr">
        <is>
          <t>KRI:10C2012900</t>
        </is>
      </c>
      <c r="O191" t="inlineStr">
        <is>
          <t>기타 기초 무기 화학물질 제조업</t>
        </is>
      </c>
      <c r="P191" t="inlineStr">
        <is>
          <t>카본블랙(타이어보강제),기초무기화합물 제조/부산물폐가스 도매,무역</t>
        </is>
      </c>
      <c r="Q191" t="inlineStr">
        <is>
          <t>전남 여수시 월하동 1-3번지</t>
        </is>
      </c>
      <c r="R191" t="inlineStr">
        <is>
          <t>전남 여수시 여수산단2로 46-101</t>
        </is>
      </c>
    </row>
    <row r="192" ht="19.2" customHeight="1" s="1">
      <c r="A192" t="inlineStr">
        <is>
          <t>NICE:153642</t>
        </is>
      </c>
      <c r="B192" t="inlineStr">
        <is>
          <t>케이엠알</t>
        </is>
      </c>
      <c r="C192" t="inlineStr">
        <is>
          <t>정동진/조연식</t>
        </is>
      </c>
      <c r="D192" t="inlineStr">
        <is>
          <t>031-386-2550</t>
        </is>
      </c>
      <c r="E192" t="inlineStr">
        <is>
          <t>031-386-2559</t>
        </is>
      </c>
      <c r="F192" s="3">
        <f>HYPERLINK("http://www.ikmr.com", "http://www.ikmr.com")</f>
        <v/>
      </c>
      <c r="G192" t="inlineStr">
        <is>
          <t>1238154133</t>
        </is>
      </c>
      <c r="H192" t="inlineStr">
        <is>
          <t>1341110071500</t>
        </is>
      </c>
      <c r="I192" t="inlineStr">
        <is>
          <t>대상아님</t>
        </is>
      </c>
      <c r="J192" t="inlineStr">
        <is>
          <t>일반법인</t>
        </is>
      </c>
      <c r="K192" t="inlineStr">
        <is>
          <t>중소기업</t>
        </is>
      </c>
      <c r="L192" t="inlineStr">
        <is>
          <t>외부감사대상</t>
        </is>
      </c>
      <c r="M192" s="6" t="inlineStr">
        <is>
          <t>2000-02-01</t>
        </is>
      </c>
      <c r="N192" t="inlineStr">
        <is>
          <t>KRI:10G4659200</t>
        </is>
      </c>
      <c r="O192" t="inlineStr">
        <is>
          <t>의료기기 도매업</t>
        </is>
      </c>
      <c r="P192" t="inlineStr">
        <is>
          <t>진단용의료기기 도소매,무역,유지보수</t>
        </is>
      </c>
      <c r="Q192" t="inlineStr">
        <is>
          <t>경기 안양시 동안구 관양동 934-4번지 금륜빌딩</t>
        </is>
      </c>
      <c r="R192" t="inlineStr">
        <is>
          <t>경기 안양시 동안구 흥안대로439번길 26 (관양동,금륜빌딩)</t>
        </is>
      </c>
    </row>
    <row r="193" ht="19.2" customHeight="1" s="1">
      <c r="A193" t="inlineStr">
        <is>
          <t>NICE:153643</t>
        </is>
      </c>
      <c r="B193" t="inlineStr">
        <is>
          <t>내일신문</t>
        </is>
      </c>
      <c r="C193" t="inlineStr">
        <is>
          <t>문진헌/박진범</t>
        </is>
      </c>
      <c r="D193" t="inlineStr">
        <is>
          <t>02-2287-2300</t>
        </is>
      </c>
      <c r="E193" t="inlineStr">
        <is>
          <t>02-2287-2310</t>
        </is>
      </c>
      <c r="F193" s="3">
        <f>HYPERLINK("http://www.naeil.com", "http://www.naeil.com")</f>
        <v/>
      </c>
      <c r="G193" t="inlineStr">
        <is>
          <t>1118119851</t>
        </is>
      </c>
      <c r="H193" t="inlineStr">
        <is>
          <t>1101110951338</t>
        </is>
      </c>
      <c r="I193" t="inlineStr">
        <is>
          <t>제3시장</t>
        </is>
      </c>
      <c r="J193" t="inlineStr">
        <is>
          <t>일반법인</t>
        </is>
      </c>
      <c r="K193" t="inlineStr">
        <is>
          <t>중소기업</t>
        </is>
      </c>
      <c r="L193" t="inlineStr">
        <is>
          <t>외부감사대상</t>
        </is>
      </c>
      <c r="M193" s="6" t="inlineStr">
        <is>
          <t>1993-06-21</t>
        </is>
      </c>
      <c r="N193" t="inlineStr">
        <is>
          <t>KRI:10J5812100</t>
        </is>
      </c>
      <c r="O193" t="inlineStr">
        <is>
          <t>신문 발행업</t>
        </is>
      </c>
      <c r="P193" t="inlineStr">
        <is>
          <t>신문,광고 발행/도서,잡지 출판,도소매/부동산 임대/광고대행,행사,디지털콘텐츠</t>
        </is>
      </c>
      <c r="Q193" t="inlineStr">
        <is>
          <t>서울 종로구 신문로1가 58-15번지 내일신문</t>
        </is>
      </c>
      <c r="R193" t="inlineStr">
        <is>
          <t>서울 종로구 새문안로3길 3 (신문로1가,내일신문)</t>
        </is>
      </c>
    </row>
    <row r="194" ht="19.2" customHeight="1" s="1">
      <c r="A194" t="inlineStr">
        <is>
          <t>NICE:155783</t>
        </is>
      </c>
      <c r="B194" t="inlineStr">
        <is>
          <t>이지스엔터프라이즈</t>
        </is>
      </c>
      <c r="C194" t="inlineStr">
        <is>
          <t>최병인</t>
        </is>
      </c>
      <c r="D194" t="inlineStr">
        <is>
          <t>02-2082-7200</t>
        </is>
      </c>
      <c r="E194" t="inlineStr">
        <is>
          <t>02-2082-7299</t>
        </is>
      </c>
      <c r="F194" s="3">
        <f>HYPERLINK("http://www.aegisep.com", "http://www.aegisep.com")</f>
        <v/>
      </c>
      <c r="G194" t="inlineStr">
        <is>
          <t>1208614122</t>
        </is>
      </c>
      <c r="H194" t="inlineStr">
        <is>
          <t>1101112109034</t>
        </is>
      </c>
      <c r="I194" t="inlineStr">
        <is>
          <t>대상아님</t>
        </is>
      </c>
      <c r="J194" t="inlineStr">
        <is>
          <t>일반법인</t>
        </is>
      </c>
      <c r="K194" t="inlineStr">
        <is>
          <t>중소기업</t>
        </is>
      </c>
      <c r="L194" t="inlineStr">
        <is>
          <t>외부감사대상</t>
        </is>
      </c>
      <c r="M194" s="6" t="inlineStr">
        <is>
          <t>2000-11-13</t>
        </is>
      </c>
      <c r="N194" t="inlineStr">
        <is>
          <t>KRI:10K6619900</t>
        </is>
      </c>
      <c r="O194" t="inlineStr">
        <is>
          <t>그 외 기타 금융 지원 서비스업</t>
        </is>
      </c>
      <c r="P194" t="inlineStr">
        <is>
          <t>전자지급대행,공동주택관리인터넷,컨설팅/출판/태양광발전/서적 도소매</t>
        </is>
      </c>
      <c r="Q194" t="inlineStr">
        <is>
          <t>서울 금천구 가산동 550-1번지 아이티캐슬 2동 714호</t>
        </is>
      </c>
      <c r="R194" t="inlineStr">
        <is>
          <t>서울 금천구 가산디지털2로 98, 2동 714호 (가산동,아이티캐슬)</t>
        </is>
      </c>
    </row>
    <row r="195" ht="19.2" customHeight="1" s="1">
      <c r="A195" t="inlineStr">
        <is>
          <t>NICE:156434</t>
        </is>
      </c>
      <c r="B195" t="inlineStr">
        <is>
          <t>성화산업</t>
        </is>
      </c>
      <c r="C195" t="inlineStr">
        <is>
          <t>노준형</t>
        </is>
      </c>
      <c r="D195" t="inlineStr">
        <is>
          <t>055-970-0200</t>
        </is>
      </c>
      <c r="E195" t="inlineStr">
        <is>
          <t>055-758-2944</t>
        </is>
      </c>
      <c r="F195" s="3">
        <f>HYPERLINK("http://www.seonghwa.co.kr", "http://www.seonghwa.co.kr")</f>
        <v/>
      </c>
      <c r="G195" t="inlineStr">
        <is>
          <t>1148165558</t>
        </is>
      </c>
      <c r="H195" t="inlineStr">
        <is>
          <t>1244110002006</t>
        </is>
      </c>
      <c r="I195" t="inlineStr">
        <is>
          <t>대상아님</t>
        </is>
      </c>
      <c r="J195" t="inlineStr">
        <is>
          <t>일반법인</t>
        </is>
      </c>
      <c r="K195" t="inlineStr">
        <is>
          <t>중소기업</t>
        </is>
      </c>
      <c r="L195" t="inlineStr">
        <is>
          <t>외부감사대상</t>
        </is>
      </c>
      <c r="M195" s="6" t="inlineStr">
        <is>
          <t>1983-08-02</t>
        </is>
      </c>
      <c r="N195" t="inlineStr">
        <is>
          <t>KRI:10C2511300</t>
        </is>
      </c>
      <c r="O195" t="inlineStr">
        <is>
          <t>육상 금속 골조 구조재 제조업</t>
        </is>
      </c>
      <c r="P195" t="inlineStr">
        <is>
          <t>건축용자재(파이프행거),공장가공배관,철골제품 제조,도매,수출,엔지니어링/부동산 임대/인력,장비 대여</t>
        </is>
      </c>
      <c r="Q195" t="inlineStr">
        <is>
          <t>경남 진주시 이반성면 길성리 957번지</t>
        </is>
      </c>
      <c r="R195" t="inlineStr">
        <is>
          <t>경남 진주시 이반성면 진마대로2498번길 34-2</t>
        </is>
      </c>
    </row>
    <row r="196" ht="19.2" customHeight="1" s="1">
      <c r="A196" t="inlineStr">
        <is>
          <t>NICE:158197</t>
        </is>
      </c>
      <c r="B196" t="inlineStr">
        <is>
          <t>미래와도전</t>
        </is>
      </c>
      <c r="C196" t="inlineStr">
        <is>
          <t>이병철</t>
        </is>
      </c>
      <c r="D196" t="inlineStr">
        <is>
          <t>031-8065-5114</t>
        </is>
      </c>
      <c r="E196" t="inlineStr">
        <is>
          <t>031-8065-5111</t>
        </is>
      </c>
      <c r="F196" s="3">
        <f>HYPERLINK("http://www.fnctech.com", "http://www.fnctech.com")</f>
        <v/>
      </c>
      <c r="G196" t="inlineStr">
        <is>
          <t>1198139996</t>
        </is>
      </c>
      <c r="H196" t="inlineStr">
        <is>
          <t>1101112013532</t>
        </is>
      </c>
      <c r="I196" t="inlineStr">
        <is>
          <t>대상아님</t>
        </is>
      </c>
      <c r="J196" t="inlineStr">
        <is>
          <t>일반법인</t>
        </is>
      </c>
      <c r="K196" t="inlineStr">
        <is>
          <t>중소기업</t>
        </is>
      </c>
      <c r="L196" t="inlineStr">
        <is>
          <t>외부감사대상</t>
        </is>
      </c>
      <c r="M196" s="6" t="inlineStr">
        <is>
          <t>2000-07-01</t>
        </is>
      </c>
      <c r="N196" t="inlineStr">
        <is>
          <t>KRI:10M7212900</t>
        </is>
      </c>
      <c r="O196" t="inlineStr">
        <is>
          <t>기타 엔지니어링 서비스업</t>
        </is>
      </c>
      <c r="P196" t="inlineStr">
        <is>
          <t>엔지니어링,소프트웨어 개발/학술연구 용역,연구 개발,교육 지원</t>
        </is>
      </c>
      <c r="Q196" t="inlineStr">
        <is>
          <t>경기 용인시 기흥구 영덕동 1005번지 흥덕아이티밸리 32층 타워동</t>
        </is>
      </c>
      <c r="R196" t="inlineStr">
        <is>
          <t>경기 용인시 기흥구 흥덕1로 13, 32층 (영덕동,흥덕아이티밸리 타워동)</t>
        </is>
      </c>
    </row>
    <row r="197" ht="19.2" customHeight="1" s="1">
      <c r="A197" t="inlineStr">
        <is>
          <t>NICE:158673</t>
        </is>
      </c>
      <c r="B197" t="inlineStr">
        <is>
          <t>삼건세기</t>
        </is>
      </c>
      <c r="C197" t="inlineStr">
        <is>
          <t>강정일</t>
        </is>
      </c>
      <c r="D197" t="inlineStr">
        <is>
          <t>055-338-3030</t>
        </is>
      </c>
      <c r="E197" t="inlineStr">
        <is>
          <t>0303-3440-2996</t>
        </is>
      </c>
      <c r="F197" s="3">
        <f>HYPERLINK("http://www.samkunok.com", "http://www.samkunok.com")</f>
        <v/>
      </c>
      <c r="G197" t="inlineStr">
        <is>
          <t>6218129496</t>
        </is>
      </c>
      <c r="H197" t="inlineStr">
        <is>
          <t>1845110018190</t>
        </is>
      </c>
      <c r="I197" t="inlineStr">
        <is>
          <t>대상아님</t>
        </is>
      </c>
      <c r="J197" t="inlineStr">
        <is>
          <t>일반법인</t>
        </is>
      </c>
      <c r="K197" t="inlineStr">
        <is>
          <t>중소기업</t>
        </is>
      </c>
      <c r="L197" t="inlineStr">
        <is>
          <t>외부감사대상</t>
        </is>
      </c>
      <c r="M197" s="6" t="inlineStr">
        <is>
          <t>1989-11-01</t>
        </is>
      </c>
      <c r="N197" t="inlineStr">
        <is>
          <t>KRI:10C2917500</t>
        </is>
      </c>
      <c r="O197" t="inlineStr">
        <is>
          <t>액체 여과기 제조업</t>
        </is>
      </c>
      <c r="P197" t="inlineStr">
        <is>
          <t>액체여과기,조선기자재,공조기기,상수도배관 제조</t>
        </is>
      </c>
      <c r="Q197" t="inlineStr">
        <is>
          <t>경남 밀양시 삼랑진읍 율동리 197-12번지</t>
        </is>
      </c>
      <c r="R197" t="inlineStr">
        <is>
          <t>경남 밀양시 삼랑진읍 미율로 405</t>
        </is>
      </c>
    </row>
    <row r="198" ht="19.2" customHeight="1" s="1">
      <c r="A198" t="inlineStr">
        <is>
          <t>NICE:158688</t>
        </is>
      </c>
      <c r="B198" t="inlineStr">
        <is>
          <t>넷츠</t>
        </is>
      </c>
      <c r="C198" t="inlineStr">
        <is>
          <t>이승민</t>
        </is>
      </c>
      <c r="D198" t="inlineStr">
        <is>
          <t>02-508-6421</t>
        </is>
      </c>
      <c r="E198" t="inlineStr">
        <is>
          <t>02-508-6221</t>
        </is>
      </c>
      <c r="F198" s="3">
        <f>HYPERLINK("http://www.nets.co.kr", "http://www.nets.co.kr")</f>
        <v/>
      </c>
      <c r="G198" t="inlineStr">
        <is>
          <t>2298132228</t>
        </is>
      </c>
      <c r="H198" t="inlineStr">
        <is>
          <t>1101111546021</t>
        </is>
      </c>
      <c r="I198" t="inlineStr">
        <is>
          <t>대상아님</t>
        </is>
      </c>
      <c r="J198" t="inlineStr">
        <is>
          <t>일반법인</t>
        </is>
      </c>
      <c r="K198" t="inlineStr">
        <is>
          <t>중소기업</t>
        </is>
      </c>
      <c r="L198" t="inlineStr">
        <is>
          <t>외부감사대상</t>
        </is>
      </c>
      <c r="M198" s="6" t="inlineStr">
        <is>
          <t>1998-05-14</t>
        </is>
      </c>
      <c r="N198" t="inlineStr">
        <is>
          <t>KRI:10J6202100</t>
        </is>
      </c>
      <c r="O198" t="inlineStr">
        <is>
          <t>컴퓨터시스템 통합 자문 및 구축 서비스업</t>
        </is>
      </c>
      <c r="P198" t="inlineStr">
        <is>
          <t>소프트웨어(단일인증솔루션,통합계정권한관리솔루션) 개발/컴퓨터통신용장비 제조,도소매</t>
        </is>
      </c>
      <c r="Q198" t="inlineStr">
        <is>
          <t>서울 강남구 도곡동 411-4번지</t>
        </is>
      </c>
      <c r="R198" t="inlineStr">
        <is>
          <t>서울 강남구 논현로38길 11</t>
        </is>
      </c>
    </row>
    <row r="199" ht="19.2" customHeight="1" s="1">
      <c r="A199" t="inlineStr">
        <is>
          <t>NICE:158856</t>
        </is>
      </c>
      <c r="B199" t="inlineStr">
        <is>
          <t>대방건설</t>
        </is>
      </c>
      <c r="C199" t="inlineStr">
        <is>
          <t>구찬우</t>
        </is>
      </c>
      <c r="D199" t="inlineStr">
        <is>
          <t>02-2181-9400</t>
        </is>
      </c>
      <c r="E199" t="inlineStr">
        <is>
          <t>02-2181-9500</t>
        </is>
      </c>
      <c r="F199" s="3">
        <f>HYPERLINK("http://www.dbcons.co.kr", "http://www.dbcons.co.kr")</f>
        <v/>
      </c>
      <c r="G199" t="inlineStr">
        <is>
          <t>2098110477</t>
        </is>
      </c>
      <c r="H199" t="inlineStr">
        <is>
          <t>1101110757158</t>
        </is>
      </c>
      <c r="I199" t="inlineStr">
        <is>
          <t>대상아님</t>
        </is>
      </c>
      <c r="J199" t="inlineStr">
        <is>
          <t>일반법인</t>
        </is>
      </c>
      <c r="K199" t="inlineStr">
        <is>
          <t>중견기업</t>
        </is>
      </c>
      <c r="L199" t="inlineStr">
        <is>
          <t>외부감사대상</t>
        </is>
      </c>
      <c r="M199" s="6" t="inlineStr">
        <is>
          <t>1991-03-15</t>
        </is>
      </c>
      <c r="N199" t="inlineStr">
        <is>
          <t>KRI:10F4111000</t>
        </is>
      </c>
      <c r="O199" t="inlineStr">
        <is>
          <t>주거용 건물 건설업</t>
        </is>
      </c>
      <c r="P199" t="inlineStr">
        <is>
          <t>주택형임대아파트공사/아파트 신축판매,부동산 임대</t>
        </is>
      </c>
      <c r="Q199" t="inlineStr">
        <is>
          <t>경기 고양시 일산동구 백석동 1294-1번지</t>
        </is>
      </c>
      <c r="R199" t="inlineStr">
        <is>
          <t>경기 고양시 일산동구 중앙로 1072</t>
        </is>
      </c>
    </row>
    <row r="200" ht="19.2" customHeight="1" s="1">
      <c r="A200" t="inlineStr">
        <is>
          <t>NICE:159367</t>
        </is>
      </c>
      <c r="B200" t="inlineStr">
        <is>
          <t>제노에너지</t>
        </is>
      </c>
      <c r="C200" t="inlineStr">
        <is>
          <t>김성철</t>
        </is>
      </c>
      <c r="D200" t="inlineStr">
        <is>
          <t>031-355-3511</t>
        </is>
      </c>
      <c r="E200" t="inlineStr">
        <is>
          <t>031-355-3513</t>
        </is>
      </c>
      <c r="F200" s="3">
        <f>HYPERLINK("http://www.xenoenergy.com", "http://www.xenoenergy.com")</f>
        <v/>
      </c>
      <c r="G200" t="inlineStr">
        <is>
          <t>2148656408</t>
        </is>
      </c>
      <c r="H200" t="inlineStr">
        <is>
          <t>1101111941536</t>
        </is>
      </c>
      <c r="I200" t="inlineStr">
        <is>
          <t>대상아님</t>
        </is>
      </c>
      <c r="J200" t="inlineStr">
        <is>
          <t>일반법인</t>
        </is>
      </c>
      <c r="K200" t="inlineStr">
        <is>
          <t>중소기업</t>
        </is>
      </c>
      <c r="L200" t="inlineStr">
        <is>
          <t>외부감사대상</t>
        </is>
      </c>
      <c r="M200" s="6" t="inlineStr">
        <is>
          <t>2000-04-17</t>
        </is>
      </c>
      <c r="N200" t="inlineStr">
        <is>
          <t>KRI:10C2820100</t>
        </is>
      </c>
      <c r="O200" t="inlineStr">
        <is>
          <t>일차전지 제조업</t>
        </is>
      </c>
      <c r="P200" t="inlineStr">
        <is>
          <t>리튬파우더,첨단전지 제조</t>
        </is>
      </c>
      <c r="Q200" t="inlineStr">
        <is>
          <t>경기 화성시 남양읍 무송리 470-20번지</t>
        </is>
      </c>
      <c r="R200" t="inlineStr">
        <is>
          <t>경기 화성시 남양읍 무하로 70-7</t>
        </is>
      </c>
    </row>
    <row r="201" ht="19.2" customHeight="1" s="1">
      <c r="A201" t="inlineStr">
        <is>
          <t>NICE:159554</t>
        </is>
      </c>
      <c r="B201" t="inlineStr">
        <is>
          <t>이카운트</t>
        </is>
      </c>
      <c r="C201" t="inlineStr">
        <is>
          <t>김신래</t>
        </is>
      </c>
      <c r="D201" t="inlineStr">
        <is>
          <t>1566-5333</t>
        </is>
      </c>
      <c r="E201" t="inlineStr">
        <is>
          <t>02-584-3396</t>
        </is>
      </c>
      <c r="F201" s="3">
        <f>HYPERLINK("http://www.ecount.co.kr", "http://www.ecount.co.kr")</f>
        <v/>
      </c>
      <c r="G201" t="inlineStr">
        <is>
          <t>2208165848</t>
        </is>
      </c>
      <c r="H201" t="inlineStr">
        <is>
          <t>1101111755002</t>
        </is>
      </c>
      <c r="I201" t="inlineStr">
        <is>
          <t>대상아님</t>
        </is>
      </c>
      <c r="J201" t="inlineStr">
        <is>
          <t>일반법인</t>
        </is>
      </c>
      <c r="K201" t="inlineStr">
        <is>
          <t>중소기업</t>
        </is>
      </c>
      <c r="L201" t="inlineStr">
        <is>
          <t>외부감사대상</t>
        </is>
      </c>
      <c r="M201" s="6" t="inlineStr">
        <is>
          <t>1999-08-18</t>
        </is>
      </c>
      <c r="N201" t="inlineStr">
        <is>
          <t>KRI:10J5822200</t>
        </is>
      </c>
      <c r="O201" t="inlineStr">
        <is>
          <t>응용 소프트웨어 개발 및 공급업</t>
        </is>
      </c>
      <c r="P201" t="inlineStr">
        <is>
          <t>소프트웨어 개발,공급,온라인정보 제공</t>
        </is>
      </c>
      <c r="Q201" t="inlineStr">
        <is>
          <t>서울 강동구 고덕동 38-11번지</t>
        </is>
      </c>
      <c r="R201" t="inlineStr">
        <is>
          <t>서울 강동구 고덕비즈밸리로6길 84</t>
        </is>
      </c>
    </row>
    <row r="202">
      <c r="A202" t="inlineStr">
        <is>
          <t>NICE:159762</t>
        </is>
      </c>
      <c r="B202" t="inlineStr">
        <is>
          <t>리뉴에너지충북</t>
        </is>
      </c>
      <c r="C202" t="inlineStr">
        <is>
          <t>이용석</t>
        </is>
      </c>
      <c r="D202" t="inlineStr">
        <is>
          <t>043-214-7588</t>
        </is>
      </c>
      <c r="E202" t="inlineStr">
        <is>
          <t>043-214-7770</t>
        </is>
      </c>
      <c r="G202" t="inlineStr">
        <is>
          <t>3018133965</t>
        </is>
      </c>
      <c r="H202" t="inlineStr">
        <is>
          <t>1501110034251</t>
        </is>
      </c>
      <c r="I202" t="inlineStr">
        <is>
          <t>대상아님</t>
        </is>
      </c>
      <c r="J202" t="inlineStr">
        <is>
          <t>일반법인</t>
        </is>
      </c>
      <c r="K202" t="inlineStr">
        <is>
          <t>중견기업</t>
        </is>
      </c>
      <c r="L202" t="inlineStr">
        <is>
          <t>외부감사대상</t>
        </is>
      </c>
      <c r="M202" s="6" t="inlineStr">
        <is>
          <t>1998-07-29</t>
        </is>
      </c>
      <c r="N202" t="inlineStr">
        <is>
          <t>KRI:10E3821000</t>
        </is>
      </c>
      <c r="O202" t="inlineStr">
        <is>
          <t>지정 외 폐기물 처리업</t>
        </is>
      </c>
      <c r="P202" t="inlineStr">
        <is>
          <t>일반폐기물 처리/증기터빈 발전/증기 공급/골재 제조/산업용기계장비 임대/고철,폐품 도소매</t>
        </is>
      </c>
      <c r="Q202" t="inlineStr">
        <is>
          <t>충북 청주시 청원구 북이면 용계리 596-12번지</t>
        </is>
      </c>
      <c r="R202" t="inlineStr">
        <is>
          <t>충북 청주시 청원구 북이면 신대석성로 245</t>
        </is>
      </c>
    </row>
    <row r="203" ht="19.2" customHeight="1" s="1">
      <c r="A203" t="inlineStr">
        <is>
          <t>NICE:160107</t>
        </is>
      </c>
      <c r="B203" t="inlineStr">
        <is>
          <t>아토웨이브</t>
        </is>
      </c>
      <c r="C203" t="inlineStr">
        <is>
          <t>김성철</t>
        </is>
      </c>
      <c r="D203" t="inlineStr">
        <is>
          <t>02-2026-6500</t>
        </is>
      </c>
      <c r="E203" t="inlineStr">
        <is>
          <t>02-2026-6565</t>
        </is>
      </c>
      <c r="F203" s="3">
        <f>HYPERLINK("http://www.attowave.com", "http://www.attowave.com")</f>
        <v/>
      </c>
      <c r="G203" t="inlineStr">
        <is>
          <t>1388117649</t>
        </is>
      </c>
      <c r="H203" t="inlineStr">
        <is>
          <t>1341110061949</t>
        </is>
      </c>
      <c r="I203" t="inlineStr">
        <is>
          <t>대상아님</t>
        </is>
      </c>
      <c r="J203" t="inlineStr">
        <is>
          <t>일반법인</t>
        </is>
      </c>
      <c r="K203" t="inlineStr">
        <is>
          <t>중소기업</t>
        </is>
      </c>
      <c r="L203" t="inlineStr">
        <is>
          <t>외부감사대상</t>
        </is>
      </c>
      <c r="M203" s="6" t="inlineStr">
        <is>
          <t>1998-09-10</t>
        </is>
      </c>
      <c r="N203" t="inlineStr">
        <is>
          <t>KRI:10C2642900</t>
        </is>
      </c>
      <c r="O203" t="inlineStr">
        <is>
          <t>기타 무선 통신장비 제조업</t>
        </is>
      </c>
      <c r="P203" t="inlineStr">
        <is>
          <t>통신단말기 제조/무역/소프트웨어 개발,공급</t>
        </is>
      </c>
      <c r="Q203" t="inlineStr">
        <is>
          <t>서울 금천구 가산동 60-15번지 삼성리더스타워 10층 1005호</t>
        </is>
      </c>
      <c r="R203" t="inlineStr">
        <is>
          <t>서울 금천구 벚꽃로 286, 10층 1005호 (가산동,삼성리더스타워)</t>
        </is>
      </c>
    </row>
    <row r="204" ht="19.2" customHeight="1" s="1">
      <c r="A204" t="inlineStr">
        <is>
          <t>NICE:160205</t>
        </is>
      </c>
      <c r="B204" t="inlineStr">
        <is>
          <t>정수유통</t>
        </is>
      </c>
      <c r="C204" t="inlineStr">
        <is>
          <t>오정택</t>
        </is>
      </c>
      <c r="D204" t="inlineStr">
        <is>
          <t>043-883-9057</t>
        </is>
      </c>
      <c r="E204" t="inlineStr">
        <is>
          <t>043-882-9056</t>
        </is>
      </c>
      <c r="F204" s="3">
        <f>HYPERLINK("http://www.jsdistribution.co.kr", "http://www.jsdistribution.co.kr")</f>
        <v/>
      </c>
      <c r="G204" t="inlineStr">
        <is>
          <t>3038113776</t>
        </is>
      </c>
      <c r="H204" t="inlineStr">
        <is>
          <t>1545110008048</t>
        </is>
      </c>
      <c r="I204" t="inlineStr">
        <is>
          <t>대상아님</t>
        </is>
      </c>
      <c r="J204" t="inlineStr">
        <is>
          <t>일반법인</t>
        </is>
      </c>
      <c r="K204" t="inlineStr">
        <is>
          <t>중소기업</t>
        </is>
      </c>
      <c r="L204" t="inlineStr">
        <is>
          <t>외부감사대상</t>
        </is>
      </c>
      <c r="M204" s="6" t="inlineStr">
        <is>
          <t>1995-07-14</t>
        </is>
      </c>
      <c r="N204" t="inlineStr">
        <is>
          <t>KRI:10H5299300</t>
        </is>
      </c>
      <c r="O204" t="inlineStr">
        <is>
          <t>화물 포장, 검수 및 계량 서비스업</t>
        </is>
      </c>
      <c r="P204" t="inlineStr">
        <is>
          <t>포장소분,국제물류주선/물류 창고/다류,당류,식품,목재포장용상자드럼 제조/수출입,통관대행</t>
        </is>
      </c>
      <c r="Q204" t="inlineStr">
        <is>
          <t>충북 음성군 삼성면 청용리 470번지</t>
        </is>
      </c>
      <c r="R204" t="inlineStr">
        <is>
          <t>충북 음성군 삼성면 대청로 176</t>
        </is>
      </c>
    </row>
    <row r="205" ht="19.2" customHeight="1" s="1">
      <c r="A205" t="inlineStr">
        <is>
          <t>NICE:160251</t>
        </is>
      </c>
      <c r="B205" t="inlineStr">
        <is>
          <t>제일메디칼코퍼레이션</t>
        </is>
      </c>
      <c r="C205" t="inlineStr">
        <is>
          <t>박재일/박성진</t>
        </is>
      </c>
      <c r="D205" t="inlineStr">
        <is>
          <t>02-850-3500</t>
        </is>
      </c>
      <c r="E205" t="inlineStr">
        <is>
          <t>02-850-3535</t>
        </is>
      </c>
      <c r="F205" s="3">
        <f>HYPERLINK("http://www.jeilmed.co.kr", "http://www.jeilmed.co.kr")</f>
        <v/>
      </c>
      <c r="G205" t="inlineStr">
        <is>
          <t>1138165759</t>
        </is>
      </c>
      <c r="H205" t="inlineStr">
        <is>
          <t>1101112018615</t>
        </is>
      </c>
      <c r="I205" t="inlineStr">
        <is>
          <t>대상아님</t>
        </is>
      </c>
      <c r="J205" t="inlineStr">
        <is>
          <t>일반법인</t>
        </is>
      </c>
      <c r="K205" t="inlineStr">
        <is>
          <t>중소기업</t>
        </is>
      </c>
      <c r="L205" t="inlineStr">
        <is>
          <t>외부감사대상</t>
        </is>
      </c>
      <c r="M205" s="6" t="inlineStr">
        <is>
          <t>2000-07-06</t>
        </is>
      </c>
      <c r="N205" t="inlineStr">
        <is>
          <t>KRI:10C2719100</t>
        </is>
      </c>
      <c r="O205" t="inlineStr">
        <is>
          <t>치과용 기기 제조업</t>
        </is>
      </c>
      <c r="P205" t="inlineStr">
        <is>
          <t>의료기기(치과용) 제조/무역,통신판매/부동산 임대</t>
        </is>
      </c>
      <c r="Q205" t="inlineStr">
        <is>
          <t>서울 구로구 구로동 811번지 코 702호,703호,704호,705호, 706호,804호,805호,807호,812호</t>
        </is>
      </c>
      <c r="R205" t="inlineStr">
        <is>
          <t>서울 구로구 디지털로34길 55, 702호,703호,704호,705호, 706호,804호,805호,807호,812호 (구로동,코)</t>
        </is>
      </c>
    </row>
    <row r="206" ht="19.2" customHeight="1" s="1">
      <c r="A206" t="inlineStr">
        <is>
          <t>NICE:161802</t>
        </is>
      </c>
      <c r="B206" t="inlineStr">
        <is>
          <t>콜텍</t>
        </is>
      </c>
      <c r="C206" t="inlineStr">
        <is>
          <t>박영호/박형준</t>
        </is>
      </c>
      <c r="D206" t="inlineStr">
        <is>
          <t>02-3663-4342</t>
        </is>
      </c>
      <c r="E206" t="inlineStr">
        <is>
          <t>02-3663-4345</t>
        </is>
      </c>
      <c r="F206" s="3">
        <f>HYPERLINK("http://www.cortguitars.com", "http://www.cortguitars.com")</f>
        <v/>
      </c>
      <c r="G206" t="inlineStr">
        <is>
          <t>1178100743</t>
        </is>
      </c>
      <c r="H206" t="inlineStr">
        <is>
          <t>1101110581151</t>
        </is>
      </c>
      <c r="I206" t="inlineStr">
        <is>
          <t>대상아님</t>
        </is>
      </c>
      <c r="J206" t="inlineStr">
        <is>
          <t>일반법인</t>
        </is>
      </c>
      <c r="K206" t="inlineStr">
        <is>
          <t>중견기업</t>
        </is>
      </c>
      <c r="L206" t="inlineStr">
        <is>
          <t>외부감사대상</t>
        </is>
      </c>
      <c r="M206" s="6" t="inlineStr">
        <is>
          <t>1988-07-01</t>
        </is>
      </c>
      <c r="N206" t="inlineStr">
        <is>
          <t>KRI:10G4646200</t>
        </is>
      </c>
      <c r="O206" t="inlineStr">
        <is>
          <t>악기 도매업</t>
        </is>
      </c>
      <c r="P206" t="inlineStr">
        <is>
          <t>악기 도소매/출판물 제조/부동산 임대</t>
        </is>
      </c>
      <c r="Q206" t="inlineStr">
        <is>
          <t>서울 강서구 등촌동 660번지</t>
        </is>
      </c>
      <c r="R206" t="inlineStr">
        <is>
          <t>서울 강서구 화곡로61길 59</t>
        </is>
      </c>
    </row>
    <row r="207">
      <c r="A207" t="inlineStr">
        <is>
          <t>NICE:161828</t>
        </is>
      </c>
      <c r="B207" t="inlineStr">
        <is>
          <t>태영산업</t>
        </is>
      </c>
      <c r="C207" t="inlineStr">
        <is>
          <t>윤종국</t>
        </is>
      </c>
      <c r="D207" t="inlineStr">
        <is>
          <t>055-352-8888</t>
        </is>
      </c>
      <c r="E207" t="inlineStr">
        <is>
          <t>055-356-9214</t>
        </is>
      </c>
      <c r="G207" t="inlineStr">
        <is>
          <t>6158104530</t>
        </is>
      </c>
      <c r="H207" t="inlineStr">
        <is>
          <t>1913110002726</t>
        </is>
      </c>
      <c r="I207" t="inlineStr">
        <is>
          <t>대상아님</t>
        </is>
      </c>
      <c r="J207" t="inlineStr">
        <is>
          <t>일반법인</t>
        </is>
      </c>
      <c r="K207" t="inlineStr">
        <is>
          <t>중견기업</t>
        </is>
      </c>
      <c r="L207" t="inlineStr">
        <is>
          <t>외부감사대상</t>
        </is>
      </c>
      <c r="M207" s="6" t="inlineStr">
        <is>
          <t>1994-08-18</t>
        </is>
      </c>
      <c r="N207" t="inlineStr">
        <is>
          <t>KRI:10C3399200</t>
        </is>
      </c>
      <c r="O207" t="inlineStr">
        <is>
          <t>라이터, 연소물 및 흡연용품 제조업</t>
        </is>
      </c>
      <c r="P207" t="inlineStr">
        <is>
          <t>담배필터 제조/태양력 발전</t>
        </is>
      </c>
      <c r="Q207" t="inlineStr">
        <is>
          <t>경남 밀양시 삼랑진읍 용전리 353번지</t>
        </is>
      </c>
      <c r="R207" t="inlineStr">
        <is>
          <t>경남 밀양시 삼랑진읍 미율로 329-21</t>
        </is>
      </c>
    </row>
    <row r="208">
      <c r="A208" t="inlineStr">
        <is>
          <t>NICE:162057</t>
        </is>
      </c>
      <c r="B208" t="inlineStr">
        <is>
          <t>신아레미콘</t>
        </is>
      </c>
      <c r="C208" t="inlineStr">
        <is>
          <t>윤영식</t>
        </is>
      </c>
      <c r="D208" t="inlineStr">
        <is>
          <t>052-239-0020</t>
        </is>
      </c>
      <c r="E208" t="inlineStr">
        <is>
          <t>052-238-2199</t>
        </is>
      </c>
      <c r="G208" t="inlineStr">
        <is>
          <t>6108136871</t>
        </is>
      </c>
      <c r="H208" t="inlineStr">
        <is>
          <t>2301110056307</t>
        </is>
      </c>
      <c r="I208" t="inlineStr">
        <is>
          <t>대상아님</t>
        </is>
      </c>
      <c r="J208" t="inlineStr">
        <is>
          <t>일반법인</t>
        </is>
      </c>
      <c r="K208" t="inlineStr">
        <is>
          <t>중소기업</t>
        </is>
      </c>
      <c r="L208" t="inlineStr">
        <is>
          <t>외부감사대상</t>
        </is>
      </c>
      <c r="M208" s="6" t="inlineStr">
        <is>
          <t>1999-04-08</t>
        </is>
      </c>
      <c r="N208" t="inlineStr">
        <is>
          <t>KRI:10C2332200</t>
        </is>
      </c>
      <c r="O208" t="inlineStr">
        <is>
          <t>레미콘 제조업</t>
        </is>
      </c>
      <c r="P208" t="inlineStr">
        <is>
          <t>레미콘,모르타르 제조/규사 도소매</t>
        </is>
      </c>
      <c r="Q208" t="inlineStr">
        <is>
          <t>울산 울주군 온산읍 당월리 222-3번지</t>
        </is>
      </c>
      <c r="R208" t="inlineStr">
        <is>
          <t>울산 울주군 온산읍 당월로 126</t>
        </is>
      </c>
    </row>
    <row r="209" ht="19.2" customHeight="1" s="1">
      <c r="A209" t="inlineStr">
        <is>
          <t>NICE:163441</t>
        </is>
      </c>
      <c r="B209" t="inlineStr">
        <is>
          <t>한국수력원자력</t>
        </is>
      </c>
      <c r="C209" t="inlineStr">
        <is>
          <t>김회천</t>
        </is>
      </c>
      <c r="D209" t="inlineStr">
        <is>
          <t>054-704-2114</t>
        </is>
      </c>
      <c r="E209" t="inlineStr">
        <is>
          <t>054-704-2203</t>
        </is>
      </c>
      <c r="F209" s="3">
        <f>HYPERLINK("http://www.khnp.co.kr", "http://www.khnp.co.kr")</f>
        <v/>
      </c>
      <c r="G209" t="inlineStr">
        <is>
          <t>1208618943</t>
        </is>
      </c>
      <c r="H209" t="inlineStr">
        <is>
          <t>1101112207127</t>
        </is>
      </c>
      <c r="I209" t="inlineStr">
        <is>
          <t>대상아님</t>
        </is>
      </c>
      <c r="J209" t="inlineStr">
        <is>
          <t>공공기관</t>
        </is>
      </c>
      <c r="K209" t="inlineStr">
        <is>
          <t>대상아님</t>
        </is>
      </c>
      <c r="L209" t="inlineStr">
        <is>
          <t>외부감사대상</t>
        </is>
      </c>
      <c r="M209" s="6" t="inlineStr">
        <is>
          <t>2001-04-02</t>
        </is>
      </c>
      <c r="N209" t="inlineStr">
        <is>
          <t>KRI:10D3511100</t>
        </is>
      </c>
      <c r="O209" t="inlineStr">
        <is>
          <t>원자력 발전업</t>
        </is>
      </c>
      <c r="P209" t="inlineStr">
        <is>
          <t>원자력 발전,전기 발전/전력자원개발공사</t>
        </is>
      </c>
      <c r="Q209" t="inlineStr">
        <is>
          <t>경북 경주시 문무대왕면 장항리 1270번지</t>
        </is>
      </c>
      <c r="R209" t="inlineStr">
        <is>
          <t>경북 경주시 문무대왕면 불국로 1655</t>
        </is>
      </c>
    </row>
    <row r="210" ht="19.2" customHeight="1" s="1">
      <c r="A210" t="inlineStr">
        <is>
          <t>NICE:163442</t>
        </is>
      </c>
      <c r="B210" t="inlineStr">
        <is>
          <t>한국동서발전</t>
        </is>
      </c>
      <c r="C210" t="inlineStr">
        <is>
          <t>권명호</t>
        </is>
      </c>
      <c r="D210" t="inlineStr">
        <is>
          <t>070-5000-1000</t>
        </is>
      </c>
      <c r="E210" t="inlineStr">
        <is>
          <t>070-5000-1299</t>
        </is>
      </c>
      <c r="F210" s="3">
        <f>HYPERLINK("http://www.ewp.co.kr", "http://www.ewp.co.kr")</f>
        <v/>
      </c>
      <c r="G210" t="inlineStr">
        <is>
          <t>1208619199</t>
        </is>
      </c>
      <c r="H210" t="inlineStr">
        <is>
          <t>1101112207151</t>
        </is>
      </c>
      <c r="I210" t="inlineStr">
        <is>
          <t>대상아님</t>
        </is>
      </c>
      <c r="J210" t="inlineStr">
        <is>
          <t>공공기관</t>
        </is>
      </c>
      <c r="K210" t="inlineStr">
        <is>
          <t>대상아님</t>
        </is>
      </c>
      <c r="L210" t="inlineStr">
        <is>
          <t>외부감사대상</t>
        </is>
      </c>
      <c r="M210" s="6" t="inlineStr">
        <is>
          <t>2001-04-02</t>
        </is>
      </c>
      <c r="N210" t="inlineStr">
        <is>
          <t>KRI:10D3511300</t>
        </is>
      </c>
      <c r="O210" t="inlineStr">
        <is>
          <t>화력 발전업</t>
        </is>
      </c>
      <c r="P210" t="inlineStr">
        <is>
          <t>전력자원개발,발전,전력생산,연구,기술개발</t>
        </is>
      </c>
      <c r="Q210" t="inlineStr">
        <is>
          <t>울산 중구 성안동 239번지</t>
        </is>
      </c>
      <c r="R210" t="inlineStr">
        <is>
          <t>울산 중구 종가로 395</t>
        </is>
      </c>
    </row>
    <row r="211" ht="19.2" customHeight="1" s="1">
      <c r="A211" t="inlineStr">
        <is>
          <t>NICE:163665</t>
        </is>
      </c>
      <c r="B211" t="inlineStr">
        <is>
          <t>듀폰스페셜티머터리얼스코리아</t>
        </is>
      </c>
      <c r="C211" t="inlineStr">
        <is>
          <t>양승관</t>
        </is>
      </c>
      <c r="D211" t="inlineStr">
        <is>
          <t>02-2222-5200</t>
        </is>
      </c>
      <c r="E211" t="inlineStr">
        <is>
          <t>02-2222-5472</t>
        </is>
      </c>
      <c r="F211" s="3">
        <f>HYPERLINK("http://www.dupont.co.kr", "http://www.dupont.co.kr")</f>
        <v/>
      </c>
      <c r="G211" t="inlineStr">
        <is>
          <t>3128142765</t>
        </is>
      </c>
      <c r="H211" t="inlineStr">
        <is>
          <t>1615140000453</t>
        </is>
      </c>
      <c r="I211" t="inlineStr">
        <is>
          <t>대상아님</t>
        </is>
      </c>
      <c r="J211" t="inlineStr">
        <is>
          <t>일반법인</t>
        </is>
      </c>
      <c r="K211" t="inlineStr">
        <is>
          <t>중견기업</t>
        </is>
      </c>
      <c r="L211" t="inlineStr">
        <is>
          <t>외부감사대상</t>
        </is>
      </c>
      <c r="M211" s="6" t="inlineStr">
        <is>
          <t>2000-06-24</t>
        </is>
      </c>
      <c r="N211" t="inlineStr">
        <is>
          <t>KRI:10C2049100</t>
        </is>
      </c>
      <c r="O211" t="inlineStr">
        <is>
          <t>감광재료 및 관련 화학제품 제조업</t>
        </is>
      </c>
      <c r="P211" t="inlineStr">
        <is>
          <t>사진용 화합물,화학물질,감광재료 제조,무역</t>
        </is>
      </c>
      <c r="Q211" t="inlineStr">
        <is>
          <t>충남 천안시 서북구 백석동 736번지</t>
        </is>
      </c>
      <c r="R211" t="inlineStr">
        <is>
          <t>충남 천안시 서북구 3공단1로 56</t>
        </is>
      </c>
    </row>
    <row r="212" ht="19.2" customHeight="1" s="1">
      <c r="A212" t="inlineStr">
        <is>
          <t>NICE:165133</t>
        </is>
      </c>
      <c r="B212" t="inlineStr">
        <is>
          <t>펨코엔지니어링건축사사무소</t>
        </is>
      </c>
      <c r="C212" t="inlineStr">
        <is>
          <t>류중수/홍정선</t>
        </is>
      </c>
      <c r="D212" t="inlineStr">
        <is>
          <t>070-4700-3165</t>
        </is>
      </c>
      <c r="E212" t="inlineStr">
        <is>
          <t>070-4700-3180</t>
        </is>
      </c>
      <c r="F212" s="3">
        <f>HYPERLINK("http://www.pemcocm.com", "http://www.pemcocm.com")</f>
        <v/>
      </c>
      <c r="G212" t="inlineStr">
        <is>
          <t>5138111531</t>
        </is>
      </c>
      <c r="H212" t="inlineStr">
        <is>
          <t>1760110013827</t>
        </is>
      </c>
      <c r="I212" t="inlineStr">
        <is>
          <t>대상아님</t>
        </is>
      </c>
      <c r="J212" t="inlineStr">
        <is>
          <t>일반법인</t>
        </is>
      </c>
      <c r="K212" t="inlineStr">
        <is>
          <t>중소기업</t>
        </is>
      </c>
      <c r="L212" t="inlineStr">
        <is>
          <t>외부감사대상</t>
        </is>
      </c>
      <c r="M212" s="6" t="inlineStr">
        <is>
          <t>1997-01-30</t>
        </is>
      </c>
      <c r="N212" t="inlineStr">
        <is>
          <t>KRI:10M7211100</t>
        </is>
      </c>
      <c r="O212" t="inlineStr">
        <is>
          <t>건축설계 및 관련 서비스업</t>
        </is>
      </c>
      <c r="P212" t="inlineStr">
        <is>
          <t>건축 설계,시공감리</t>
        </is>
      </c>
      <c r="Q212" t="inlineStr">
        <is>
          <t>서울 서초구 서초동 1586-6번지 펨코사옥</t>
        </is>
      </c>
      <c r="R212" t="inlineStr">
        <is>
          <t>서울 서초구 반포대로12길 30 (서초동,펨코사옥)</t>
        </is>
      </c>
    </row>
    <row r="213">
      <c r="A213" t="inlineStr">
        <is>
          <t>NICE:165168</t>
        </is>
      </c>
      <c r="B213" t="inlineStr">
        <is>
          <t>창원기전</t>
        </is>
      </c>
      <c r="C213" t="inlineStr">
        <is>
          <t>김귀범/이지수</t>
        </is>
      </c>
      <c r="D213" t="inlineStr">
        <is>
          <t>031-637-6801</t>
        </is>
      </c>
      <c r="E213" t="inlineStr">
        <is>
          <t>031-636-6801</t>
        </is>
      </c>
      <c r="G213" t="inlineStr">
        <is>
          <t>1268145759</t>
        </is>
      </c>
      <c r="H213" t="inlineStr">
        <is>
          <t>1344110015734</t>
        </is>
      </c>
      <c r="I213" t="inlineStr">
        <is>
          <t>대상아님</t>
        </is>
      </c>
      <c r="J213" t="inlineStr">
        <is>
          <t>일반법인</t>
        </is>
      </c>
      <c r="K213" t="inlineStr">
        <is>
          <t>중견기업</t>
        </is>
      </c>
      <c r="L213" t="inlineStr">
        <is>
          <t>외부감사대상</t>
        </is>
      </c>
      <c r="M213" s="6" t="inlineStr">
        <is>
          <t>2000-06-02</t>
        </is>
      </c>
      <c r="N213" t="inlineStr">
        <is>
          <t>KRI:10F4231100</t>
        </is>
      </c>
      <c r="O213" t="inlineStr">
        <is>
          <t>일반전기 공사업</t>
        </is>
      </c>
      <c r="P213" t="inlineStr">
        <is>
          <t>전기공사,정보통신공사,주거용건물공사,토목공사,소방공사/부동산 임대,투자 자문/경영컨설팅</t>
        </is>
      </c>
      <c r="Q213" t="inlineStr">
        <is>
          <t>경기 성남시 분당구 야탑동 358-2번지 분당아미고타워 613호</t>
        </is>
      </c>
      <c r="R213" t="inlineStr">
        <is>
          <t>경기 성남시 분당구 야탑로81번길 10, 613호 (야탑동,분당아미고타워)</t>
        </is>
      </c>
    </row>
    <row r="214" ht="19.2" customHeight="1" s="1">
      <c r="A214" t="inlineStr">
        <is>
          <t>NICE:166524</t>
        </is>
      </c>
      <c r="B214" t="inlineStr">
        <is>
          <t>루브리졸코리아</t>
        </is>
      </c>
      <c r="C214" t="inlineStr">
        <is>
          <t>리우마오슈</t>
        </is>
      </c>
      <c r="D214" t="inlineStr">
        <is>
          <t>02-2184-9400</t>
        </is>
      </c>
      <c r="E214" t="inlineStr">
        <is>
          <t>02-2184-9499</t>
        </is>
      </c>
      <c r="F214" s="3">
        <f>HYPERLINK("http://www.lubrizol.com", "http://www.lubrizol.com")</f>
        <v/>
      </c>
      <c r="G214" t="inlineStr">
        <is>
          <t>5068130016</t>
        </is>
      </c>
      <c r="H214" t="inlineStr">
        <is>
          <t>1717110034197</t>
        </is>
      </c>
      <c r="I214" t="inlineStr">
        <is>
          <t>대상아님</t>
        </is>
      </c>
      <c r="J214" t="inlineStr">
        <is>
          <t>일반법인</t>
        </is>
      </c>
      <c r="K214" t="inlineStr">
        <is>
          <t>중소기업</t>
        </is>
      </c>
      <c r="L214" t="inlineStr">
        <is>
          <t>외부감사대상</t>
        </is>
      </c>
      <c r="M214" s="6" t="inlineStr">
        <is>
          <t>1998-12-16</t>
        </is>
      </c>
      <c r="N214" t="inlineStr">
        <is>
          <t>KRI:10G4673300</t>
        </is>
      </c>
      <c r="O214" t="inlineStr">
        <is>
          <t>플라스틱물질 및 합성고무 도매업</t>
        </is>
      </c>
      <c r="P214" t="inlineStr">
        <is>
          <t>플라스틱,첨가제,화학약품,화학제품(카보폴) 도소매,제조</t>
        </is>
      </c>
      <c r="Q214" t="inlineStr">
        <is>
          <t>서울 중구 남대문로5가 541번지 서울스퀘어 4층</t>
        </is>
      </c>
      <c r="R214" t="inlineStr">
        <is>
          <t>서울 중구 한강대로 416, 4층 (남대문로5가,서울스퀘어)</t>
        </is>
      </c>
    </row>
    <row r="215" ht="19.2" customHeight="1" s="1">
      <c r="A215" t="inlineStr">
        <is>
          <t>NICE:166770</t>
        </is>
      </c>
      <c r="B215" t="inlineStr">
        <is>
          <t>특수법인소프트웨어공제조합</t>
        </is>
      </c>
      <c r="C215" t="inlineStr">
        <is>
          <t>이득춘</t>
        </is>
      </c>
      <c r="D215" t="inlineStr">
        <is>
          <t>02-2141-7800</t>
        </is>
      </c>
      <c r="E215" t="inlineStr">
        <is>
          <t>02-2141-7801</t>
        </is>
      </c>
      <c r="F215" s="3">
        <f>HYPERLINK("https://www.ksfc.or.kr", "https://www.ksfc.or.kr")</f>
        <v/>
      </c>
      <c r="G215" t="inlineStr">
        <is>
          <t>2118212456</t>
        </is>
      </c>
      <c r="H215" t="inlineStr">
        <is>
          <t>1146710023309</t>
        </is>
      </c>
      <c r="I215" t="inlineStr">
        <is>
          <t>대상아님</t>
        </is>
      </c>
      <c r="J215" t="inlineStr">
        <is>
          <t>비영리법인</t>
        </is>
      </c>
      <c r="K215" t="inlineStr">
        <is>
          <t>대상아님</t>
        </is>
      </c>
      <c r="L215" t="inlineStr">
        <is>
          <t>외부감사비대상</t>
        </is>
      </c>
      <c r="M215" s="6" t="inlineStr">
        <is>
          <t>1998-01-03</t>
        </is>
      </c>
      <c r="N215" t="inlineStr">
        <is>
          <t>KRI:10K6530200</t>
        </is>
      </c>
      <c r="O215" t="inlineStr">
        <is>
          <t>사업 공제업</t>
        </is>
      </c>
      <c r="P215" t="inlineStr">
        <is>
          <t>공제사업 운영/부동산 임대/S/W공제사업 조사,연구</t>
        </is>
      </c>
      <c r="Q215" t="inlineStr">
        <is>
          <t>서울 강남구 역삼동 702-2번지</t>
        </is>
      </c>
      <c r="R215" t="inlineStr">
        <is>
          <t>서울 강남구 테헤란로 309</t>
        </is>
      </c>
    </row>
    <row r="216" ht="19.2" customHeight="1" s="1">
      <c r="A216" t="inlineStr">
        <is>
          <t>NICE:167644</t>
        </is>
      </c>
      <c r="B216" t="inlineStr">
        <is>
          <t>한국미스미</t>
        </is>
      </c>
      <c r="C216" t="inlineStr">
        <is>
          <t>박창배</t>
        </is>
      </c>
      <c r="D216" t="inlineStr">
        <is>
          <t>02-551-3611</t>
        </is>
      </c>
      <c r="E216" t="inlineStr">
        <is>
          <t>02-551-4811</t>
        </is>
      </c>
      <c r="F216" s="3">
        <f>HYPERLINK("http://kr.misumi-ec.com/", "http://kr.misumi-ec.com/")</f>
        <v/>
      </c>
      <c r="G216" t="inlineStr">
        <is>
          <t>1208188861</t>
        </is>
      </c>
      <c r="H216" t="inlineStr">
        <is>
          <t>1101111692189</t>
        </is>
      </c>
      <c r="I216" t="inlineStr">
        <is>
          <t>대상아님</t>
        </is>
      </c>
      <c r="J216" t="inlineStr">
        <is>
          <t>일반법인</t>
        </is>
      </c>
      <c r="K216" t="inlineStr">
        <is>
          <t>중견기업</t>
        </is>
      </c>
      <c r="L216" t="inlineStr">
        <is>
          <t>외부감사대상</t>
        </is>
      </c>
      <c r="M216" s="6" t="inlineStr">
        <is>
          <t>1999-05-04</t>
        </is>
      </c>
      <c r="N216" t="inlineStr">
        <is>
          <t>KRI:10G4659900</t>
        </is>
      </c>
      <c r="O216" t="inlineStr">
        <is>
          <t>그 외 기타 기계 및 장비 도매업</t>
        </is>
      </c>
      <c r="P216" t="inlineStr">
        <is>
          <t>기계부품(FA MECHANICAL 표준부품) 도소매,무역(수출)/절연선,케이블 제조</t>
        </is>
      </c>
      <c r="Q216" t="inlineStr">
        <is>
          <t>서울 강남구 삼성동 159-1번지 무역회관 3804호</t>
        </is>
      </c>
      <c r="R216" t="inlineStr">
        <is>
          <t>서울 강남구 영동대로 511, 3804호 (삼성동,무역회관)</t>
        </is>
      </c>
    </row>
    <row r="217" ht="19.2" customHeight="1" s="1">
      <c r="A217" t="inlineStr">
        <is>
          <t>NICE:169082</t>
        </is>
      </c>
      <c r="B217" t="inlineStr">
        <is>
          <t>지이에이코리아</t>
        </is>
      </c>
      <c r="C217" t="inlineStr">
        <is>
          <t>전석배</t>
        </is>
      </c>
      <c r="D217" t="inlineStr">
        <is>
          <t>02-514-0291</t>
        </is>
      </c>
      <c r="E217" t="inlineStr">
        <is>
          <t>02-514-0294</t>
        </is>
      </c>
      <c r="F217" s="3">
        <f>HYPERLINK("http://gea.com", "http://gea.com")</f>
        <v/>
      </c>
      <c r="G217" t="inlineStr">
        <is>
          <t>2118617269</t>
        </is>
      </c>
      <c r="H217" t="inlineStr">
        <is>
          <t>1101110665046</t>
        </is>
      </c>
      <c r="I217" t="inlineStr">
        <is>
          <t>대상아님</t>
        </is>
      </c>
      <c r="J217" t="inlineStr">
        <is>
          <t>일반법인</t>
        </is>
      </c>
      <c r="K217" t="inlineStr">
        <is>
          <t>중견기업</t>
        </is>
      </c>
      <c r="L217" t="inlineStr">
        <is>
          <t>외부감사대상</t>
        </is>
      </c>
      <c r="M217" s="6" t="inlineStr">
        <is>
          <t>1989-12-20</t>
        </is>
      </c>
      <c r="N217" t="inlineStr">
        <is>
          <t>KRI:10G4610900</t>
        </is>
      </c>
      <c r="O217" t="inlineStr">
        <is>
          <t>상품 종합 중개업</t>
        </is>
      </c>
      <c r="P217" t="inlineStr">
        <is>
          <t>오퍼/기계설비공사/기계장비 제조,도소매</t>
        </is>
      </c>
      <c r="Q217" t="inlineStr">
        <is>
          <t>서울 서초구 서초동 1337-31번지 산학재단빌딩 6층</t>
        </is>
      </c>
      <c r="R217" t="inlineStr">
        <is>
          <t>서울 서초구 강남대로 329, 6층 (서초동,산학재단빌딩)</t>
        </is>
      </c>
    </row>
    <row r="218" ht="19.2" customHeight="1" s="1">
      <c r="A218" t="inlineStr">
        <is>
          <t>NICE:169326</t>
        </is>
      </c>
      <c r="B218" t="inlineStr">
        <is>
          <t>로봇앤드디자인</t>
        </is>
      </c>
      <c r="C218" t="inlineStr">
        <is>
          <t>김진오/한진석</t>
        </is>
      </c>
      <c r="D218" t="inlineStr">
        <is>
          <t>031-708-2684</t>
        </is>
      </c>
      <c r="E218" t="inlineStr">
        <is>
          <t>031-706-9093</t>
        </is>
      </c>
      <c r="F218" s="3">
        <f>HYPERLINK("http://www.rnd.re.kr", "http://www.rnd.re.kr")</f>
        <v/>
      </c>
      <c r="G218" t="inlineStr">
        <is>
          <t>1128151761</t>
        </is>
      </c>
      <c r="H218" t="inlineStr">
        <is>
          <t>1101111667893</t>
        </is>
      </c>
      <c r="I218" t="inlineStr">
        <is>
          <t>대상아님</t>
        </is>
      </c>
      <c r="J218" t="inlineStr">
        <is>
          <t>일반법인</t>
        </is>
      </c>
      <c r="K218" t="inlineStr">
        <is>
          <t>중소기업</t>
        </is>
      </c>
      <c r="L218" t="inlineStr">
        <is>
          <t>외부감사대상</t>
        </is>
      </c>
      <c r="M218" s="6" t="inlineStr">
        <is>
          <t>1999-03-22</t>
        </is>
      </c>
      <c r="N218" t="inlineStr">
        <is>
          <t>KRI:10C2928000</t>
        </is>
      </c>
      <c r="O218" t="inlineStr">
        <is>
          <t>산업용 로봇 제조업</t>
        </is>
      </c>
      <c r="P218" t="inlineStr">
        <is>
          <t>산업용로봇,자동화시스템,초저온장비,바이오용기 제조/무역/연구개발</t>
        </is>
      </c>
      <c r="Q218" t="inlineStr">
        <is>
          <t>경기 용인시 처인구 고림동 919번지</t>
        </is>
      </c>
      <c r="R218" t="inlineStr">
        <is>
          <t>경기 용인시 처인구 경안천로 364</t>
        </is>
      </c>
    </row>
    <row r="219" ht="19.2" customHeight="1" s="1">
      <c r="A219" t="inlineStr">
        <is>
          <t>NICE:171824</t>
        </is>
      </c>
      <c r="B219" t="inlineStr">
        <is>
          <t>동일유리</t>
        </is>
      </c>
      <c r="C219" t="inlineStr">
        <is>
          <t>김정환</t>
        </is>
      </c>
      <c r="D219" t="inlineStr">
        <is>
          <t>043-275-6161</t>
        </is>
      </c>
      <c r="E219" t="inlineStr">
        <is>
          <t>043-217-6151</t>
        </is>
      </c>
      <c r="F219" s="3">
        <f>HYPERLINK("http://www.dongilglass.co.kr", "http://www.dongilglass.co.kr")</f>
        <v/>
      </c>
      <c r="G219" t="inlineStr">
        <is>
          <t>3158100594</t>
        </is>
      </c>
      <c r="H219" t="inlineStr">
        <is>
          <t>1501110001193</t>
        </is>
      </c>
      <c r="I219" t="inlineStr">
        <is>
          <t>대상아님</t>
        </is>
      </c>
      <c r="J219" t="inlineStr">
        <is>
          <t>일반법인</t>
        </is>
      </c>
      <c r="K219" t="inlineStr">
        <is>
          <t>중소기업</t>
        </is>
      </c>
      <c r="L219" t="inlineStr">
        <is>
          <t>외부감사대상</t>
        </is>
      </c>
      <c r="M219" s="6" t="inlineStr">
        <is>
          <t>1978-03-18</t>
        </is>
      </c>
      <c r="N219" t="inlineStr">
        <is>
          <t>KRI:10F4242000</t>
        </is>
      </c>
      <c r="O219" t="inlineStr">
        <is>
          <t>유리 및 창호 공사업</t>
        </is>
      </c>
      <c r="P219" t="inlineStr">
        <is>
          <t>금속창호공사,건축공사,지붕건축물조립공사/복층유리,유리,알루미늄창호 제조/부동산 임대</t>
        </is>
      </c>
      <c r="Q219" t="inlineStr">
        <is>
          <t>충북 청주시 청원구 오창읍 모정리 189-1번지</t>
        </is>
      </c>
      <c r="R219" t="inlineStr">
        <is>
          <t>충북 청주시 청원구 오창읍 두릉유리로 1315</t>
        </is>
      </c>
    </row>
    <row r="220" ht="19.2" customHeight="1" s="1">
      <c r="A220" t="inlineStr">
        <is>
          <t>NICE:171830</t>
        </is>
      </c>
      <c r="B220" t="inlineStr">
        <is>
          <t>모아종합건설</t>
        </is>
      </c>
      <c r="C220" t="inlineStr">
        <is>
          <t>김헌수/박치영</t>
        </is>
      </c>
      <c r="D220" t="inlineStr">
        <is>
          <t>062-520-0125</t>
        </is>
      </c>
      <c r="E220" t="inlineStr">
        <is>
          <t>062-520-0119</t>
        </is>
      </c>
      <c r="F220" s="3">
        <f>HYPERLINK("http://www.miraedo.com", "http://www.miraedo.com")</f>
        <v/>
      </c>
      <c r="G220" t="inlineStr">
        <is>
          <t>4098151156</t>
        </is>
      </c>
      <c r="H220" t="inlineStr">
        <is>
          <t>2059110005185</t>
        </is>
      </c>
      <c r="I220" t="inlineStr">
        <is>
          <t>대상아님</t>
        </is>
      </c>
      <c r="J220" t="inlineStr">
        <is>
          <t>일반법인</t>
        </is>
      </c>
      <c r="K220" t="inlineStr">
        <is>
          <t>중견기업</t>
        </is>
      </c>
      <c r="L220" t="inlineStr">
        <is>
          <t>외부감사대상</t>
        </is>
      </c>
      <c r="M220" s="6" t="inlineStr">
        <is>
          <t>1999-12-08</t>
        </is>
      </c>
      <c r="N220" t="inlineStr">
        <is>
          <t>KRI:10F4111000</t>
        </is>
      </c>
      <c r="O220" t="inlineStr">
        <is>
          <t>주거용 건물 건설업</t>
        </is>
      </c>
      <c r="P220" t="inlineStr">
        <is>
          <t>주택건설,분양공급공사,토목건축공사,조경공사,전문소방시설공사,정보통신공사,석공사,전기공사/부동산 매매,임대</t>
        </is>
      </c>
      <c r="Q220" t="inlineStr">
        <is>
          <t>광주 북구 운암동 1059-22번지 모아미래도빌딩 3층</t>
        </is>
      </c>
      <c r="R220" t="inlineStr">
        <is>
          <t>광주 북구 북문대로 161, 3층 (운암동,모아미래도빌딩)</t>
        </is>
      </c>
    </row>
    <row r="221" ht="19.2" customHeight="1" s="1">
      <c r="A221" t="inlineStr">
        <is>
          <t>NICE:173285</t>
        </is>
      </c>
      <c r="B221" t="inlineStr">
        <is>
          <t>이투스교육</t>
        </is>
      </c>
      <c r="C221" t="inlineStr">
        <is>
          <t>우희철</t>
        </is>
      </c>
      <c r="D221" t="inlineStr">
        <is>
          <t>070-7464-9385</t>
        </is>
      </c>
      <c r="E221" t="inlineStr">
        <is>
          <t>02-552-6958</t>
        </is>
      </c>
      <c r="F221" s="3">
        <f>HYPERLINK("http://www.etoos.com", "http://www.etoos.com")</f>
        <v/>
      </c>
      <c r="G221" t="inlineStr">
        <is>
          <t>2208151631</t>
        </is>
      </c>
      <c r="H221" t="inlineStr">
        <is>
          <t>1101111533052</t>
        </is>
      </c>
      <c r="I221" t="inlineStr">
        <is>
          <t>대상아님</t>
        </is>
      </c>
      <c r="J221" t="inlineStr">
        <is>
          <t>일반법인</t>
        </is>
      </c>
      <c r="K221" t="inlineStr">
        <is>
          <t>중견기업</t>
        </is>
      </c>
      <c r="L221" t="inlineStr">
        <is>
          <t>외부감사대상</t>
        </is>
      </c>
      <c r="M221" s="6" t="inlineStr">
        <is>
          <t>1998-04-08</t>
        </is>
      </c>
      <c r="N221" t="inlineStr">
        <is>
          <t>KRI:10M7153100</t>
        </is>
      </c>
      <c r="O221" t="inlineStr">
        <is>
          <t>경영 컨설팅업</t>
        </is>
      </c>
      <c r="P221" t="inlineStr">
        <is>
          <t>경영 컨설팅</t>
        </is>
      </c>
      <c r="Q221" t="inlineStr">
        <is>
          <t>서울 구로구 구로동 1128-4번지 5층</t>
        </is>
      </c>
      <c r="R221" t="inlineStr">
        <is>
          <t>서울 구로구 디지털로32가길 18, 5층</t>
        </is>
      </c>
    </row>
    <row r="222" ht="19.2" customHeight="1" s="1">
      <c r="A222" t="inlineStr">
        <is>
          <t>NICE:173790</t>
        </is>
      </c>
      <c r="B222" t="inlineStr">
        <is>
          <t>한남하이텍</t>
        </is>
      </c>
      <c r="C222" t="inlineStr">
        <is>
          <t>최만묵</t>
        </is>
      </c>
      <c r="D222" t="inlineStr">
        <is>
          <t>041-881-0331</t>
        </is>
      </c>
      <c r="E222" t="inlineStr">
        <is>
          <t>041-881-0336</t>
        </is>
      </c>
      <c r="F222" s="3">
        <f>HYPERLINK("http://www.hannamht.com", "http://www.hannamht.com")</f>
        <v/>
      </c>
      <c r="G222" t="inlineStr">
        <is>
          <t>1248155867</t>
        </is>
      </c>
      <c r="H222" t="inlineStr">
        <is>
          <t>1348110035065</t>
        </is>
      </c>
      <c r="I222" t="inlineStr">
        <is>
          <t>대상아님</t>
        </is>
      </c>
      <c r="J222" t="inlineStr">
        <is>
          <t>일반법인</t>
        </is>
      </c>
      <c r="K222" t="inlineStr">
        <is>
          <t>중소기업</t>
        </is>
      </c>
      <c r="L222" t="inlineStr">
        <is>
          <t>외부감사대상</t>
        </is>
      </c>
      <c r="M222" s="6" t="inlineStr">
        <is>
          <t>1998-02-04</t>
        </is>
      </c>
      <c r="N222" t="inlineStr">
        <is>
          <t>KRI:10C2049300</t>
        </is>
      </c>
      <c r="O222" t="inlineStr">
        <is>
          <t>접착제 및 젤라틴 제조업</t>
        </is>
      </c>
      <c r="P222" t="inlineStr">
        <is>
          <t>산업용 점착시트,접착제,접착테프 제조</t>
        </is>
      </c>
      <c r="Q222" t="inlineStr">
        <is>
          <t>충남 공주시 송선동 533-10번지</t>
        </is>
      </c>
      <c r="R222" t="inlineStr">
        <is>
          <t>충남 공주시 송선농공단지길 23-25</t>
        </is>
      </c>
    </row>
    <row r="223" ht="19.2" customHeight="1" s="1">
      <c r="A223" t="inlineStr">
        <is>
          <t>NICE:174678</t>
        </is>
      </c>
      <c r="B223" t="inlineStr">
        <is>
          <t>서용엔지니어링</t>
        </is>
      </c>
      <c r="C223" t="inlineStr">
        <is>
          <t>박철한</t>
        </is>
      </c>
      <c r="D223" t="inlineStr">
        <is>
          <t>051-831-6171</t>
        </is>
      </c>
      <c r="E223" t="inlineStr">
        <is>
          <t>051-831-6175</t>
        </is>
      </c>
      <c r="F223" s="3">
        <f>HYPERLINK("http://www.seoyong.co.kr", "http://www.seoyong.co.kr")</f>
        <v/>
      </c>
      <c r="G223" t="inlineStr">
        <is>
          <t>6058136001</t>
        </is>
      </c>
      <c r="H223" t="inlineStr">
        <is>
          <t>1801110312974</t>
        </is>
      </c>
      <c r="I223" t="inlineStr">
        <is>
          <t>대상아님</t>
        </is>
      </c>
      <c r="J223" t="inlineStr">
        <is>
          <t>일반법인</t>
        </is>
      </c>
      <c r="K223" t="inlineStr">
        <is>
          <t>중소기업</t>
        </is>
      </c>
      <c r="L223" t="inlineStr">
        <is>
          <t>외부감사대상</t>
        </is>
      </c>
      <c r="M223" s="6" t="inlineStr">
        <is>
          <t>2000-02-09</t>
        </is>
      </c>
      <c r="N223" t="inlineStr">
        <is>
          <t>KRI:10M7212900</t>
        </is>
      </c>
      <c r="O223" t="inlineStr">
        <is>
          <t>기타 엔지니어링 서비스업</t>
        </is>
      </c>
      <c r="P223" t="inlineStr">
        <is>
          <t>엔지니어링(상수도관망,누수탐사용역)</t>
        </is>
      </c>
      <c r="Q223" t="inlineStr">
        <is>
          <t>경기 용인시 수지구 상현동 1220번지 광교우미뉴브 제에이-1023호</t>
        </is>
      </c>
      <c r="R223" t="inlineStr">
        <is>
          <t>경기 용인시 수지구 광교중앙로 338, 제에이-1023호 (상현동,광교우미뉴브)</t>
        </is>
      </c>
    </row>
    <row r="224" ht="19.2" customHeight="1" s="1">
      <c r="A224" t="inlineStr">
        <is>
          <t>NICE:174747</t>
        </is>
      </c>
      <c r="B224" t="inlineStr">
        <is>
          <t>라온엔터테인먼트</t>
        </is>
      </c>
      <c r="C224" t="inlineStr">
        <is>
          <t>박재숙</t>
        </is>
      </c>
      <c r="D224" t="inlineStr">
        <is>
          <t>053-655-3274</t>
        </is>
      </c>
      <c r="E224" t="inlineStr">
        <is>
          <t>053-655-3275</t>
        </is>
      </c>
      <c r="F224" s="3">
        <f>HYPERLINK("http://www.rhaon.co.kr", "http://www.rhaon.co.kr")</f>
        <v/>
      </c>
      <c r="G224" t="inlineStr">
        <is>
          <t>5148137077</t>
        </is>
      </c>
      <c r="H224" t="inlineStr">
        <is>
          <t>1701110173146</t>
        </is>
      </c>
      <c r="I224" t="inlineStr">
        <is>
          <t>대상아님</t>
        </is>
      </c>
      <c r="J224" t="inlineStr">
        <is>
          <t>일반법인</t>
        </is>
      </c>
      <c r="K224" t="inlineStr">
        <is>
          <t>중소기업</t>
        </is>
      </c>
      <c r="L224" t="inlineStr">
        <is>
          <t>외부감사대상</t>
        </is>
      </c>
      <c r="M224" s="6" t="inlineStr">
        <is>
          <t>2000-05-10</t>
        </is>
      </c>
      <c r="N224" t="inlineStr">
        <is>
          <t>KRI:10J5821900</t>
        </is>
      </c>
      <c r="O224" t="inlineStr">
        <is>
          <t>기타 게임 소프트웨어 개발 및 공급업</t>
        </is>
      </c>
      <c r="P224" t="inlineStr">
        <is>
          <t>게임소프트웨어 개발,공급</t>
        </is>
      </c>
      <c r="Q224" t="inlineStr">
        <is>
          <t>대구 남구 대명동 2139-11번지 아이씨티파 별관 207호, 208호, 210호, 211호, 508호, 509호, 510호</t>
        </is>
      </c>
      <c r="R224" t="inlineStr">
        <is>
          <t>대구 남구 명덕로 104, 별관 207호, 208호, 210호, 211호, 508호, 509호, 510호 (대명동,아이씨티파)</t>
        </is>
      </c>
    </row>
    <row r="225" ht="19.2" customHeight="1" s="1">
      <c r="A225" t="inlineStr">
        <is>
          <t>NICE:174990</t>
        </is>
      </c>
      <c r="B225" t="inlineStr">
        <is>
          <t>레이저텍코리아</t>
        </is>
      </c>
      <c r="C225" t="inlineStr">
        <is>
          <t>임춘갑</t>
        </is>
      </c>
      <c r="D225" t="inlineStr">
        <is>
          <t>031-8015-0540</t>
        </is>
      </c>
      <c r="E225" t="inlineStr">
        <is>
          <t>031-8015-0541</t>
        </is>
      </c>
      <c r="F225" s="3">
        <f>HYPERLINK("http://www.lasertec.co.jp", "http://www.lasertec.co.jp")</f>
        <v/>
      </c>
      <c r="G225" t="inlineStr">
        <is>
          <t>2208605864</t>
        </is>
      </c>
      <c r="H225" t="inlineStr">
        <is>
          <t>1101112169476</t>
        </is>
      </c>
      <c r="I225" t="inlineStr">
        <is>
          <t>대상아님</t>
        </is>
      </c>
      <c r="J225" t="inlineStr">
        <is>
          <t>일반법인</t>
        </is>
      </c>
      <c r="K225" t="inlineStr">
        <is>
          <t>중견기업</t>
        </is>
      </c>
      <c r="L225" t="inlineStr">
        <is>
          <t>외부감사대상</t>
        </is>
      </c>
      <c r="M225" s="6" t="inlineStr">
        <is>
          <t>2001-02-12</t>
        </is>
      </c>
      <c r="N225" t="inlineStr">
        <is>
          <t>KRI:10G4659500</t>
        </is>
      </c>
      <c r="O225" t="inlineStr">
        <is>
          <t>전기용 기계ㆍ장비 및 관련 기자재 도매업</t>
        </is>
      </c>
      <c r="P225" t="inlineStr">
        <is>
          <t>반도체(MASK결함검사기,C/F수정기),LCD 장비 판매,무역,유지보수</t>
        </is>
      </c>
      <c r="Q225" t="inlineStr">
        <is>
          <t>경기 화성시 동탄구 영천동 844-1번지</t>
        </is>
      </c>
      <c r="R225" t="inlineStr">
        <is>
          <t>경기 화성시 동탄구 동탄영천로 150</t>
        </is>
      </c>
    </row>
    <row r="226" ht="19.2" customHeight="1" s="1">
      <c r="A226" t="inlineStr">
        <is>
          <t>NICE:177320</t>
        </is>
      </c>
      <c r="B226" t="inlineStr">
        <is>
          <t>윌테크놀러지</t>
        </is>
      </c>
      <c r="C226" t="inlineStr">
        <is>
          <t>이윤정</t>
        </is>
      </c>
      <c r="D226" t="inlineStr">
        <is>
          <t>031-240-5500</t>
        </is>
      </c>
      <c r="E226" t="inlineStr">
        <is>
          <t>031-240-5501</t>
        </is>
      </c>
      <c r="F226" s="3">
        <f>HYPERLINK("http://www.willtechnology.co.kr", "http://www.willtechnology.co.kr")</f>
        <v/>
      </c>
      <c r="G226" t="inlineStr">
        <is>
          <t>1198144301</t>
        </is>
      </c>
      <c r="H226" t="inlineStr">
        <is>
          <t>1101112143800</t>
        </is>
      </c>
      <c r="I226" t="inlineStr">
        <is>
          <t>대상아님</t>
        </is>
      </c>
      <c r="J226" t="inlineStr">
        <is>
          <t>일반법인</t>
        </is>
      </c>
      <c r="K226" t="inlineStr">
        <is>
          <t>중소기업</t>
        </is>
      </c>
      <c r="L226" t="inlineStr">
        <is>
          <t>외부감사대상</t>
        </is>
      </c>
      <c r="M226" s="6" t="inlineStr">
        <is>
          <t>2001-01-05</t>
        </is>
      </c>
      <c r="N226" t="inlineStr">
        <is>
          <t>KRI:10C2721300</t>
        </is>
      </c>
      <c r="O226" t="inlineStr">
        <is>
          <t>물질 검사, 측정 및 분석기구 제조업</t>
        </is>
      </c>
      <c r="P226" t="inlineStr">
        <is>
          <t>반도체검사장치 제조/부동산 임대</t>
        </is>
      </c>
      <c r="Q226" t="inlineStr">
        <is>
          <t>경기 수원시 장안구 이목동 216번지</t>
        </is>
      </c>
      <c r="R226" t="inlineStr">
        <is>
          <t>경기 수원시 장안구 장안로448번길 10</t>
        </is>
      </c>
    </row>
    <row r="227" ht="19.2" customHeight="1" s="1">
      <c r="A227" t="inlineStr">
        <is>
          <t>NICE:177609</t>
        </is>
      </c>
      <c r="B227" t="inlineStr">
        <is>
          <t>엠케이켐앤텍</t>
        </is>
      </c>
      <c r="C227" t="inlineStr">
        <is>
          <t>권혁석</t>
        </is>
      </c>
      <c r="D227" t="inlineStr">
        <is>
          <t>031-491-7979</t>
        </is>
      </c>
      <c r="E227" t="inlineStr">
        <is>
          <t>031-495-6714</t>
        </is>
      </c>
      <c r="F227" s="3">
        <f>HYPERLINK("http://www.mkchem.co.kr", "http://www.mkchem.co.kr")</f>
        <v/>
      </c>
      <c r="G227" t="inlineStr">
        <is>
          <t>1078180508</t>
        </is>
      </c>
      <c r="H227" t="inlineStr">
        <is>
          <t>1101111928021</t>
        </is>
      </c>
      <c r="I227" t="inlineStr">
        <is>
          <t>대상아님</t>
        </is>
      </c>
      <c r="J227" t="inlineStr">
        <is>
          <t>일반법인</t>
        </is>
      </c>
      <c r="K227" t="inlineStr">
        <is>
          <t>중소기업</t>
        </is>
      </c>
      <c r="L227" t="inlineStr">
        <is>
          <t>외부감사대상</t>
        </is>
      </c>
      <c r="M227" s="6" t="inlineStr">
        <is>
          <t>1996-11-01</t>
        </is>
      </c>
      <c r="N227" t="inlineStr">
        <is>
          <t>KRI:10C2049900</t>
        </is>
      </c>
      <c r="O227" t="inlineStr">
        <is>
          <t>그 외 기타 분류 안된 화학제품 제조업</t>
        </is>
      </c>
      <c r="P227" t="inlineStr">
        <is>
          <t>화학약품,비료 제조,도소매/부동산 임대</t>
        </is>
      </c>
      <c r="Q227" t="inlineStr">
        <is>
          <t>경기 안산시 단원구 목내동 401-3번지</t>
        </is>
      </c>
      <c r="R227" t="inlineStr">
        <is>
          <t>경기 안산시 단원구 원시로 71</t>
        </is>
      </c>
    </row>
    <row r="228" ht="19.2" customHeight="1" s="1">
      <c r="A228" t="inlineStr">
        <is>
          <t>NICE:178309</t>
        </is>
      </c>
      <c r="B228" t="inlineStr">
        <is>
          <t>케이투코리아</t>
        </is>
      </c>
      <c r="C228" t="inlineStr">
        <is>
          <t>정영훈</t>
        </is>
      </c>
      <c r="D228" t="inlineStr">
        <is>
          <t>02-3408-9700</t>
        </is>
      </c>
      <c r="E228" t="inlineStr">
        <is>
          <t>02-3408-6363</t>
        </is>
      </c>
      <c r="F228" s="3">
        <f>HYPERLINK("http://www.k2.co.kr", "http://www.k2.co.kr")</f>
        <v/>
      </c>
      <c r="G228" t="inlineStr">
        <is>
          <t>1378114921</t>
        </is>
      </c>
      <c r="H228" t="inlineStr">
        <is>
          <t>1201110133041</t>
        </is>
      </c>
      <c r="I228" t="inlineStr">
        <is>
          <t>대상아님</t>
        </is>
      </c>
      <c r="J228" t="inlineStr">
        <is>
          <t>일반법인</t>
        </is>
      </c>
      <c r="K228" t="inlineStr">
        <is>
          <t>중견기업</t>
        </is>
      </c>
      <c r="L228" t="inlineStr">
        <is>
          <t>외부감사대상</t>
        </is>
      </c>
      <c r="M228" s="6" t="inlineStr">
        <is>
          <t>1996-05-07</t>
        </is>
      </c>
      <c r="N228" t="inlineStr">
        <is>
          <t>KRI:10C1521900</t>
        </is>
      </c>
      <c r="O228" t="inlineStr">
        <is>
          <t>기타 신발 제조업</t>
        </is>
      </c>
      <c r="P228" t="inlineStr">
        <is>
          <t>등산화,등산의류,등산용품 제조,도소매,전자상거래/보관,창고,주차장</t>
        </is>
      </c>
      <c r="Q228" t="inlineStr">
        <is>
          <t>서울 강남구 자곡동 648번지 901호</t>
        </is>
      </c>
      <c r="R228" t="inlineStr">
        <is>
          <t>서울 강남구 자곡로 174-14, 901호</t>
        </is>
      </c>
    </row>
    <row r="229" ht="19.2" customHeight="1" s="1">
      <c r="A229" t="inlineStr">
        <is>
          <t>NICE:178455</t>
        </is>
      </c>
      <c r="B229" t="inlineStr">
        <is>
          <t>라이쏠</t>
        </is>
      </c>
      <c r="C229" t="inlineStr">
        <is>
          <t>류필도/류정근</t>
        </is>
      </c>
      <c r="D229" t="inlineStr">
        <is>
          <t>032-812-7571</t>
        </is>
      </c>
      <c r="E229" t="inlineStr">
        <is>
          <t>032-812-7574</t>
        </is>
      </c>
      <c r="F229" s="3">
        <f>HYPERLINK("http://www.lisal.co.kr", "http://www.lisal.co.kr")</f>
        <v/>
      </c>
      <c r="G229" t="inlineStr">
        <is>
          <t>1318158955</t>
        </is>
      </c>
      <c r="H229" t="inlineStr">
        <is>
          <t>1201110233081</t>
        </is>
      </c>
      <c r="I229" t="inlineStr">
        <is>
          <t>대상아님</t>
        </is>
      </c>
      <c r="J229" t="inlineStr">
        <is>
          <t>일반법인</t>
        </is>
      </c>
      <c r="K229" t="inlineStr">
        <is>
          <t>중소기업</t>
        </is>
      </c>
      <c r="L229" t="inlineStr">
        <is>
          <t>외부감사대상</t>
        </is>
      </c>
      <c r="M229" s="6" t="inlineStr">
        <is>
          <t>1984-07-20</t>
        </is>
      </c>
      <c r="N229" t="inlineStr">
        <is>
          <t>KRI:10C2219200</t>
        </is>
      </c>
      <c r="O229" t="inlineStr">
        <is>
          <t>산업용 그 외 비경화 고무제품 제조업</t>
        </is>
      </c>
      <c r="P229" t="inlineStr">
        <is>
          <t>고무제품,자동차부품 제조/부동산 임대</t>
        </is>
      </c>
      <c r="Q229" t="inlineStr">
        <is>
          <t>인천 남동구 논현동 433-4번지 433-3 (남동공단 22블럭 5롯트,4롯트)</t>
        </is>
      </c>
      <c r="R229" t="inlineStr">
        <is>
          <t>인천 남동구 남동대로 297, 433-3 (남동공단 22블럭 5롯트,4롯트)</t>
        </is>
      </c>
    </row>
    <row r="230" ht="19.2" customHeight="1" s="1">
      <c r="A230" t="inlineStr">
        <is>
          <t>NICE:178807</t>
        </is>
      </c>
      <c r="B230" t="inlineStr">
        <is>
          <t>알레르망</t>
        </is>
      </c>
      <c r="C230" t="inlineStr">
        <is>
          <t>김종운</t>
        </is>
      </c>
      <c r="D230" t="inlineStr">
        <is>
          <t>031-922-2791</t>
        </is>
      </c>
      <c r="E230" t="inlineStr">
        <is>
          <t>02-2146-0957</t>
        </is>
      </c>
      <c r="F230" s="3">
        <f>HYPERLINK("http://www.allerman.com", "http://www.allerman.com")</f>
        <v/>
      </c>
      <c r="G230" t="inlineStr">
        <is>
          <t>1288152988</t>
        </is>
      </c>
      <c r="H230" t="inlineStr">
        <is>
          <t>1159110031717</t>
        </is>
      </c>
      <c r="I230" t="inlineStr">
        <is>
          <t>대상아님</t>
        </is>
      </c>
      <c r="J230" t="inlineStr">
        <is>
          <t>일반법인</t>
        </is>
      </c>
      <c r="K230" t="inlineStr">
        <is>
          <t>중견기업</t>
        </is>
      </c>
      <c r="L230" t="inlineStr">
        <is>
          <t>외부감사대상</t>
        </is>
      </c>
      <c r="M230" s="6" t="inlineStr">
        <is>
          <t>2000-10-16</t>
        </is>
      </c>
      <c r="N230" t="inlineStr">
        <is>
          <t>KRI:10C1322100</t>
        </is>
      </c>
      <c r="O230" t="inlineStr">
        <is>
          <t>침구 및 관련제품 제조업</t>
        </is>
      </c>
      <c r="P230" t="inlineStr">
        <is>
          <t>침구류 제조,도소매</t>
        </is>
      </c>
      <c r="Q230" t="inlineStr">
        <is>
          <t>경기 고양시 일산동구 설문동 530-76번지</t>
        </is>
      </c>
      <c r="R230" t="inlineStr">
        <is>
          <t>경기 고양시 일산동구 은마길151번길 76</t>
        </is>
      </c>
    </row>
    <row r="231" ht="19.2" customHeight="1" s="1">
      <c r="A231" t="inlineStr">
        <is>
          <t>NICE:179992</t>
        </is>
      </c>
      <c r="B231" t="inlineStr">
        <is>
          <t>아마존카</t>
        </is>
      </c>
      <c r="C231" t="inlineStr">
        <is>
          <t>조성희</t>
        </is>
      </c>
      <c r="D231" t="inlineStr">
        <is>
          <t>02-392-4243</t>
        </is>
      </c>
      <c r="E231" t="inlineStr">
        <is>
          <t>02-757-0803</t>
        </is>
      </c>
      <c r="F231" s="3">
        <f>HYPERLINK("http://www.amazoncar.co.kr", "http://www.amazoncar.co.kr")</f>
        <v/>
      </c>
      <c r="G231" t="inlineStr">
        <is>
          <t>1288147957</t>
        </is>
      </c>
      <c r="H231" t="inlineStr">
        <is>
          <t>1156110019610</t>
        </is>
      </c>
      <c r="I231" t="inlineStr">
        <is>
          <t>대상아님</t>
        </is>
      </c>
      <c r="J231" t="inlineStr">
        <is>
          <t>일반법인</t>
        </is>
      </c>
      <c r="K231" t="inlineStr">
        <is>
          <t>중견기업</t>
        </is>
      </c>
      <c r="L231" t="inlineStr">
        <is>
          <t>외부감사대상</t>
        </is>
      </c>
      <c r="M231" s="6" t="inlineStr">
        <is>
          <t>2000-04-17</t>
        </is>
      </c>
      <c r="N231" t="inlineStr">
        <is>
          <t>KRI:10N7611000</t>
        </is>
      </c>
      <c r="O231" t="inlineStr">
        <is>
          <t>자동차 임대업</t>
        </is>
      </c>
      <c r="P231" t="inlineStr">
        <is>
          <t>자동차 대여,중고차 매매,수출/자동차관련 정보제공</t>
        </is>
      </c>
      <c r="Q231" t="inlineStr">
        <is>
          <t>서울 영등포구 여의도동 17-3번지 태흥빌딩 802호</t>
        </is>
      </c>
      <c r="R231" t="inlineStr">
        <is>
          <t>서울 영등포구 의사당대로 8, 802호 (여의도동,태흥빌딩)</t>
        </is>
      </c>
    </row>
    <row r="232" ht="19.2" customHeight="1" s="1">
      <c r="A232" t="inlineStr">
        <is>
          <t>NICE:181553</t>
        </is>
      </c>
      <c r="B232" t="inlineStr">
        <is>
          <t>베스텍</t>
        </is>
      </c>
      <c r="C232" t="inlineStr">
        <is>
          <t>이복선</t>
        </is>
      </c>
      <c r="D232" t="inlineStr">
        <is>
          <t>031-8003-0206-8</t>
        </is>
      </c>
      <c r="E232" t="inlineStr">
        <is>
          <t>031-8003-0209</t>
        </is>
      </c>
      <c r="F232" s="3">
        <f>HYPERLINK("http://www.bestec.co.kr", "http://www.bestec.co.kr")</f>
        <v/>
      </c>
      <c r="G232" t="inlineStr">
        <is>
          <t>1248182817</t>
        </is>
      </c>
      <c r="H232" t="inlineStr">
        <is>
          <t>1348110058520</t>
        </is>
      </c>
      <c r="I232" t="inlineStr">
        <is>
          <t>대상아님</t>
        </is>
      </c>
      <c r="J232" t="inlineStr">
        <is>
          <t>일반법인</t>
        </is>
      </c>
      <c r="K232" t="inlineStr">
        <is>
          <t>중소기업</t>
        </is>
      </c>
      <c r="L232" t="inlineStr">
        <is>
          <t>외부감사대상</t>
        </is>
      </c>
      <c r="M232" s="6" t="inlineStr">
        <is>
          <t>2001-03-27</t>
        </is>
      </c>
      <c r="N232" t="inlineStr">
        <is>
          <t>KRI:10C2929900</t>
        </is>
      </c>
      <c r="O232" t="inlineStr">
        <is>
          <t>그 외 기타 특수목적용 기계 제조업</t>
        </is>
      </c>
      <c r="P232" t="inlineStr">
        <is>
          <t>자동화기계(2차전지설비기계,PDP설비기계),정밀가공부품 제조</t>
        </is>
      </c>
      <c r="Q232" t="inlineStr">
        <is>
          <t>경기 화성시 동탄구 방교동 783-2번지</t>
        </is>
      </c>
      <c r="R232" t="inlineStr">
        <is>
          <t>경기 화성시 동탄구 동탄산단10길 53-9</t>
        </is>
      </c>
    </row>
    <row r="233" ht="19.2" customHeight="1" s="1">
      <c r="A233" t="inlineStr">
        <is>
          <t>NICE:181629</t>
        </is>
      </c>
      <c r="B233" t="inlineStr">
        <is>
          <t>한국대풍</t>
        </is>
      </c>
      <c r="C233" t="inlineStr">
        <is>
          <t>도경택/요코이아키히코</t>
        </is>
      </c>
      <c r="D233" t="inlineStr">
        <is>
          <t>053-593-2212</t>
        </is>
      </c>
      <c r="E233" t="inlineStr">
        <is>
          <t>053-593-2215</t>
        </is>
      </c>
      <c r="F233" s="3">
        <f>HYPERLINK("http://www.taihonet.co.jp/", "http://www.taihonet.co.jp/")</f>
        <v/>
      </c>
      <c r="G233" t="inlineStr">
        <is>
          <t>5148140835</t>
        </is>
      </c>
      <c r="H233" t="inlineStr">
        <is>
          <t>1701110199225</t>
        </is>
      </c>
      <c r="I233" t="inlineStr">
        <is>
          <t>대상아님</t>
        </is>
      </c>
      <c r="J233" t="inlineStr">
        <is>
          <t>일반법인</t>
        </is>
      </c>
      <c r="K233" t="inlineStr">
        <is>
          <t>중소기업</t>
        </is>
      </c>
      <c r="L233" t="inlineStr">
        <is>
          <t>외부감사대상</t>
        </is>
      </c>
      <c r="M233" s="6" t="inlineStr">
        <is>
          <t>2001-06-19</t>
        </is>
      </c>
      <c r="N233" t="inlineStr">
        <is>
          <t>KRI:10C3031000</t>
        </is>
      </c>
      <c r="O233" t="inlineStr">
        <is>
          <t>자동차 엔진용 신품 부품 제조업</t>
        </is>
      </c>
      <c r="P233" t="inlineStr">
        <is>
          <t>자동차엔진부품(PISTON SHOE,SHAFT BUSH) 제조,도매,무역</t>
        </is>
      </c>
      <c r="Q233" t="inlineStr">
        <is>
          <t>대구 달서구 월암동 1088번지</t>
        </is>
      </c>
      <c r="R233" t="inlineStr">
        <is>
          <t>대구 달서구 성서서로15길 16</t>
        </is>
      </c>
    </row>
    <row r="234">
      <c r="A234" t="inlineStr">
        <is>
          <t>NICE:183825</t>
        </is>
      </c>
      <c r="B234" t="inlineStr">
        <is>
          <t>봉림금속</t>
        </is>
      </c>
      <c r="C234" t="inlineStr">
        <is>
          <t>박권욱</t>
        </is>
      </c>
      <c r="D234" t="inlineStr">
        <is>
          <t>055-310-6871</t>
        </is>
      </c>
      <c r="E234" t="inlineStr">
        <is>
          <t>055-329-5097</t>
        </is>
      </c>
      <c r="G234" t="inlineStr">
        <is>
          <t>6228114642</t>
        </is>
      </c>
      <c r="H234" t="inlineStr">
        <is>
          <t>1846110019667</t>
        </is>
      </c>
      <c r="I234" t="inlineStr">
        <is>
          <t>대상아님</t>
        </is>
      </c>
      <c r="J234" t="inlineStr">
        <is>
          <t>일반법인</t>
        </is>
      </c>
      <c r="K234" t="inlineStr">
        <is>
          <t>중견기업</t>
        </is>
      </c>
      <c r="L234" t="inlineStr">
        <is>
          <t>외부감사대상</t>
        </is>
      </c>
      <c r="M234" s="6" t="inlineStr">
        <is>
          <t>1996-08-30</t>
        </is>
      </c>
      <c r="N234" t="inlineStr">
        <is>
          <t>KRI:10C3020000</t>
        </is>
      </c>
      <c r="O234" t="inlineStr">
        <is>
          <t>자동차 차체 및 트레일러 제조업</t>
        </is>
      </c>
      <c r="P234" t="inlineStr">
        <is>
          <t>중장비부품,자동차부품 제조</t>
        </is>
      </c>
      <c r="Q234" t="inlineStr">
        <is>
          <t>경남 김해시 생림면 봉림리 1073-1번지</t>
        </is>
      </c>
      <c r="R234" t="inlineStr">
        <is>
          <t>경남 김해시 생림면 봉림로 115-80</t>
        </is>
      </c>
    </row>
    <row r="235" ht="19.2" customHeight="1" s="1">
      <c r="A235" t="inlineStr">
        <is>
          <t>NICE:184818</t>
        </is>
      </c>
      <c r="B235" t="inlineStr">
        <is>
          <t>동광</t>
        </is>
      </c>
      <c r="C235" t="inlineStr">
        <is>
          <t>조용섭</t>
        </is>
      </c>
      <c r="D235" t="inlineStr">
        <is>
          <t>031-493-5272</t>
        </is>
      </c>
      <c r="E235" t="inlineStr">
        <is>
          <t>031-493-5275</t>
        </is>
      </c>
      <c r="F235" s="3">
        <f>HYPERLINK("http://www.intpack.co.kr", "http://www.intpack.co.kr")</f>
        <v/>
      </c>
      <c r="G235" t="inlineStr">
        <is>
          <t>1348101771</t>
        </is>
      </c>
      <c r="H235" t="inlineStr">
        <is>
          <t>1350110029609</t>
        </is>
      </c>
      <c r="I235" t="inlineStr">
        <is>
          <t>대상아님</t>
        </is>
      </c>
      <c r="J235" t="inlineStr">
        <is>
          <t>일반법인</t>
        </is>
      </c>
      <c r="K235" t="inlineStr">
        <is>
          <t>중소기업</t>
        </is>
      </c>
      <c r="L235" t="inlineStr">
        <is>
          <t>외부감사대상</t>
        </is>
      </c>
      <c r="M235" s="6" t="inlineStr">
        <is>
          <t>1988-07-20</t>
        </is>
      </c>
      <c r="N235" t="inlineStr">
        <is>
          <t>KRI:10C2020200</t>
        </is>
      </c>
      <c r="O235" t="inlineStr">
        <is>
          <t>합성수지 및 기타 플라스틱 물질 제조업</t>
        </is>
      </c>
      <c r="P235" t="inlineStr">
        <is>
          <t>합성수지,식품첨가물 제조,도매/부동산 임대</t>
        </is>
      </c>
      <c r="Q235" t="inlineStr">
        <is>
          <t>경기 안산시 단원구 성곡동 635-4번지</t>
        </is>
      </c>
      <c r="R235" t="inlineStr">
        <is>
          <t>경기 안산시 단원구 신원로91번길 9</t>
        </is>
      </c>
    </row>
    <row r="236" ht="19.2" customHeight="1" s="1">
      <c r="A236" t="inlineStr">
        <is>
          <t>NICE:184926</t>
        </is>
      </c>
      <c r="B236" t="inlineStr">
        <is>
          <t>한국무그</t>
        </is>
      </c>
      <c r="C236" t="inlineStr">
        <is>
          <t>하랄드프란쯔쿠르쯔</t>
        </is>
      </c>
      <c r="D236" t="inlineStr">
        <is>
          <t>031-645-2512</t>
        </is>
      </c>
      <c r="E236" t="inlineStr">
        <is>
          <t>031-764-0929</t>
        </is>
      </c>
      <c r="F236" s="3">
        <f>HYPERLINK("http://www.moogkorea.com", "http://www.moogkorea.com")</f>
        <v/>
      </c>
      <c r="G236" t="inlineStr">
        <is>
          <t>1268110774</t>
        </is>
      </c>
      <c r="H236" t="inlineStr">
        <is>
          <t>1101110513807</t>
        </is>
      </c>
      <c r="I236" t="inlineStr">
        <is>
          <t>대상아님</t>
        </is>
      </c>
      <c r="J236" t="inlineStr">
        <is>
          <t>일반법인</t>
        </is>
      </c>
      <c r="K236" t="inlineStr">
        <is>
          <t>중소기업</t>
        </is>
      </c>
      <c r="L236" t="inlineStr">
        <is>
          <t>외부감사대상</t>
        </is>
      </c>
      <c r="M236" s="6" t="inlineStr">
        <is>
          <t>1986-12-19</t>
        </is>
      </c>
      <c r="N236" t="inlineStr">
        <is>
          <t>KRI:10G4659900</t>
        </is>
      </c>
      <c r="O236" t="inlineStr">
        <is>
          <t>그 외 기타 기계 및 장비 도매업</t>
        </is>
      </c>
      <c r="P236" t="inlineStr">
        <is>
          <t>무역(서보밸브,서보엑츄에이터)/정밀제어기기 제조/오퍼</t>
        </is>
      </c>
      <c r="Q236" t="inlineStr">
        <is>
          <t>경기 이천시 마장면 장암리 405-5번지</t>
        </is>
      </c>
      <c r="R236" t="inlineStr">
        <is>
          <t>경기 이천시 마장면 둔터로 24-49</t>
        </is>
      </c>
    </row>
    <row r="237">
      <c r="A237" t="inlineStr">
        <is>
          <t>NICE:185153</t>
        </is>
      </c>
      <c r="B237" t="inlineStr">
        <is>
          <t>유성화학</t>
        </is>
      </c>
      <c r="C237" t="inlineStr">
        <is>
          <t>류창열</t>
        </is>
      </c>
      <c r="D237" t="inlineStr">
        <is>
          <t>055-364-3868</t>
        </is>
      </c>
      <c r="E237" t="inlineStr">
        <is>
          <t>055-366-3214</t>
        </is>
      </c>
      <c r="G237" t="inlineStr">
        <is>
          <t>6218604544</t>
        </is>
      </c>
      <c r="H237" t="inlineStr">
        <is>
          <t>2341110072797</t>
        </is>
      </c>
      <c r="I237" t="inlineStr">
        <is>
          <t>대상아님</t>
        </is>
      </c>
      <c r="J237" t="inlineStr">
        <is>
          <t>일반법인</t>
        </is>
      </c>
      <c r="K237" t="inlineStr">
        <is>
          <t>중소기업</t>
        </is>
      </c>
      <c r="L237" t="inlineStr">
        <is>
          <t>외부감사대상</t>
        </is>
      </c>
      <c r="M237" s="6" t="inlineStr">
        <is>
          <t>1995-10-15</t>
        </is>
      </c>
      <c r="N237" t="inlineStr">
        <is>
          <t>KRI:10C2224100</t>
        </is>
      </c>
      <c r="O237" t="inlineStr">
        <is>
          <t>운송장비 조립용 플라스틱제품 제조업</t>
        </is>
      </c>
      <c r="P237" t="inlineStr">
        <is>
          <t>자동차부품 제조/부동산 임대</t>
        </is>
      </c>
      <c r="Q237" t="inlineStr">
        <is>
          <t>경남 양산시 매곡동 984-1번지</t>
        </is>
      </c>
      <c r="R237" t="inlineStr">
        <is>
          <t>경남 양산시 그린공단2길 2</t>
        </is>
      </c>
    </row>
    <row r="238" ht="19.2" customHeight="1" s="1">
      <c r="A238" t="inlineStr">
        <is>
          <t>NICE:186062</t>
        </is>
      </c>
      <c r="B238" t="inlineStr">
        <is>
          <t>휴먼텍코리아엔지니어링건축사사무소</t>
        </is>
      </c>
      <c r="C238" t="inlineStr">
        <is>
          <t>이충기</t>
        </is>
      </c>
      <c r="D238" t="inlineStr">
        <is>
          <t>02-474-6002</t>
        </is>
      </c>
      <c r="E238" t="inlineStr">
        <is>
          <t>02-474-6004</t>
        </is>
      </c>
      <c r="F238" s="3">
        <f>HYPERLINK("http://www.humanteceng.co.kr", "http://www.humanteceng.co.kr")</f>
        <v/>
      </c>
      <c r="G238" t="inlineStr">
        <is>
          <t>2158173365</t>
        </is>
      </c>
      <c r="H238" t="inlineStr">
        <is>
          <t>1101111612525</t>
        </is>
      </c>
      <c r="I238" t="inlineStr">
        <is>
          <t>대상아님</t>
        </is>
      </c>
      <c r="J238" t="inlineStr">
        <is>
          <t>일반법인</t>
        </is>
      </c>
      <c r="K238" t="inlineStr">
        <is>
          <t>중소기업</t>
        </is>
      </c>
      <c r="L238" t="inlineStr">
        <is>
          <t>외부감사대상</t>
        </is>
      </c>
      <c r="M238" s="6" t="inlineStr">
        <is>
          <t>1998-11-25</t>
        </is>
      </c>
      <c r="N238" t="inlineStr">
        <is>
          <t>KRI:10M7211100</t>
        </is>
      </c>
      <c r="O238" t="inlineStr">
        <is>
          <t>건축설계 및 관련 서비스업</t>
        </is>
      </c>
      <c r="P238" t="inlineStr">
        <is>
          <t>건축 설계,감리</t>
        </is>
      </c>
      <c r="Q238" t="inlineStr">
        <is>
          <t>서울 송파구 문정동 641-4번지 문정대명벨리온 708호, 709호, 710호</t>
        </is>
      </c>
      <c r="R238" t="inlineStr">
        <is>
          <t>서울 송파구 법원로 127, 708호, 709호, 710호 (문정동,문정대명벨리온)</t>
        </is>
      </c>
    </row>
    <row r="239">
      <c r="A239" t="inlineStr">
        <is>
          <t>NICE:189255</t>
        </is>
      </c>
      <c r="B239" t="inlineStr">
        <is>
          <t>한국의료환경</t>
        </is>
      </c>
      <c r="C239" t="inlineStr">
        <is>
          <t>전은우</t>
        </is>
      </c>
      <c r="D239" t="inlineStr">
        <is>
          <t>031-323-0360</t>
        </is>
      </c>
      <c r="E239" t="inlineStr">
        <is>
          <t>031-333-1675</t>
        </is>
      </c>
      <c r="G239" t="inlineStr">
        <is>
          <t>1358131002</t>
        </is>
      </c>
      <c r="H239" t="inlineStr">
        <is>
          <t>1345110031085</t>
        </is>
      </c>
      <c r="I239" t="inlineStr">
        <is>
          <t>대상아님</t>
        </is>
      </c>
      <c r="J239" t="inlineStr">
        <is>
          <t>일반법인</t>
        </is>
      </c>
      <c r="K239" t="inlineStr">
        <is>
          <t>대기업</t>
        </is>
      </c>
      <c r="L239" t="inlineStr">
        <is>
          <t>외부감사대상</t>
        </is>
      </c>
      <c r="M239" s="6" t="inlineStr">
        <is>
          <t>1998-12-17</t>
        </is>
      </c>
      <c r="N239" t="inlineStr">
        <is>
          <t>KRI:10E3822000</t>
        </is>
      </c>
      <c r="O239" t="inlineStr">
        <is>
          <t>지정 폐기물 처리업</t>
        </is>
      </c>
      <c r="P239" t="inlineStr">
        <is>
          <t>폐기물 처리,용역,의료기관세탁물처리/환경산업기기 제조/의약품 도매/부동산 임대</t>
        </is>
      </c>
      <c r="Q239" t="inlineStr">
        <is>
          <t>경기 용인시 처인구 남사읍 진목리 257번지</t>
        </is>
      </c>
      <c r="R239" t="inlineStr">
        <is>
          <t>경기 용인시 처인구 남사읍 천덕산로428번길 22</t>
        </is>
      </c>
    </row>
    <row r="240" ht="19.2" customHeight="1" s="1">
      <c r="A240" t="inlineStr">
        <is>
          <t>NICE:189373</t>
        </is>
      </c>
      <c r="B240" t="inlineStr">
        <is>
          <t>이가에이씨엠건축사사무소</t>
        </is>
      </c>
      <c r="C240" t="inlineStr">
        <is>
          <t>오혁근</t>
        </is>
      </c>
      <c r="D240" t="inlineStr">
        <is>
          <t>053-939-6717</t>
        </is>
      </c>
      <c r="E240" t="inlineStr">
        <is>
          <t>053-939-6718</t>
        </is>
      </c>
      <c r="F240" s="3">
        <f>HYPERLINK("http://ega.egaacm.com", "http://ega.egaacm.com")</f>
        <v/>
      </c>
      <c r="G240" t="inlineStr">
        <is>
          <t>2158108826</t>
        </is>
      </c>
      <c r="H240" t="inlineStr">
        <is>
          <t>1101110660434</t>
        </is>
      </c>
      <c r="I240" t="inlineStr">
        <is>
          <t>대상아님</t>
        </is>
      </c>
      <c r="J240" t="inlineStr">
        <is>
          <t>일반법인</t>
        </is>
      </c>
      <c r="K240" t="inlineStr">
        <is>
          <t>중소기업</t>
        </is>
      </c>
      <c r="L240" t="inlineStr">
        <is>
          <t>외부감사대상</t>
        </is>
      </c>
      <c r="M240" s="6" t="inlineStr">
        <is>
          <t>1983-04-28</t>
        </is>
      </c>
      <c r="N240" t="inlineStr">
        <is>
          <t>KRI:10M7211100</t>
        </is>
      </c>
      <c r="O240" t="inlineStr">
        <is>
          <t>건축설계 및 관련 서비스업</t>
        </is>
      </c>
      <c r="P240" t="inlineStr">
        <is>
          <t>건축,토목 설계,종합감리,건설사업관리</t>
        </is>
      </c>
      <c r="Q240" t="inlineStr">
        <is>
          <t>경북 경산시 정평동 186-1번지 5층</t>
        </is>
      </c>
      <c r="R240" t="inlineStr">
        <is>
          <t>경북 경산시 성동로 15-1, 5층</t>
        </is>
      </c>
    </row>
    <row r="241" ht="19.2" customHeight="1" s="1">
      <c r="A241" t="inlineStr">
        <is>
          <t>NICE:189409</t>
        </is>
      </c>
      <c r="B241" t="inlineStr">
        <is>
          <t>엘파워텍</t>
        </is>
      </c>
      <c r="C241" t="inlineStr">
        <is>
          <t>최성규</t>
        </is>
      </c>
      <c r="D241" t="inlineStr">
        <is>
          <t>031-355-9888</t>
        </is>
      </c>
      <c r="E241" t="inlineStr">
        <is>
          <t>031-355-9808</t>
        </is>
      </c>
      <c r="F241" s="3">
        <f>HYPERLINK("http://www.elpowertech.com", "http://www.elpowertech.com")</f>
        <v/>
      </c>
      <c r="G241" t="inlineStr">
        <is>
          <t>1248175048</t>
        </is>
      </c>
      <c r="H241" t="inlineStr">
        <is>
          <t>1348110051912</t>
        </is>
      </c>
      <c r="I241" t="inlineStr">
        <is>
          <t>대상아님</t>
        </is>
      </c>
      <c r="J241" t="inlineStr">
        <is>
          <t>일반법인</t>
        </is>
      </c>
      <c r="K241" t="inlineStr">
        <is>
          <t>중소기업</t>
        </is>
      </c>
      <c r="L241" t="inlineStr">
        <is>
          <t>외부감사대상</t>
        </is>
      </c>
      <c r="M241" s="6" t="inlineStr">
        <is>
          <t>2000-07-15</t>
        </is>
      </c>
      <c r="N241" t="inlineStr">
        <is>
          <t>KRI:10C2811200</t>
        </is>
      </c>
      <c r="O241" t="inlineStr">
        <is>
          <t>변압기 제조업</t>
        </is>
      </c>
      <c r="P241" t="inlineStr">
        <is>
          <t>변압기,전기변환장치 제조,도소매</t>
        </is>
      </c>
      <c r="Q241" t="inlineStr">
        <is>
          <t>경기 화성시 만세구 마도면 청원리 1305번지</t>
        </is>
      </c>
      <c r="R241" t="inlineStr">
        <is>
          <t>경기 화성시 만세구 마도면 청원산단로 144</t>
        </is>
      </c>
    </row>
    <row r="242">
      <c r="A242" t="inlineStr">
        <is>
          <t>NICE:189541</t>
        </is>
      </c>
      <c r="B242" t="inlineStr">
        <is>
          <t>화이트코리아</t>
        </is>
      </c>
      <c r="C242" t="inlineStr">
        <is>
          <t>신정</t>
        </is>
      </c>
      <c r="D242" t="inlineStr">
        <is>
          <t>031-299-2016</t>
        </is>
      </c>
      <c r="G242" t="inlineStr">
        <is>
          <t>2108123496</t>
        </is>
      </c>
      <c r="H242" t="inlineStr">
        <is>
          <t>1101111440091</t>
        </is>
      </c>
      <c r="I242" t="inlineStr">
        <is>
          <t>대상아님</t>
        </is>
      </c>
      <c r="J242" t="inlineStr">
        <is>
          <t>일반법인</t>
        </is>
      </c>
      <c r="K242" t="inlineStr">
        <is>
          <t>중견기업</t>
        </is>
      </c>
      <c r="L242" t="inlineStr">
        <is>
          <t>외부감사대상</t>
        </is>
      </c>
      <c r="M242" s="6" t="inlineStr">
        <is>
          <t>1997-07-15</t>
        </is>
      </c>
      <c r="N242" t="inlineStr">
        <is>
          <t>KRI:10L6812100</t>
        </is>
      </c>
      <c r="O242" t="inlineStr">
        <is>
          <t>주거용 건물 개발 및 공급업</t>
        </is>
      </c>
      <c r="P242" t="inlineStr">
        <is>
          <t>부동산(주거용건물) 개발,공급/건축공사</t>
        </is>
      </c>
      <c r="Q242" t="inlineStr">
        <is>
          <t>경기 용인시 수지구 동천동 899번지 분당수지유타워 A동 2109호</t>
        </is>
      </c>
      <c r="R242" t="inlineStr">
        <is>
          <t>경기 용인시 수지구 신수로 767, A동 2109호 (동천동,분당수지유타워)</t>
        </is>
      </c>
    </row>
    <row r="243">
      <c r="A243" t="inlineStr">
        <is>
          <t>NICE:189718</t>
        </is>
      </c>
      <c r="B243" t="inlineStr">
        <is>
          <t>우면산인프라웨이</t>
        </is>
      </c>
      <c r="C243" t="inlineStr">
        <is>
          <t>김용덕</t>
        </is>
      </c>
      <c r="D243" t="inlineStr">
        <is>
          <t>02-526-8104</t>
        </is>
      </c>
      <c r="E243" t="inlineStr">
        <is>
          <t>02-574-9201</t>
        </is>
      </c>
      <c r="G243" t="inlineStr">
        <is>
          <t>2298133606</t>
        </is>
      </c>
      <c r="H243" t="inlineStr">
        <is>
          <t>1101111584211</t>
        </is>
      </c>
      <c r="I243" t="inlineStr">
        <is>
          <t>대상아님</t>
        </is>
      </c>
      <c r="J243" t="inlineStr">
        <is>
          <t>일반법인</t>
        </is>
      </c>
      <c r="K243" t="inlineStr">
        <is>
          <t>중소기업</t>
        </is>
      </c>
      <c r="L243" t="inlineStr">
        <is>
          <t>외부감사대상</t>
        </is>
      </c>
      <c r="M243" s="6" t="inlineStr">
        <is>
          <t>1998-09-09</t>
        </is>
      </c>
      <c r="N243" t="inlineStr">
        <is>
          <t>KRI:10H5291400</t>
        </is>
      </c>
      <c r="O243" t="inlineStr">
        <is>
          <t>도로 및 관련시설 운영업</t>
        </is>
      </c>
      <c r="P243" t="inlineStr">
        <is>
          <t>도로,도로부대시설 관리운영</t>
        </is>
      </c>
      <c r="Q243" t="inlineStr">
        <is>
          <t>서울 서초구 우면동 453번지</t>
        </is>
      </c>
      <c r="R243" t="inlineStr">
        <is>
          <t>서울 서초구 우면산로 369</t>
        </is>
      </c>
    </row>
    <row r="244" ht="19.2" customHeight="1" s="1">
      <c r="A244" t="inlineStr">
        <is>
          <t>NICE:189763</t>
        </is>
      </c>
      <c r="B244" t="inlineStr">
        <is>
          <t>중앙종합건설</t>
        </is>
      </c>
      <c r="C244" t="inlineStr">
        <is>
          <t>조병호/조영균</t>
        </is>
      </c>
      <c r="D244" t="inlineStr">
        <is>
          <t>031-723-0500</t>
        </is>
      </c>
      <c r="E244" t="inlineStr">
        <is>
          <t>031-723-0504</t>
        </is>
      </c>
      <c r="F244" s="3">
        <f>HYPERLINK("http://www.joong-ang.co.kr/", "http://www.joong-ang.co.kr/")</f>
        <v/>
      </c>
      <c r="G244" t="inlineStr">
        <is>
          <t>1298127503</t>
        </is>
      </c>
      <c r="H244" t="inlineStr">
        <is>
          <t>1311110037919</t>
        </is>
      </c>
      <c r="I244" t="inlineStr">
        <is>
          <t>대상아님</t>
        </is>
      </c>
      <c r="J244" t="inlineStr">
        <is>
          <t>일반법인</t>
        </is>
      </c>
      <c r="K244" t="inlineStr">
        <is>
          <t>중소기업</t>
        </is>
      </c>
      <c r="L244" t="inlineStr">
        <is>
          <t>외부감사대상</t>
        </is>
      </c>
      <c r="M244" s="6" t="inlineStr">
        <is>
          <t>1999-02-23</t>
        </is>
      </c>
      <c r="N244" t="inlineStr">
        <is>
          <t>KRI:10F4122000</t>
        </is>
      </c>
      <c r="O244" t="inlineStr">
        <is>
          <t>토목시설물 건설업</t>
        </is>
      </c>
      <c r="P244" t="inlineStr">
        <is>
          <t>토목공사,건축공사,주택공사/부동산 임대,건물관리</t>
        </is>
      </c>
      <c r="Q244" t="inlineStr">
        <is>
          <t>경기 성남시 중원구 상대원동 171번지 중앙이노테크 B동 208호</t>
        </is>
      </c>
      <c r="R244" t="inlineStr">
        <is>
          <t>경기 성남시 중원구 사기막골로 148, 비208호 (상대원동,중앙이노테크)</t>
        </is>
      </c>
    </row>
    <row r="245">
      <c r="A245" t="inlineStr">
        <is>
          <t>NICE:189933</t>
        </is>
      </c>
      <c r="B245" t="inlineStr">
        <is>
          <t>썬시멘트</t>
        </is>
      </c>
      <c r="C245" t="inlineStr">
        <is>
          <t>이민호</t>
        </is>
      </c>
      <c r="D245" t="inlineStr">
        <is>
          <t>061-461-1267</t>
        </is>
      </c>
      <c r="E245" t="inlineStr">
        <is>
          <t>061-461-1270</t>
        </is>
      </c>
      <c r="G245" t="inlineStr">
        <is>
          <t>4168134515</t>
        </is>
      </c>
      <c r="H245" t="inlineStr">
        <is>
          <t>2013110020478</t>
        </is>
      </c>
      <c r="I245" t="inlineStr">
        <is>
          <t>대상아님</t>
        </is>
      </c>
      <c r="J245" t="inlineStr">
        <is>
          <t>일반법인</t>
        </is>
      </c>
      <c r="K245" t="inlineStr">
        <is>
          <t>중소기업</t>
        </is>
      </c>
      <c r="L245" t="inlineStr">
        <is>
          <t>외부감사대상</t>
        </is>
      </c>
      <c r="M245" s="6" t="inlineStr">
        <is>
          <t>2001-11-08</t>
        </is>
      </c>
      <c r="N245" t="inlineStr">
        <is>
          <t>KRI:10C2331100</t>
        </is>
      </c>
      <c r="O245" t="inlineStr">
        <is>
          <t>시멘트 제조업</t>
        </is>
      </c>
      <c r="P245" t="inlineStr">
        <is>
          <t>시멘트,스라그파우더 제조,도소매/금,은,고령토,납석,조광권/규산질비료,금,은,정광 제조/무역(광업기기판매,수출입)</t>
        </is>
      </c>
      <c r="Q245" t="inlineStr">
        <is>
          <t>전남 영암군 삼호읍 난전리 1707-9번지</t>
        </is>
      </c>
      <c r="R245" t="inlineStr">
        <is>
          <t>전남 영암군 삼호읍 용앙로 438</t>
        </is>
      </c>
    </row>
    <row r="246">
      <c r="A246" t="inlineStr">
        <is>
          <t>NICE:191444</t>
        </is>
      </c>
      <c r="B246" t="inlineStr">
        <is>
          <t>자여</t>
        </is>
      </c>
      <c r="C246" t="inlineStr">
        <is>
          <t>정재훈</t>
        </is>
      </c>
      <c r="D246" t="inlineStr">
        <is>
          <t>02-501-1578</t>
        </is>
      </c>
      <c r="E246" t="inlineStr">
        <is>
          <t>02-501-2201</t>
        </is>
      </c>
      <c r="G246" t="inlineStr">
        <is>
          <t>2208665635</t>
        </is>
      </c>
      <c r="H246" t="inlineStr">
        <is>
          <t>1101112803165</t>
        </is>
      </c>
      <c r="I246" t="inlineStr">
        <is>
          <t>대상아님</t>
        </is>
      </c>
      <c r="J246" t="inlineStr">
        <is>
          <t>일반법인</t>
        </is>
      </c>
      <c r="K246" t="inlineStr">
        <is>
          <t>중소기업</t>
        </is>
      </c>
      <c r="L246" t="inlineStr">
        <is>
          <t>외부감사대상</t>
        </is>
      </c>
      <c r="M246" s="6" t="inlineStr">
        <is>
          <t>2003-06-19</t>
        </is>
      </c>
      <c r="N246" t="inlineStr">
        <is>
          <t>KRI:10C3039900</t>
        </is>
      </c>
      <c r="O246" t="inlineStr">
        <is>
          <t>그 외 자동차용 신품 부품 제조업</t>
        </is>
      </c>
      <c r="P246" t="inlineStr">
        <is>
          <t>자동차부품 제조/철강제품 도소매/부동산 임대</t>
        </is>
      </c>
      <c r="Q246" t="inlineStr">
        <is>
          <t>서울 서초구 양재동 90-4번지 4층</t>
        </is>
      </c>
      <c r="R246" t="inlineStr">
        <is>
          <t>서울 서초구 양재천로 131, 4층</t>
        </is>
      </c>
    </row>
    <row r="247" ht="19.2" customHeight="1" s="1">
      <c r="A247" t="inlineStr">
        <is>
          <t>NICE:193625</t>
        </is>
      </c>
      <c r="B247" t="inlineStr">
        <is>
          <t>영림화학</t>
        </is>
      </c>
      <c r="C247" t="inlineStr">
        <is>
          <t>황복현</t>
        </is>
      </c>
      <c r="D247" t="inlineStr">
        <is>
          <t>032-577-4455</t>
        </is>
      </c>
      <c r="E247" t="inlineStr">
        <is>
          <t>032-578-4455</t>
        </is>
      </c>
      <c r="F247" s="3">
        <f>HYPERLINK("http://company.yl.co.kr", "http://company.yl.co.kr")</f>
        <v/>
      </c>
      <c r="G247" t="inlineStr">
        <is>
          <t>1378140827</t>
        </is>
      </c>
      <c r="H247" t="inlineStr">
        <is>
          <t>1246110268612</t>
        </is>
      </c>
      <c r="I247" t="inlineStr">
        <is>
          <t>대상아님</t>
        </is>
      </c>
      <c r="J247" t="inlineStr">
        <is>
          <t>일반법인</t>
        </is>
      </c>
      <c r="K247" t="inlineStr">
        <is>
          <t>중소기업</t>
        </is>
      </c>
      <c r="L247" t="inlineStr">
        <is>
          <t>외부감사대상</t>
        </is>
      </c>
      <c r="M247" s="6" t="inlineStr">
        <is>
          <t>2001-11-21</t>
        </is>
      </c>
      <c r="N247" t="inlineStr">
        <is>
          <t>KRI:10C2222900</t>
        </is>
      </c>
      <c r="O247" t="inlineStr">
        <is>
          <t>기타 건축용 플라스틱 조립제품 제조업</t>
        </is>
      </c>
      <c r="P247" t="inlineStr">
        <is>
          <t>플라스틱,알루미늄,비철금속 제품 제조/플라스틱조립건구 도소매/창호공사/부동산 임대</t>
        </is>
      </c>
      <c r="Q247" t="inlineStr">
        <is>
          <t>인천 서구 석남동 642-3번지</t>
        </is>
      </c>
      <c r="R247" t="inlineStr">
        <is>
          <t>인천 서구 북항로31번길 13</t>
        </is>
      </c>
    </row>
    <row r="248" ht="19.2" customHeight="1" s="1">
      <c r="A248" t="inlineStr">
        <is>
          <t>NICE:194721</t>
        </is>
      </c>
      <c r="B248" t="inlineStr">
        <is>
          <t>지에스이앤알</t>
        </is>
      </c>
      <c r="C248" t="inlineStr">
        <is>
          <t>황병소</t>
        </is>
      </c>
      <c r="D248" t="inlineStr">
        <is>
          <t>02-2005-2000</t>
        </is>
      </c>
      <c r="E248" t="inlineStr">
        <is>
          <t>031-492-5539</t>
        </is>
      </c>
      <c r="F248" s="3">
        <f>HYPERLINK("http://www.gsenr.com", "http://www.gsenr.com")</f>
        <v/>
      </c>
      <c r="G248" t="inlineStr">
        <is>
          <t>1348178493</t>
        </is>
      </c>
      <c r="H248" t="inlineStr">
        <is>
          <t>1350110121570</t>
        </is>
      </c>
      <c r="I248" t="inlineStr">
        <is>
          <t>대상아님</t>
        </is>
      </c>
      <c r="J248" t="inlineStr">
        <is>
          <t>일반법인</t>
        </is>
      </c>
      <c r="K248" t="inlineStr">
        <is>
          <t>대기업</t>
        </is>
      </c>
      <c r="L248" t="inlineStr">
        <is>
          <t>외부감사대상</t>
        </is>
      </c>
      <c r="M248" s="6" t="inlineStr">
        <is>
          <t>2002-01-15</t>
        </is>
      </c>
      <c r="N248" t="inlineStr">
        <is>
          <t>KRI:10D3530000</t>
        </is>
      </c>
      <c r="O248" t="inlineStr">
        <is>
          <t>증기, 냉ㆍ온수 및 공기조절 공급업</t>
        </is>
      </c>
      <c r="P248" t="inlineStr">
        <is>
          <t>증기,온수 공급,열병합발전</t>
        </is>
      </c>
      <c r="Q248" t="inlineStr">
        <is>
          <t>경기 안산시 단원구 초지동 661번지</t>
        </is>
      </c>
      <c r="R248" t="inlineStr">
        <is>
          <t>경기 안산시 단원구 해안로 404</t>
        </is>
      </c>
    </row>
    <row r="249" ht="19.2" customHeight="1" s="1">
      <c r="A249" t="inlineStr">
        <is>
          <t>NICE:195301</t>
        </is>
      </c>
      <c r="B249" t="inlineStr">
        <is>
          <t>코텍</t>
        </is>
      </c>
      <c r="C249" t="inlineStr">
        <is>
          <t>박대근/최주원</t>
        </is>
      </c>
      <c r="D249" t="inlineStr">
        <is>
          <t>055-295-9695</t>
        </is>
      </c>
      <c r="E249" t="inlineStr">
        <is>
          <t>055-295-9396</t>
        </is>
      </c>
      <c r="F249" s="3">
        <f>HYPERLINK("http://www.cotec.co.kr", "http://www.cotec.co.kr")</f>
        <v/>
      </c>
      <c r="G249" t="inlineStr">
        <is>
          <t>6098150946</t>
        </is>
      </c>
      <c r="H249" t="inlineStr">
        <is>
          <t>1942110052994</t>
        </is>
      </c>
      <c r="I249" t="inlineStr">
        <is>
          <t>대상아님</t>
        </is>
      </c>
      <c r="J249" t="inlineStr">
        <is>
          <t>일반법인</t>
        </is>
      </c>
      <c r="K249" t="inlineStr">
        <is>
          <t>중소기업</t>
        </is>
      </c>
      <c r="L249" t="inlineStr">
        <is>
          <t>외부감사대상</t>
        </is>
      </c>
      <c r="M249" s="6" t="inlineStr">
        <is>
          <t>1989-09-28</t>
        </is>
      </c>
      <c r="N249" t="inlineStr">
        <is>
          <t>KRI:10C2592200</t>
        </is>
      </c>
      <c r="O249" t="inlineStr">
        <is>
          <t>도금업</t>
        </is>
      </c>
      <c r="P249" t="inlineStr">
        <is>
          <t>도금,표면처리/산업플랜트공사/무기,총포탄,자동차부품,항공기부품 제조/부동산 임대</t>
        </is>
      </c>
      <c r="Q249" t="inlineStr">
        <is>
          <t>경남 창원시 성산구 성주동 48-5번지</t>
        </is>
      </c>
      <c r="R249" t="inlineStr">
        <is>
          <t>경남 창원시 성산구 웅남로 826</t>
        </is>
      </c>
    </row>
    <row r="250" ht="19.2" customHeight="1" s="1">
      <c r="A250" t="inlineStr">
        <is>
          <t>NICE:195522</t>
        </is>
      </c>
      <c r="B250" t="inlineStr">
        <is>
          <t>동림공업</t>
        </is>
      </c>
      <c r="C250" t="inlineStr">
        <is>
          <t>이수우/황갑기</t>
        </is>
      </c>
      <c r="D250" t="inlineStr">
        <is>
          <t>055-263-4200</t>
        </is>
      </c>
      <c r="E250" t="inlineStr">
        <is>
          <t>055-263-8199</t>
        </is>
      </c>
      <c r="F250" s="3">
        <f>HYPERLINK("http://www.dlim.co.kr", "http://www.dlim.co.kr")</f>
        <v/>
      </c>
      <c r="G250" t="inlineStr">
        <is>
          <t>6128114121</t>
        </is>
      </c>
      <c r="H250" t="inlineStr">
        <is>
          <t>1949110008620</t>
        </is>
      </c>
      <c r="I250" t="inlineStr">
        <is>
          <t>대상아님</t>
        </is>
      </c>
      <c r="J250" t="inlineStr">
        <is>
          <t>일반법인</t>
        </is>
      </c>
      <c r="K250" t="inlineStr">
        <is>
          <t>중소기업</t>
        </is>
      </c>
      <c r="L250" t="inlineStr">
        <is>
          <t>외부감사대상</t>
        </is>
      </c>
      <c r="M250" s="6" t="inlineStr">
        <is>
          <t>2001-08-17</t>
        </is>
      </c>
      <c r="N250" t="inlineStr">
        <is>
          <t>KRI:10C3111400</t>
        </is>
      </c>
      <c r="O250" t="inlineStr">
        <is>
          <t>선박 구성 부분품 제조업</t>
        </is>
      </c>
      <c r="P250" t="inlineStr">
        <is>
          <t>조선기자재 플랜트,금속도금 제조/금속,비금속원료 재생/부동산 임대,매매/고철 도소매</t>
        </is>
      </c>
      <c r="Q250" t="inlineStr">
        <is>
          <t>경남 창원시 성산구 신촌동 66-14번지</t>
        </is>
      </c>
      <c r="R250" t="inlineStr">
        <is>
          <t>경남 창원시 성산구 적현로 144</t>
        </is>
      </c>
    </row>
    <row r="251" ht="19.2" customHeight="1" s="1">
      <c r="A251" t="inlineStr">
        <is>
          <t>NICE:195891</t>
        </is>
      </c>
      <c r="B251" t="inlineStr">
        <is>
          <t>우광개발</t>
        </is>
      </c>
      <c r="C251" t="inlineStr">
        <is>
          <t>임태권</t>
        </is>
      </c>
      <c r="D251" t="inlineStr">
        <is>
          <t>032-675-5300</t>
        </is>
      </c>
      <c r="E251" t="inlineStr">
        <is>
          <t>032-682-0264</t>
        </is>
      </c>
      <c r="F251" s="3">
        <f>HYPERLINK("http://www.wookwangdev.com", "http://www.wookwangdev.com")</f>
        <v/>
      </c>
      <c r="G251" t="inlineStr">
        <is>
          <t>1308176931</t>
        </is>
      </c>
      <c r="H251" t="inlineStr">
        <is>
          <t>1211110083526</t>
        </is>
      </c>
      <c r="I251" t="inlineStr">
        <is>
          <t>대상아님</t>
        </is>
      </c>
      <c r="J251" t="inlineStr">
        <is>
          <t>일반법인</t>
        </is>
      </c>
      <c r="K251" t="inlineStr">
        <is>
          <t>중소기업</t>
        </is>
      </c>
      <c r="L251" t="inlineStr">
        <is>
          <t>외부감사대상</t>
        </is>
      </c>
      <c r="M251" s="6" t="inlineStr">
        <is>
          <t>2001-02-27</t>
        </is>
      </c>
      <c r="N251" t="inlineStr">
        <is>
          <t>KRI:10E3823000</t>
        </is>
      </c>
      <c r="O251" t="inlineStr">
        <is>
          <t>건설 폐기물 처리업</t>
        </is>
      </c>
      <c r="P251" t="inlineStr">
        <is>
          <t>건축폐기물 처리,수집,운반/토공사,비계구조물해체공사/골재 도소매</t>
        </is>
      </c>
      <c r="Q251" t="inlineStr">
        <is>
          <t>경기 부천시 오정구 오정동 805-3번지</t>
        </is>
      </c>
      <c r="R251" t="inlineStr">
        <is>
          <t>경기 부천시 오정구 신흥로511번길 165</t>
        </is>
      </c>
    </row>
    <row r="252" ht="19.2" customHeight="1" s="1">
      <c r="A252" t="inlineStr">
        <is>
          <t>NICE:196943</t>
        </is>
      </c>
      <c r="B252" t="inlineStr">
        <is>
          <t>테크로스홀딩스</t>
        </is>
      </c>
      <c r="C252" t="inlineStr">
        <is>
          <t>박규원/이중희</t>
        </is>
      </c>
      <c r="D252" t="inlineStr">
        <is>
          <t>02-6900-1807</t>
        </is>
      </c>
      <c r="E252" t="inlineStr">
        <is>
          <t>02-569-8982</t>
        </is>
      </c>
      <c r="F252" s="3">
        <f>HYPERLINK("http://www.techcross-holdings.com", "http://www.techcross-holdings.com")</f>
        <v/>
      </c>
      <c r="G252" t="inlineStr">
        <is>
          <t>2068125312</t>
        </is>
      </c>
      <c r="H252" t="inlineStr">
        <is>
          <t>1101111963514</t>
        </is>
      </c>
      <c r="I252" t="inlineStr">
        <is>
          <t>대상아님</t>
        </is>
      </c>
      <c r="J252" t="inlineStr">
        <is>
          <t>일반법인</t>
        </is>
      </c>
      <c r="K252" t="inlineStr">
        <is>
          <t>중견기업</t>
        </is>
      </c>
      <c r="L252" t="inlineStr">
        <is>
          <t>외부감사대상</t>
        </is>
      </c>
      <c r="M252" s="6" t="inlineStr">
        <is>
          <t>2000-05-09</t>
        </is>
      </c>
      <c r="N252" t="inlineStr">
        <is>
          <t>KRI:10K6499200</t>
        </is>
      </c>
      <c r="O252" t="inlineStr">
        <is>
          <t>지주회사</t>
        </is>
      </c>
      <c r="P252" t="inlineStr">
        <is>
          <t>지주회사/환경전문공사/정밀기기,환경기자재 도매/소프트웨어 개발,공급/경영컨설팅</t>
        </is>
      </c>
      <c r="Q252" t="inlineStr">
        <is>
          <t>서울 강남구 삼성동 156-1번지 부방빌딩 1층</t>
        </is>
      </c>
      <c r="R252" t="inlineStr">
        <is>
          <t>서울 강남구 삼성로 528, 1층 (삼성동,부방빌딩)</t>
        </is>
      </c>
    </row>
    <row r="253" ht="19.2" customHeight="1" s="1">
      <c r="A253" t="inlineStr">
        <is>
          <t>NICE:197332</t>
        </is>
      </c>
      <c r="B253" t="inlineStr">
        <is>
          <t>디티에스</t>
        </is>
      </c>
      <c r="C253" t="inlineStr">
        <is>
          <t>김중일</t>
        </is>
      </c>
      <c r="D253" t="inlineStr">
        <is>
          <t>070-4943-8501</t>
        </is>
      </c>
      <c r="E253" t="inlineStr">
        <is>
          <t>063-471-8066</t>
        </is>
      </c>
      <c r="F253" s="3">
        <f>HYPERLINK("http://www.dasants.com", "http://www.dasants.com")</f>
        <v/>
      </c>
      <c r="G253" t="inlineStr">
        <is>
          <t>3128143522</t>
        </is>
      </c>
      <c r="H253" t="inlineStr">
        <is>
          <t>1615110037981</t>
        </is>
      </c>
      <c r="I253" t="inlineStr">
        <is>
          <t>대상아님</t>
        </is>
      </c>
      <c r="J253" t="inlineStr">
        <is>
          <t>일반법인</t>
        </is>
      </c>
      <c r="K253" t="inlineStr">
        <is>
          <t>중견기업</t>
        </is>
      </c>
      <c r="L253" t="inlineStr">
        <is>
          <t>외부감사대상</t>
        </is>
      </c>
      <c r="M253" s="6" t="inlineStr">
        <is>
          <t>2000-07-31</t>
        </is>
      </c>
      <c r="N253" t="inlineStr">
        <is>
          <t>KRI:10C2917600</t>
        </is>
      </c>
      <c r="O253" t="inlineStr">
        <is>
          <t>증류기, 열교환기 및 가스발생기 제조업</t>
        </is>
      </c>
      <c r="P253" t="inlineStr">
        <is>
          <t>특수열교환기 제조,설계</t>
        </is>
      </c>
      <c r="Q253" t="inlineStr">
        <is>
          <t>전북 군산시 오식도동 512-2번지</t>
        </is>
      </c>
      <c r="R253" t="inlineStr">
        <is>
          <t>전북 군산시 자유무역2길 45</t>
        </is>
      </c>
    </row>
    <row r="254" ht="19.2" customHeight="1" s="1">
      <c r="A254" t="inlineStr">
        <is>
          <t>NICE:198149</t>
        </is>
      </c>
      <c r="B254" t="inlineStr">
        <is>
          <t>코리아인터링크</t>
        </is>
      </c>
      <c r="C254" t="inlineStr">
        <is>
          <t>안병현</t>
        </is>
      </c>
      <c r="D254" t="inlineStr">
        <is>
          <t>02-786-5251</t>
        </is>
      </c>
      <c r="E254" t="inlineStr">
        <is>
          <t>02-785-4789</t>
        </is>
      </c>
      <c r="F254" s="3">
        <f>HYPERLINK("http://www.koreainterlink.com", "http://www.koreainterlink.com")</f>
        <v/>
      </c>
      <c r="G254" t="inlineStr">
        <is>
          <t>1078187909</t>
        </is>
      </c>
      <c r="H254" t="inlineStr">
        <is>
          <t>1101112026840</t>
        </is>
      </c>
      <c r="I254" t="inlineStr">
        <is>
          <t>대상아님</t>
        </is>
      </c>
      <c r="J254" t="inlineStr">
        <is>
          <t>일반법인</t>
        </is>
      </c>
      <c r="K254" t="inlineStr">
        <is>
          <t>중소기업</t>
        </is>
      </c>
      <c r="L254" t="inlineStr">
        <is>
          <t>외부감사대상</t>
        </is>
      </c>
      <c r="M254" s="6" t="inlineStr">
        <is>
          <t>2000-07-14</t>
        </is>
      </c>
      <c r="N254" t="inlineStr">
        <is>
          <t>KRI:10H5299200</t>
        </is>
      </c>
      <c r="O254" t="inlineStr">
        <is>
          <t>화물운송 중개, 대리 및 관련 서비스업</t>
        </is>
      </c>
      <c r="P254" t="inlineStr">
        <is>
          <t>복합운송주선</t>
        </is>
      </c>
      <c r="Q254" t="inlineStr">
        <is>
          <t>서울 영등포구 영등포동8가 92번지 케이엔케이디지털타워 1607호</t>
        </is>
      </c>
      <c r="R254" t="inlineStr">
        <is>
          <t>서울 영등포구 영신로 220, 1607호 (영등포동8가,케이엔케이디지털타워)</t>
        </is>
      </c>
    </row>
    <row r="255" ht="19.2" customHeight="1" s="1">
      <c r="A255" t="inlineStr">
        <is>
          <t>NICE:198620</t>
        </is>
      </c>
      <c r="B255" t="inlineStr">
        <is>
          <t>웨스트레이크코리아</t>
        </is>
      </c>
      <c r="C255" t="inlineStr">
        <is>
          <t>아노르두스빌헬무스마리아머틴스</t>
        </is>
      </c>
      <c r="D255" t="inlineStr">
        <is>
          <t>052-231-5189</t>
        </is>
      </c>
      <c r="E255" t="inlineStr">
        <is>
          <t>052-231-5028</t>
        </is>
      </c>
      <c r="F255" s="3">
        <f>HYPERLINK("http://www.westlake.com", "http://www.westlake.com")</f>
        <v/>
      </c>
      <c r="G255" t="inlineStr">
        <is>
          <t>6108157949</t>
        </is>
      </c>
      <c r="H255" t="inlineStr">
        <is>
          <t>2301110085231</t>
        </is>
      </c>
      <c r="I255" t="inlineStr">
        <is>
          <t>대상아님</t>
        </is>
      </c>
      <c r="J255" t="inlineStr">
        <is>
          <t>일반법인</t>
        </is>
      </c>
      <c r="K255" t="inlineStr">
        <is>
          <t>중소기업</t>
        </is>
      </c>
      <c r="L255" t="inlineStr">
        <is>
          <t>외부감사대상</t>
        </is>
      </c>
      <c r="M255" s="6" t="inlineStr">
        <is>
          <t>2002-04-17</t>
        </is>
      </c>
      <c r="N255" t="inlineStr">
        <is>
          <t>KRI:10C2020200</t>
        </is>
      </c>
      <c r="O255" t="inlineStr">
        <is>
          <t>합성수지 및 기타 플라스틱 물질 제조업</t>
        </is>
      </c>
      <c r="P255" t="inlineStr">
        <is>
          <t>에폭시수지 제조,도소매</t>
        </is>
      </c>
      <c r="Q255" t="inlineStr">
        <is>
          <t>울산 울주군 온산읍 화산리 580번지</t>
        </is>
      </c>
      <c r="R255" t="inlineStr">
        <is>
          <t>울산 울주군 온산읍 이진로 19</t>
        </is>
      </c>
    </row>
    <row r="256">
      <c r="A256" t="inlineStr">
        <is>
          <t>NICE:198844</t>
        </is>
      </c>
      <c r="B256" t="inlineStr">
        <is>
          <t>현대에코텍</t>
        </is>
      </c>
      <c r="C256" t="inlineStr">
        <is>
          <t>이경선/최동철</t>
        </is>
      </c>
      <c r="D256" t="inlineStr">
        <is>
          <t>032-818-2295</t>
        </is>
      </c>
      <c r="E256" t="inlineStr">
        <is>
          <t>032-818-2262</t>
        </is>
      </c>
      <c r="G256" t="inlineStr">
        <is>
          <t>1398122655</t>
        </is>
      </c>
      <c r="H256" t="inlineStr">
        <is>
          <t>1201110120155</t>
        </is>
      </c>
      <c r="I256" t="inlineStr">
        <is>
          <t>대상아님</t>
        </is>
      </c>
      <c r="J256" t="inlineStr">
        <is>
          <t>일반법인</t>
        </is>
      </c>
      <c r="K256" t="inlineStr">
        <is>
          <t>중견기업</t>
        </is>
      </c>
      <c r="L256" t="inlineStr">
        <is>
          <t>외부감사대상</t>
        </is>
      </c>
      <c r="M256" s="6" t="inlineStr">
        <is>
          <t>1995-06-28</t>
        </is>
      </c>
      <c r="N256" t="inlineStr">
        <is>
          <t>KRI:10E3832200</t>
        </is>
      </c>
      <c r="O256" t="inlineStr">
        <is>
          <t>비금속류 원료 재생업</t>
        </is>
      </c>
      <c r="P256" t="inlineStr">
        <is>
          <t>비금속재생재료 가공처리/고철 제조,도매</t>
        </is>
      </c>
      <c r="Q256" t="inlineStr">
        <is>
          <t>인천 남동구 논현동 442-41번지</t>
        </is>
      </c>
      <c r="R256" t="inlineStr">
        <is>
          <t>인천 남동구 남동대로262번길 30-43</t>
        </is>
      </c>
    </row>
    <row r="257">
      <c r="A257" t="inlineStr">
        <is>
          <t>NICE:199415</t>
        </is>
      </c>
      <c r="B257" t="inlineStr">
        <is>
          <t>우신전설</t>
        </is>
      </c>
      <c r="C257" t="inlineStr">
        <is>
          <t>강병성</t>
        </is>
      </c>
      <c r="D257" t="inlineStr">
        <is>
          <t>043-273-1104</t>
        </is>
      </c>
      <c r="E257" t="inlineStr">
        <is>
          <t>043-263-1104</t>
        </is>
      </c>
      <c r="G257" t="inlineStr">
        <is>
          <t>3018144050</t>
        </is>
      </c>
      <c r="H257" t="inlineStr">
        <is>
          <t>1501110047006</t>
        </is>
      </c>
      <c r="I257" t="inlineStr">
        <is>
          <t>대상아님</t>
        </is>
      </c>
      <c r="J257" t="inlineStr">
        <is>
          <t>일반법인</t>
        </is>
      </c>
      <c r="K257" t="inlineStr">
        <is>
          <t>중소기업</t>
        </is>
      </c>
      <c r="L257" t="inlineStr">
        <is>
          <t>외부감사비대상</t>
        </is>
      </c>
      <c r="M257" s="6" t="inlineStr">
        <is>
          <t>2000-06-12</t>
        </is>
      </c>
      <c r="N257" t="inlineStr">
        <is>
          <t>KRI:10F4231200</t>
        </is>
      </c>
      <c r="O257" t="inlineStr">
        <is>
          <t>내부 전기배선 공사업</t>
        </is>
      </c>
      <c r="P257" t="inlineStr">
        <is>
          <t>전기공사．소방시설．배관．난방공사</t>
        </is>
      </c>
      <c r="Q257" t="inlineStr">
        <is>
          <t>충북 청주시 청원구 사천동 95-1번지</t>
        </is>
      </c>
      <c r="R257" t="inlineStr">
        <is>
          <t>충북 청주시 청원구 발산로 53</t>
        </is>
      </c>
    </row>
    <row r="258" ht="19.2" customHeight="1" s="1">
      <c r="A258" t="inlineStr">
        <is>
          <t>NICE:199755</t>
        </is>
      </c>
      <c r="B258" t="inlineStr">
        <is>
          <t>일신산업전기</t>
        </is>
      </c>
      <c r="C258" t="inlineStr">
        <is>
          <t>고수영</t>
        </is>
      </c>
      <c r="D258" t="inlineStr">
        <is>
          <t>031-797-1631</t>
        </is>
      </c>
      <c r="E258" t="inlineStr">
        <is>
          <t>031-797-2178</t>
        </is>
      </c>
      <c r="F258" s="3">
        <f>HYPERLINK("http://www.isie.co.kr", "http://www.isie.co.kr")</f>
        <v/>
      </c>
      <c r="G258" t="inlineStr">
        <is>
          <t>1268157430</t>
        </is>
      </c>
      <c r="H258" t="inlineStr">
        <is>
          <t>1342110047228</t>
        </is>
      </c>
      <c r="I258" t="inlineStr">
        <is>
          <t>대상아님</t>
        </is>
      </c>
      <c r="J258" t="inlineStr">
        <is>
          <t>일반법인</t>
        </is>
      </c>
      <c r="K258" t="inlineStr">
        <is>
          <t>중소기업</t>
        </is>
      </c>
      <c r="L258" t="inlineStr">
        <is>
          <t>외부감사대상</t>
        </is>
      </c>
      <c r="M258" s="6" t="inlineStr">
        <is>
          <t>2000-01-15</t>
        </is>
      </c>
      <c r="N258" t="inlineStr">
        <is>
          <t>KRI:10C2890100</t>
        </is>
      </c>
      <c r="O258" t="inlineStr">
        <is>
          <t>전기경보 및 신호장치 제조업</t>
        </is>
      </c>
      <c r="P258" t="inlineStr">
        <is>
          <t>전기경보,신호장치,LED조명 제조/기계설비공사/부동산 임대</t>
        </is>
      </c>
      <c r="Q258" t="inlineStr">
        <is>
          <t>경기 광주시 송정동 310번지</t>
        </is>
      </c>
      <c r="R258" t="inlineStr">
        <is>
          <t>경기 광주시 광주대로 200-1</t>
        </is>
      </c>
    </row>
    <row r="259">
      <c r="A259" t="inlineStr">
        <is>
          <t>NICE:201267</t>
        </is>
      </c>
      <c r="B259" t="inlineStr">
        <is>
          <t>케이이에스전기공사</t>
        </is>
      </c>
      <c r="C259" t="inlineStr">
        <is>
          <t>강성진</t>
        </is>
      </c>
      <c r="D259" t="inlineStr">
        <is>
          <t>02-529-4611-2</t>
        </is>
      </c>
      <c r="E259" t="inlineStr">
        <is>
          <t>02-529-4613</t>
        </is>
      </c>
      <c r="G259" t="inlineStr">
        <is>
          <t>2148705513</t>
        </is>
      </c>
      <c r="H259" t="inlineStr">
        <is>
          <t>1101112450502</t>
        </is>
      </c>
      <c r="I259" t="inlineStr">
        <is>
          <t>대상아님</t>
        </is>
      </c>
      <c r="J259" t="inlineStr">
        <is>
          <t>일반법인</t>
        </is>
      </c>
      <c r="K259" t="inlineStr">
        <is>
          <t>중소기업</t>
        </is>
      </c>
      <c r="L259" t="inlineStr">
        <is>
          <t>외부감사대상</t>
        </is>
      </c>
      <c r="M259" s="6" t="inlineStr">
        <is>
          <t>2002-02-20</t>
        </is>
      </c>
      <c r="N259" t="inlineStr">
        <is>
          <t>KRI:10F4231100</t>
        </is>
      </c>
      <c r="O259" t="inlineStr">
        <is>
          <t>일반전기 공사업</t>
        </is>
      </c>
      <c r="P259" t="inlineStr">
        <is>
          <t>전기공사,통신공사,소방공사</t>
        </is>
      </c>
      <c r="Q259" t="inlineStr">
        <is>
          <t>서울 서초구 양재동 398-7번지 케이이에스빌딩 3층</t>
        </is>
      </c>
      <c r="R259" t="inlineStr">
        <is>
          <t>서울 서초구 논현로1길 52, 3층 (양재동,케이이에스빌딩)</t>
        </is>
      </c>
    </row>
    <row r="260">
      <c r="A260" t="inlineStr">
        <is>
          <t>NICE:201356</t>
        </is>
      </c>
      <c r="B260" t="inlineStr">
        <is>
          <t>삼보산업</t>
        </is>
      </c>
      <c r="C260" t="inlineStr">
        <is>
          <t>박계동/윤정환</t>
        </is>
      </c>
      <c r="D260" t="inlineStr">
        <is>
          <t>055-585-8788</t>
        </is>
      </c>
      <c r="E260" t="inlineStr">
        <is>
          <t>055-583-1066</t>
        </is>
      </c>
      <c r="G260" t="inlineStr">
        <is>
          <t>6088123602</t>
        </is>
      </c>
      <c r="H260" t="inlineStr">
        <is>
          <t>1943110004133</t>
        </is>
      </c>
      <c r="I260" t="inlineStr">
        <is>
          <t>대상아님</t>
        </is>
      </c>
      <c r="J260" t="inlineStr">
        <is>
          <t>일반법인</t>
        </is>
      </c>
      <c r="K260" t="inlineStr">
        <is>
          <t>중소기업</t>
        </is>
      </c>
      <c r="L260" t="inlineStr">
        <is>
          <t>외부감사대상</t>
        </is>
      </c>
      <c r="M260" s="6" t="inlineStr">
        <is>
          <t>1995-08-14</t>
        </is>
      </c>
      <c r="N260" t="inlineStr">
        <is>
          <t>KRI:10C2332200</t>
        </is>
      </c>
      <c r="O260" t="inlineStr">
        <is>
          <t>레미콘 제조업</t>
        </is>
      </c>
      <c r="P260" t="inlineStr">
        <is>
          <t>레미콘,아스콘,기계 제조,도소매/토사석 채취,도매/부동산 임대</t>
        </is>
      </c>
      <c r="Q260" t="inlineStr">
        <is>
          <t>경남 함안군 대산면 옥렬리 69번지</t>
        </is>
      </c>
      <c r="R260" t="inlineStr">
        <is>
          <t>경남 함안군 대산면 송산로 621</t>
        </is>
      </c>
    </row>
    <row r="261" ht="19.2" customHeight="1" s="1">
      <c r="A261" t="inlineStr">
        <is>
          <t>NICE:201739</t>
        </is>
      </c>
      <c r="B261" t="inlineStr">
        <is>
          <t>케미랜드</t>
        </is>
      </c>
      <c r="C261" t="inlineStr">
        <is>
          <t>이범주</t>
        </is>
      </c>
      <c r="D261" t="inlineStr">
        <is>
          <t>031-671-8449</t>
        </is>
      </c>
      <c r="E261" t="inlineStr">
        <is>
          <t>031-674-8447</t>
        </is>
      </c>
      <c r="F261" s="3">
        <f>HYPERLINK("http://www.chemland.co.kr", "http://www.chemland.co.kr")</f>
        <v/>
      </c>
      <c r="G261" t="inlineStr">
        <is>
          <t>2298135491</t>
        </is>
      </c>
      <c r="H261" t="inlineStr">
        <is>
          <t>1101111629405</t>
        </is>
      </c>
      <c r="I261" t="inlineStr">
        <is>
          <t>대상아님</t>
        </is>
      </c>
      <c r="J261" t="inlineStr">
        <is>
          <t>일반법인</t>
        </is>
      </c>
      <c r="K261" t="inlineStr">
        <is>
          <t>중소기업</t>
        </is>
      </c>
      <c r="L261" t="inlineStr">
        <is>
          <t>외부감사대상</t>
        </is>
      </c>
      <c r="M261" s="6" t="inlineStr">
        <is>
          <t>1999-01-06</t>
        </is>
      </c>
      <c r="N261" t="inlineStr">
        <is>
          <t>KRI:10C2049900</t>
        </is>
      </c>
      <c r="O261" t="inlineStr">
        <is>
          <t>그 외 기타 분류 안된 화학제품 제조업</t>
        </is>
      </c>
      <c r="P261" t="inlineStr">
        <is>
          <t>화공약품 제조/무역(화공약품)/부동산 임대</t>
        </is>
      </c>
      <c r="Q261" t="inlineStr">
        <is>
          <t>경기 안성시 미양면 개정리 761번지</t>
        </is>
      </c>
      <c r="R261" t="inlineStr">
        <is>
          <t>경기 안성시 미양면 개정산업단지로 77</t>
        </is>
      </c>
    </row>
    <row r="262" ht="19.2" customHeight="1" s="1">
      <c r="A262" t="inlineStr">
        <is>
          <t>NICE:201949</t>
        </is>
      </c>
      <c r="B262" t="inlineStr">
        <is>
          <t>오케이에프</t>
        </is>
      </c>
      <c r="C262" t="inlineStr">
        <is>
          <t>이상신</t>
        </is>
      </c>
      <c r="D262" t="inlineStr">
        <is>
          <t>02-491-1873</t>
        </is>
      </c>
      <c r="E262" t="inlineStr">
        <is>
          <t>02-491-1866</t>
        </is>
      </c>
      <c r="F262" s="3">
        <f>HYPERLINK("http://www.okf.kr", "http://www.okf.kr")</f>
        <v/>
      </c>
      <c r="G262" t="inlineStr">
        <is>
          <t>2158195471</t>
        </is>
      </c>
      <c r="H262" t="inlineStr">
        <is>
          <t>1101112033803</t>
        </is>
      </c>
      <c r="I262" t="inlineStr">
        <is>
          <t>대상아님</t>
        </is>
      </c>
      <c r="J262" t="inlineStr">
        <is>
          <t>일반법인</t>
        </is>
      </c>
      <c r="K262" t="inlineStr">
        <is>
          <t>중견기업</t>
        </is>
      </c>
      <c r="L262" t="inlineStr">
        <is>
          <t>외부감사대상</t>
        </is>
      </c>
      <c r="M262" s="6" t="inlineStr">
        <is>
          <t>2000-07-25</t>
        </is>
      </c>
      <c r="N262" t="inlineStr">
        <is>
          <t>KRI:10G4633200</t>
        </is>
      </c>
      <c r="O262" t="inlineStr">
        <is>
          <t>비알코올음료 도매업</t>
        </is>
      </c>
      <c r="P262" t="inlineStr">
        <is>
          <t>식품(음료수) 도소매,제조/무역/수출 대행</t>
        </is>
      </c>
      <c r="Q262" t="inlineStr">
        <is>
          <t>서울 강남구 논현동 27-1번지</t>
        </is>
      </c>
      <c r="R262" t="inlineStr">
        <is>
          <t>서울 강남구 학동로21길 54</t>
        </is>
      </c>
    </row>
    <row r="263" ht="19.2" customHeight="1" s="1">
      <c r="A263" t="inlineStr">
        <is>
          <t>NICE:204627</t>
        </is>
      </c>
      <c r="B263" t="inlineStr">
        <is>
          <t>세아항공방산소재</t>
        </is>
      </c>
      <c r="C263" t="inlineStr">
        <is>
          <t>성창모</t>
        </is>
      </c>
      <c r="D263" t="inlineStr">
        <is>
          <t>055-269-9549</t>
        </is>
      </c>
      <c r="E263" t="inlineStr">
        <is>
          <t>055-269-9536</t>
        </is>
      </c>
      <c r="F263" s="3">
        <f>HYPERLINK("http://www.seahaerospace.com/kor/index.asp", "http://www.seahaerospace.com/kor/index.asp")</f>
        <v/>
      </c>
      <c r="G263" t="inlineStr">
        <is>
          <t>6098151440</t>
        </is>
      </c>
      <c r="H263" t="inlineStr">
        <is>
          <t>1942110051392</t>
        </is>
      </c>
      <c r="I263" t="inlineStr">
        <is>
          <t>대상아님</t>
        </is>
      </c>
      <c r="J263" t="inlineStr">
        <is>
          <t>일반법인</t>
        </is>
      </c>
      <c r="K263" t="inlineStr">
        <is>
          <t>대기업</t>
        </is>
      </c>
      <c r="L263" t="inlineStr">
        <is>
          <t>외부감사대상</t>
        </is>
      </c>
      <c r="M263" s="6" t="inlineStr">
        <is>
          <t>2001-12-06</t>
        </is>
      </c>
      <c r="N263" t="inlineStr">
        <is>
          <t>KRI:10C2412100</t>
        </is>
      </c>
      <c r="O263" t="inlineStr">
        <is>
          <t>열간 압연 및 압출 제품 제조업</t>
        </is>
      </c>
      <c r="P263" t="inlineStr">
        <is>
          <t>열간압연,압출제품 제조/금속압출제품,금속관 도매,무역</t>
        </is>
      </c>
      <c r="Q263" t="inlineStr">
        <is>
          <t>경남 창원시 성산구 성주동 54번지</t>
        </is>
      </c>
      <c r="R263" t="inlineStr">
        <is>
          <t>경남 창원시 성산구 정동로 48</t>
        </is>
      </c>
    </row>
    <row r="264" ht="19.2" customHeight="1" s="1">
      <c r="A264" t="inlineStr">
        <is>
          <t>NICE:206022</t>
        </is>
      </c>
      <c r="B264" t="inlineStr">
        <is>
          <t>와이에스생명과학</t>
        </is>
      </c>
      <c r="C264" t="inlineStr">
        <is>
          <t>오창영/함원훈</t>
        </is>
      </c>
      <c r="D264" t="inlineStr">
        <is>
          <t>031-8047-9811</t>
        </is>
      </c>
      <c r="E264" t="inlineStr">
        <is>
          <t>031-351-6624</t>
        </is>
      </c>
      <c r="F264" s="3">
        <f>HYPERLINK("http://www.ysls.co.kr", "http://www.ysls.co.kr")</f>
        <v/>
      </c>
      <c r="G264" t="inlineStr">
        <is>
          <t>1358135444</t>
        </is>
      </c>
      <c r="H264" t="inlineStr">
        <is>
          <t>1301110057158</t>
        </is>
      </c>
      <c r="I264" t="inlineStr">
        <is>
          <t>대상아님</t>
        </is>
      </c>
      <c r="J264" t="inlineStr">
        <is>
          <t>일반법인</t>
        </is>
      </c>
      <c r="K264" t="inlineStr">
        <is>
          <t>중소기업</t>
        </is>
      </c>
      <c r="L264" t="inlineStr">
        <is>
          <t>외부감사대상</t>
        </is>
      </c>
      <c r="M264" s="6" t="inlineStr">
        <is>
          <t>2000-01-04</t>
        </is>
      </c>
      <c r="N264" t="inlineStr">
        <is>
          <t>KRI:10C2121000</t>
        </is>
      </c>
      <c r="O264" t="inlineStr">
        <is>
          <t>완제 의약품 제조업</t>
        </is>
      </c>
      <c r="P264" t="inlineStr">
        <is>
          <t>완제의약품,의약화합물,항생물질 제조/의약품 연구개발,도소매</t>
        </is>
      </c>
      <c r="Q264" t="inlineStr">
        <is>
          <t>경기 화성시 만세구 장안면 수촌리 129-9번지</t>
        </is>
      </c>
      <c r="R264" t="inlineStr">
        <is>
          <t>경기 화성시 만세구 장안면 수정로 207</t>
        </is>
      </c>
    </row>
    <row r="265" ht="19.2" customHeight="1" s="1">
      <c r="A265" t="inlineStr">
        <is>
          <t>NICE:206324</t>
        </is>
      </c>
      <c r="B265" t="inlineStr">
        <is>
          <t>한드림넷</t>
        </is>
      </c>
      <c r="C265" t="inlineStr">
        <is>
          <t>서현원</t>
        </is>
      </c>
      <c r="D265" t="inlineStr">
        <is>
          <t>070-5070-9404</t>
        </is>
      </c>
      <c r="E265" t="inlineStr">
        <is>
          <t>02-890-6654</t>
        </is>
      </c>
      <c r="F265" s="3">
        <f>HYPERLINK("http://www.handream.net", "http://www.handream.net")</f>
        <v/>
      </c>
      <c r="G265" t="inlineStr">
        <is>
          <t>2208182449</t>
        </is>
      </c>
      <c r="H265" t="inlineStr">
        <is>
          <t>1101111916654</t>
        </is>
      </c>
      <c r="I265" t="inlineStr">
        <is>
          <t>대상아님</t>
        </is>
      </c>
      <c r="J265" t="inlineStr">
        <is>
          <t>일반법인</t>
        </is>
      </c>
      <c r="K265" t="inlineStr">
        <is>
          <t>중소기업</t>
        </is>
      </c>
      <c r="L265" t="inlineStr">
        <is>
          <t>외부감사대상</t>
        </is>
      </c>
      <c r="M265" s="6" t="inlineStr">
        <is>
          <t>2000-03-23</t>
        </is>
      </c>
      <c r="N265" t="inlineStr">
        <is>
          <t>KRI:10C2641000</t>
        </is>
      </c>
      <c r="O265" t="inlineStr">
        <is>
          <t>유선 통신장비 제조업</t>
        </is>
      </c>
      <c r="P265" t="inlineStr">
        <is>
          <t>인터넷장비,컴퓨터,컴퓨터주변기기 제조,도소매,수출입/소프트웨어개발</t>
        </is>
      </c>
      <c r="Q265" t="inlineStr">
        <is>
          <t>경기 의왕시 포일동 653번지 D동 821호</t>
        </is>
      </c>
      <c r="R265" t="inlineStr">
        <is>
          <t>경기 의왕시 이미로 40, D동 821호</t>
        </is>
      </c>
    </row>
    <row r="266" ht="19.2" customHeight="1" s="1">
      <c r="A266" t="inlineStr">
        <is>
          <t>NICE:207313</t>
        </is>
      </c>
      <c r="B266" t="inlineStr">
        <is>
          <t>오토스테크</t>
        </is>
      </c>
      <c r="C266" t="inlineStr">
        <is>
          <t>허문영</t>
        </is>
      </c>
      <c r="D266" t="inlineStr">
        <is>
          <t>031-398-8000</t>
        </is>
      </c>
      <c r="E266" t="inlineStr">
        <is>
          <t>031-358-2222</t>
        </is>
      </c>
      <c r="F266" s="3">
        <f>HYPERLINK("http://www.otos.co.kr", "http://www.otos.co.kr")</f>
        <v/>
      </c>
      <c r="G266" t="inlineStr">
        <is>
          <t>1198155813</t>
        </is>
      </c>
      <c r="H266" t="inlineStr">
        <is>
          <t>1101112487208</t>
        </is>
      </c>
      <c r="I266" t="inlineStr">
        <is>
          <t>대상아님</t>
        </is>
      </c>
      <c r="J266" t="inlineStr">
        <is>
          <t>일반법인</t>
        </is>
      </c>
      <c r="K266" t="inlineStr">
        <is>
          <t>중소기업</t>
        </is>
      </c>
      <c r="L266" t="inlineStr">
        <is>
          <t>외부감사대상</t>
        </is>
      </c>
      <c r="M266" s="6" t="inlineStr">
        <is>
          <t>2002-04-02</t>
        </is>
      </c>
      <c r="N266" t="inlineStr">
        <is>
          <t>KRI:10C2929900</t>
        </is>
      </c>
      <c r="O266" t="inlineStr">
        <is>
          <t>그 외 기타 특수목적용 기계 제조업</t>
        </is>
      </c>
      <c r="P266" t="inlineStr">
        <is>
          <t>자동전자용접면 제조/부동산 임대</t>
        </is>
      </c>
      <c r="Q266" t="inlineStr">
        <is>
          <t>경기 화성시 만세구 팔탄면 서근리 224-16번지</t>
        </is>
      </c>
      <c r="R266" t="inlineStr">
        <is>
          <t>경기 화성시 만세구 팔탄면 버들로1362번길 15-6</t>
        </is>
      </c>
    </row>
    <row r="267">
      <c r="A267" t="inlineStr">
        <is>
          <t>NICE:208602</t>
        </is>
      </c>
      <c r="B267" t="inlineStr">
        <is>
          <t>에스케이쎈서</t>
        </is>
      </c>
      <c r="C267" t="inlineStr">
        <is>
          <t>김영규/김진우</t>
        </is>
      </c>
      <c r="D267" t="inlineStr">
        <is>
          <t>02-867-0760</t>
        </is>
      </c>
      <c r="E267" t="inlineStr">
        <is>
          <t>02-867-9276</t>
        </is>
      </c>
      <c r="G267" t="inlineStr">
        <is>
          <t>2148177015</t>
        </is>
      </c>
      <c r="H267" t="inlineStr">
        <is>
          <t>1101110604755</t>
        </is>
      </c>
      <c r="I267" t="inlineStr">
        <is>
          <t>대상아님</t>
        </is>
      </c>
      <c r="J267" t="inlineStr">
        <is>
          <t>일반법인</t>
        </is>
      </c>
      <c r="K267" t="inlineStr">
        <is>
          <t>중소기업</t>
        </is>
      </c>
      <c r="L267" t="inlineStr">
        <is>
          <t>외부감사대상</t>
        </is>
      </c>
      <c r="M267" s="6" t="inlineStr">
        <is>
          <t>1989-01-12</t>
        </is>
      </c>
      <c r="N267" t="inlineStr">
        <is>
          <t>KRI:10C2629200</t>
        </is>
      </c>
      <c r="O267" t="inlineStr">
        <is>
          <t>전자저항기 제조업</t>
        </is>
      </c>
      <c r="P267" t="inlineStr">
        <is>
          <t>전자저항기 제조/전자부품(센서,써머스터) 도소매</t>
        </is>
      </c>
      <c r="Q267" t="inlineStr">
        <is>
          <t>서울 금천구 가산동 327-27번지 이앤씨드림타워8차 1501호 , 1502호</t>
        </is>
      </c>
      <c r="R267" t="inlineStr">
        <is>
          <t>서울 금천구 가산디지털1로 45, 1501호, 1502호 (가산동,이앤씨드림타워8차)</t>
        </is>
      </c>
    </row>
    <row r="268" ht="19.2" customHeight="1" s="1">
      <c r="A268" t="inlineStr">
        <is>
          <t>NICE:209320</t>
        </is>
      </c>
      <c r="B268" t="inlineStr">
        <is>
          <t>아이티젠</t>
        </is>
      </c>
      <c r="C268" t="inlineStr">
        <is>
          <t>이용석</t>
        </is>
      </c>
      <c r="D268" t="inlineStr">
        <is>
          <t>02-782-8841</t>
        </is>
      </c>
      <c r="E268" t="inlineStr">
        <is>
          <t>02-782-8843</t>
        </is>
      </c>
      <c r="F268" s="3">
        <f>HYPERLINK("http://www.itgen.co.kr", "http://www.itgen.co.kr")</f>
        <v/>
      </c>
      <c r="G268" t="inlineStr">
        <is>
          <t>1088122248</t>
        </is>
      </c>
      <c r="H268" t="inlineStr">
        <is>
          <t>1101111972820</t>
        </is>
      </c>
      <c r="I268" t="inlineStr">
        <is>
          <t>대상아님</t>
        </is>
      </c>
      <c r="J268" t="inlineStr">
        <is>
          <t>일반법인</t>
        </is>
      </c>
      <c r="K268" t="inlineStr">
        <is>
          <t>중소기업</t>
        </is>
      </c>
      <c r="L268" t="inlineStr">
        <is>
          <t>외부감사대상</t>
        </is>
      </c>
      <c r="M268" s="6" t="inlineStr">
        <is>
          <t>2000-05-18</t>
        </is>
      </c>
      <c r="N268" t="inlineStr">
        <is>
          <t>KRI:10J5822200</t>
        </is>
      </c>
      <c r="O268" t="inlineStr">
        <is>
          <t>응용 소프트웨어 개발 및 공급업</t>
        </is>
      </c>
      <c r="P268" t="inlineStr">
        <is>
          <t>소프트웨어 개발,자문,공급/컴퓨터,주변기기,통신기기 도소매/수출입</t>
        </is>
      </c>
      <c r="Q268" t="inlineStr">
        <is>
          <t>서울 영등포구 여의도동 25-5번지 동화빌딩 1304호.1305호</t>
        </is>
      </c>
      <c r="R268" t="inlineStr">
        <is>
          <t>서울 영등포구 여의나루로 71, 1304호.1305호 (여의도동,동화빌딩)</t>
        </is>
      </c>
    </row>
    <row r="269" ht="19.2" customHeight="1" s="1">
      <c r="A269" t="inlineStr">
        <is>
          <t>NICE:210048</t>
        </is>
      </c>
      <c r="B269" t="inlineStr">
        <is>
          <t>에스티인터내셔널코퍼레이션</t>
        </is>
      </c>
      <c r="C269" t="inlineStr">
        <is>
          <t>하길용</t>
        </is>
      </c>
      <c r="D269" t="inlineStr">
        <is>
          <t>02-527-6100</t>
        </is>
      </c>
      <c r="E269" t="inlineStr">
        <is>
          <t>02-561-4485</t>
        </is>
      </c>
      <c r="F269" s="3">
        <f>HYPERLINK("http://www.sticorp.co.kr", "http://www.sticorp.co.kr")</f>
        <v/>
      </c>
      <c r="G269" t="inlineStr">
        <is>
          <t>1208122535</t>
        </is>
      </c>
      <c r="H269" t="inlineStr">
        <is>
          <t>1101110007131</t>
        </is>
      </c>
      <c r="I269" t="inlineStr">
        <is>
          <t>대상아님</t>
        </is>
      </c>
      <c r="J269" t="inlineStr">
        <is>
          <t>일반법인</t>
        </is>
      </c>
      <c r="K269" t="inlineStr">
        <is>
          <t>중견기업</t>
        </is>
      </c>
      <c r="L269" t="inlineStr">
        <is>
          <t>외부감사대상</t>
        </is>
      </c>
      <c r="M269" s="6" t="inlineStr">
        <is>
          <t>1962-12-10</t>
        </is>
      </c>
      <c r="N269" t="inlineStr">
        <is>
          <t>KRI:10G4671100</t>
        </is>
      </c>
      <c r="O269" t="inlineStr">
        <is>
          <t>고체연료 및 관련제품 도매업</t>
        </is>
      </c>
      <c r="P269" t="inlineStr">
        <is>
          <t>유연탄 도소매/탐사개발사업,해외광물개발/해운</t>
        </is>
      </c>
      <c r="Q269" t="inlineStr">
        <is>
          <t>서울 강남구 청담동 92-9번지</t>
        </is>
      </c>
      <c r="R269" t="inlineStr">
        <is>
          <t>서울 강남구 도산대로 441</t>
        </is>
      </c>
    </row>
    <row r="270">
      <c r="A270" t="inlineStr">
        <is>
          <t>NICE:210460</t>
        </is>
      </c>
      <c r="B270" t="inlineStr">
        <is>
          <t>동진홀딩스</t>
        </is>
      </c>
      <c r="C270" t="inlineStr">
        <is>
          <t>이준혁</t>
        </is>
      </c>
      <c r="D270" t="inlineStr">
        <is>
          <t>02-6355-6326</t>
        </is>
      </c>
      <c r="E270" t="inlineStr">
        <is>
          <t>02-325-0655</t>
        </is>
      </c>
      <c r="G270" t="inlineStr">
        <is>
          <t>1378109961</t>
        </is>
      </c>
      <c r="H270" t="inlineStr">
        <is>
          <t>1201110052168</t>
        </is>
      </c>
      <c r="I270" t="inlineStr">
        <is>
          <t>대상아님</t>
        </is>
      </c>
      <c r="J270" t="inlineStr">
        <is>
          <t>일반법인</t>
        </is>
      </c>
      <c r="K270" t="inlineStr">
        <is>
          <t>중견기업</t>
        </is>
      </c>
      <c r="L270" t="inlineStr">
        <is>
          <t>외부감사대상</t>
        </is>
      </c>
      <c r="M270" s="6" t="inlineStr">
        <is>
          <t>1989-06-27</t>
        </is>
      </c>
      <c r="N270" t="inlineStr">
        <is>
          <t>KRI:10K6499200</t>
        </is>
      </c>
      <c r="O270" t="inlineStr">
        <is>
          <t>지주회사</t>
        </is>
      </c>
      <c r="P270" t="inlineStr">
        <is>
          <t>지주회사/염소,가성소다,발포제 제조,도매</t>
        </is>
      </c>
      <c r="Q270" t="inlineStr">
        <is>
          <t>인천 서구 가좌동 472-2번지</t>
        </is>
      </c>
      <c r="R270" t="inlineStr">
        <is>
          <t>인천 서구 백범로 644</t>
        </is>
      </c>
    </row>
    <row r="271" ht="19.2" customHeight="1" s="1">
      <c r="A271" t="inlineStr">
        <is>
          <t>NICE:211105</t>
        </is>
      </c>
      <c r="B271" t="inlineStr">
        <is>
          <t>제이비에너텍</t>
        </is>
      </c>
      <c r="C271" t="inlineStr">
        <is>
          <t>송종민</t>
        </is>
      </c>
      <c r="D271" t="inlineStr">
        <is>
          <t>031-370-4600</t>
        </is>
      </c>
      <c r="E271" t="inlineStr">
        <is>
          <t>031-370-4603</t>
        </is>
      </c>
      <c r="F271" s="3">
        <f>HYPERLINK("http://www.jbenertek.com/", "http://www.jbenertek.com/")</f>
        <v/>
      </c>
      <c r="G271" t="inlineStr">
        <is>
          <t>2208653823</t>
        </is>
      </c>
      <c r="H271" t="inlineStr">
        <is>
          <t>1101112675522</t>
        </is>
      </c>
      <c r="I271" t="inlineStr">
        <is>
          <t>대상아님</t>
        </is>
      </c>
      <c r="J271" t="inlineStr">
        <is>
          <t>일반법인</t>
        </is>
      </c>
      <c r="K271" t="inlineStr">
        <is>
          <t>중견기업</t>
        </is>
      </c>
      <c r="L271" t="inlineStr">
        <is>
          <t>외부감사대상</t>
        </is>
      </c>
      <c r="M271" s="6" t="inlineStr">
        <is>
          <t>2002-12-18</t>
        </is>
      </c>
      <c r="N271" t="inlineStr">
        <is>
          <t>KRI:10C2721300</t>
        </is>
      </c>
      <c r="O271" t="inlineStr">
        <is>
          <t>물질 검사, 측정 및 분석기구 제조업</t>
        </is>
      </c>
      <c r="P271" t="inlineStr">
        <is>
          <t>가스압력측정기,가스기기,가스기자재 제조/가스기기 도소매/태양광 발전,전기/상하수도설비공사,포장공사,토공사,철근콘크리트공사,전기공사</t>
        </is>
      </c>
      <c r="Q271" t="inlineStr">
        <is>
          <t>경기 화성시 효행구 비봉면 양노리 673-41번지</t>
        </is>
      </c>
      <c r="R271" t="inlineStr">
        <is>
          <t>경기 화성시 효행구 비봉면 현대기아로 825-83</t>
        </is>
      </c>
    </row>
    <row r="272" ht="19.2" customHeight="1" s="1">
      <c r="A272" t="inlineStr">
        <is>
          <t>NICE:212079</t>
        </is>
      </c>
      <c r="B272" t="inlineStr">
        <is>
          <t>단에이앤씨종합건축사사무소</t>
        </is>
      </c>
      <c r="C272" t="inlineStr">
        <is>
          <t>박규석</t>
        </is>
      </c>
      <c r="D272" t="inlineStr">
        <is>
          <t>032-425-8855</t>
        </is>
      </c>
      <c r="E272" t="inlineStr">
        <is>
          <t>032-246-8005</t>
        </is>
      </c>
      <c r="F272" s="3">
        <f>HYPERLINK("http://www.dannet.co.kr", "http://www.dannet.co.kr")</f>
        <v/>
      </c>
      <c r="G272" t="inlineStr">
        <is>
          <t>1398113044</t>
        </is>
      </c>
      <c r="H272" t="inlineStr">
        <is>
          <t>1201110095093</t>
        </is>
      </c>
      <c r="I272" t="inlineStr">
        <is>
          <t>대상아님</t>
        </is>
      </c>
      <c r="J272" t="inlineStr">
        <is>
          <t>일반법인</t>
        </is>
      </c>
      <c r="K272" t="inlineStr">
        <is>
          <t>중소기업</t>
        </is>
      </c>
      <c r="L272" t="inlineStr">
        <is>
          <t>외부감사대상</t>
        </is>
      </c>
      <c r="M272" s="6" t="inlineStr">
        <is>
          <t>1994-04-02</t>
        </is>
      </c>
      <c r="N272" t="inlineStr">
        <is>
          <t>KRI:10M7211100</t>
        </is>
      </c>
      <c r="O272" t="inlineStr">
        <is>
          <t>건축설계 및 관련 서비스업</t>
        </is>
      </c>
      <c r="P272" t="inlineStr">
        <is>
          <t>건축 엔지니어링</t>
        </is>
      </c>
      <c r="Q272" t="inlineStr">
        <is>
          <t>인천 미추홀구 학익동 240-47번지</t>
        </is>
      </c>
      <c r="R272" t="inlineStr">
        <is>
          <t>인천 미추홀구 학익소로 66</t>
        </is>
      </c>
    </row>
    <row r="273" ht="19.2" customHeight="1" s="1">
      <c r="A273" t="inlineStr">
        <is>
          <t>NICE:212135</t>
        </is>
      </c>
      <c r="B273" t="inlineStr">
        <is>
          <t>페코텍</t>
        </is>
      </c>
      <c r="C273" t="inlineStr">
        <is>
          <t>이향이</t>
        </is>
      </c>
      <c r="D273" t="inlineStr">
        <is>
          <t>02-552-5852</t>
        </is>
      </c>
      <c r="E273" t="inlineStr">
        <is>
          <t>02-558-3544</t>
        </is>
      </c>
      <c r="F273" s="3">
        <f>HYPERLINK("http://www.peco.co.kr", "http://www.peco.co.kr")</f>
        <v/>
      </c>
      <c r="G273" t="inlineStr">
        <is>
          <t>1298129869</t>
        </is>
      </c>
      <c r="H273" t="inlineStr">
        <is>
          <t>1311110041853</t>
        </is>
      </c>
      <c r="I273" t="inlineStr">
        <is>
          <t>대상아님</t>
        </is>
      </c>
      <c r="J273" t="inlineStr">
        <is>
          <t>일반법인</t>
        </is>
      </c>
      <c r="K273" t="inlineStr">
        <is>
          <t>중소기업</t>
        </is>
      </c>
      <c r="L273" t="inlineStr">
        <is>
          <t>외부감사대상</t>
        </is>
      </c>
      <c r="M273" s="6" t="inlineStr">
        <is>
          <t>1992-05-01</t>
        </is>
      </c>
      <c r="N273" t="inlineStr">
        <is>
          <t>KRI:10C2612900</t>
        </is>
      </c>
      <c r="O273" t="inlineStr">
        <is>
          <t>기타 반도체소자 제조업</t>
        </is>
      </c>
      <c r="P273" t="inlineStr">
        <is>
          <t>반도체조립공구 제조</t>
        </is>
      </c>
      <c r="Q273" t="inlineStr">
        <is>
          <t>서울 성동구 성수동2가 281-27번지</t>
        </is>
      </c>
      <c r="R273" t="inlineStr">
        <is>
          <t>서울 성동구 동일로 169</t>
        </is>
      </c>
    </row>
    <row r="274" ht="19.2" customHeight="1" s="1">
      <c r="A274" t="inlineStr">
        <is>
          <t>NICE:212323</t>
        </is>
      </c>
      <c r="B274" t="inlineStr">
        <is>
          <t>통해</t>
        </is>
      </c>
      <c r="C274" t="inlineStr">
        <is>
          <t>전용일</t>
        </is>
      </c>
      <c r="D274" t="inlineStr">
        <is>
          <t>02-2043-8111</t>
        </is>
      </c>
      <c r="E274" t="inlineStr">
        <is>
          <t>02-2043-7111</t>
        </is>
      </c>
      <c r="F274" s="3">
        <f>HYPERLINK("http://www.thgec.com", "http://www.thgec.com")</f>
        <v/>
      </c>
      <c r="G274" t="inlineStr">
        <is>
          <t>2158197106</t>
        </is>
      </c>
      <c r="H274" t="inlineStr">
        <is>
          <t>1101112062050</t>
        </is>
      </c>
      <c r="I274" t="inlineStr">
        <is>
          <t>대상아님</t>
        </is>
      </c>
      <c r="J274" t="inlineStr">
        <is>
          <t>일반법인</t>
        </is>
      </c>
      <c r="K274" t="inlineStr">
        <is>
          <t>중소기업</t>
        </is>
      </c>
      <c r="L274" t="inlineStr">
        <is>
          <t>외부감사대상</t>
        </is>
      </c>
      <c r="M274" s="6" t="inlineStr">
        <is>
          <t>2000-09-01</t>
        </is>
      </c>
      <c r="N274" t="inlineStr">
        <is>
          <t>KRI:10F4231200</t>
        </is>
      </c>
      <c r="O274" t="inlineStr">
        <is>
          <t>내부 전기배선 공사업</t>
        </is>
      </c>
      <c r="P274" t="inlineStr">
        <is>
          <t>전기공사,정보통신공사업,태양광발전장치류 및 발전시스템 제조 및 판매, 설치업,배전반 및 전기 자동제어반, 환경제어기 제조 및 판매, 설치업,태양광, 풍력발</t>
        </is>
      </c>
      <c r="Q274" t="inlineStr">
        <is>
          <t>서울 송파구 문정동 642-3번지 문정에스케이브이1지엘메트로시티 C동 911호</t>
        </is>
      </c>
      <c r="R274" t="inlineStr">
        <is>
          <t>서울 송파구 법원로 128, C동 911호 (문정동,문정에스케이브이1지엘메트로시티)</t>
        </is>
      </c>
    </row>
    <row r="275" ht="19.2" customHeight="1" s="1">
      <c r="A275" t="inlineStr">
        <is>
          <t>NICE:212506</t>
        </is>
      </c>
      <c r="B275" t="inlineStr">
        <is>
          <t>대길환경</t>
        </is>
      </c>
      <c r="C275" t="inlineStr">
        <is>
          <t>유만종</t>
        </is>
      </c>
      <c r="D275" t="inlineStr">
        <is>
          <t>041-856-3001</t>
        </is>
      </c>
      <c r="E275" t="inlineStr">
        <is>
          <t>041-856-3799</t>
        </is>
      </c>
      <c r="F275" s="3">
        <f>HYPERLINK("http://www.wik.co.kr", "http://www.wik.co.kr")</f>
        <v/>
      </c>
      <c r="G275" t="inlineStr">
        <is>
          <t>3078116606</t>
        </is>
      </c>
      <c r="H275" t="inlineStr">
        <is>
          <t>1612110009267</t>
        </is>
      </c>
      <c r="I275" t="inlineStr">
        <is>
          <t>대상아님</t>
        </is>
      </c>
      <c r="J275" t="inlineStr">
        <is>
          <t>일반법인</t>
        </is>
      </c>
      <c r="K275" t="inlineStr">
        <is>
          <t>중소기업</t>
        </is>
      </c>
      <c r="L275" t="inlineStr">
        <is>
          <t>외부감사대상</t>
        </is>
      </c>
      <c r="M275" s="6" t="inlineStr">
        <is>
          <t>2001-02-15</t>
        </is>
      </c>
      <c r="N275" t="inlineStr">
        <is>
          <t>KRI:10E3823000</t>
        </is>
      </c>
      <c r="O275" t="inlineStr">
        <is>
          <t>건설 폐기물 처리업</t>
        </is>
      </c>
      <c r="P275" t="inlineStr">
        <is>
          <t>건설폐기물 중간처리,수집운반/아스콘 제조/포장공사,토공사,석면해체,비계구조물.해체공사</t>
        </is>
      </c>
      <c r="Q275" t="inlineStr">
        <is>
          <t>충남 공주시 이인면 만수리 502번지</t>
        </is>
      </c>
      <c r="R275" t="inlineStr">
        <is>
          <t>충남 공주시 이인면 백제큰길 1096</t>
        </is>
      </c>
    </row>
    <row r="276" ht="19.2" customHeight="1" s="1">
      <c r="A276" t="inlineStr">
        <is>
          <t>NICE:213282</t>
        </is>
      </c>
      <c r="B276" t="inlineStr">
        <is>
          <t>한국일신이온</t>
        </is>
      </c>
      <c r="C276" t="inlineStr">
        <is>
          <t>나가이노부오</t>
        </is>
      </c>
      <c r="D276" t="inlineStr">
        <is>
          <t>031-273-1480</t>
        </is>
      </c>
      <c r="E276" t="inlineStr">
        <is>
          <t>031-273-1492</t>
        </is>
      </c>
      <c r="F276" s="3">
        <f>HYPERLINK("http://www.nissin-ion.co.jp", "http://www.nissin-ion.co.jp")</f>
        <v/>
      </c>
      <c r="G276" t="inlineStr">
        <is>
          <t>1268166185</t>
        </is>
      </c>
      <c r="H276" t="inlineStr">
        <is>
          <t>1342110053811</t>
        </is>
      </c>
      <c r="I276" t="inlineStr">
        <is>
          <t>대상아님</t>
        </is>
      </c>
      <c r="J276" t="inlineStr">
        <is>
          <t>일반법인</t>
        </is>
      </c>
      <c r="K276" t="inlineStr">
        <is>
          <t>중소기업</t>
        </is>
      </c>
      <c r="L276" t="inlineStr">
        <is>
          <t>외부감사대상</t>
        </is>
      </c>
      <c r="M276" s="6" t="inlineStr">
        <is>
          <t>2002-10-10</t>
        </is>
      </c>
      <c r="N276" t="inlineStr">
        <is>
          <t>KRI:10G4659500</t>
        </is>
      </c>
      <c r="O276" t="inlineStr">
        <is>
          <t>전기용 기계ㆍ장비 및 관련 기자재 도매업</t>
        </is>
      </c>
      <c r="P276" t="inlineStr">
        <is>
          <t>반도체,액정제조장치 도소매,제조</t>
        </is>
      </c>
      <c r="Q276" t="inlineStr">
        <is>
          <t>경기 화성시 동탄구 반송동 92-7번지 스타프라자 11층</t>
        </is>
      </c>
      <c r="R276" t="inlineStr">
        <is>
          <t>경기 화성시 동탄구 메타폴리스로 53, 11층 (반송동,스타프라자)</t>
        </is>
      </c>
    </row>
    <row r="277" ht="19.2" customHeight="1" s="1">
      <c r="A277" t="inlineStr">
        <is>
          <t>NICE:213542</t>
        </is>
      </c>
      <c r="B277" t="inlineStr">
        <is>
          <t>광주순환</t>
        </is>
      </c>
      <c r="C277" t="inlineStr">
        <is>
          <t>이영훈</t>
        </is>
      </c>
      <c r="D277" t="inlineStr">
        <is>
          <t>062-670-7114</t>
        </is>
      </c>
      <c r="E277" t="inlineStr">
        <is>
          <t>062-675-0167</t>
        </is>
      </c>
      <c r="F277" s="3">
        <f>HYPERLINK("http://www.krrc3.co.kr", "http://www.krrc3.co.kr")</f>
        <v/>
      </c>
      <c r="G277" t="inlineStr">
        <is>
          <t>4088149318</t>
        </is>
      </c>
      <c r="H277" t="inlineStr">
        <is>
          <t>2001110143910</t>
        </is>
      </c>
      <c r="I277" t="inlineStr">
        <is>
          <t>대상아님</t>
        </is>
      </c>
      <c r="J277" t="inlineStr">
        <is>
          <t>일반법인</t>
        </is>
      </c>
      <c r="K277" t="inlineStr">
        <is>
          <t>중소기업</t>
        </is>
      </c>
      <c r="L277" t="inlineStr">
        <is>
          <t>외부감사대상</t>
        </is>
      </c>
      <c r="M277" s="6" t="inlineStr">
        <is>
          <t>2001-10-24</t>
        </is>
      </c>
      <c r="N277" t="inlineStr">
        <is>
          <t>KRI:10H5291400</t>
        </is>
      </c>
      <c r="O277" t="inlineStr">
        <is>
          <t>도로 및 관련시설 운영업</t>
        </is>
      </c>
      <c r="P277" t="inlineStr">
        <is>
          <t>광주순환도로 관리,운영</t>
        </is>
      </c>
      <c r="Q277" t="inlineStr">
        <is>
          <t>광주 남구 송하동 319번지</t>
        </is>
      </c>
      <c r="R277" t="inlineStr">
        <is>
          <t>광주 남구 2순환로 1508</t>
        </is>
      </c>
    </row>
    <row r="278" ht="19.2" customHeight="1" s="1">
      <c r="A278" t="inlineStr">
        <is>
          <t>NICE:213693</t>
        </is>
      </c>
      <c r="B278" t="inlineStr">
        <is>
          <t>평택항만</t>
        </is>
      </c>
      <c r="C278" t="inlineStr">
        <is>
          <t>이강선</t>
        </is>
      </c>
      <c r="D278" t="inlineStr">
        <is>
          <t>031-612-0921</t>
        </is>
      </c>
      <c r="E278" t="inlineStr">
        <is>
          <t>031-612-0919</t>
        </is>
      </c>
      <c r="F278" s="3">
        <f>HYPERLINK("http://www.ptoc.co.kr", "http://www.ptoc.co.kr")</f>
        <v/>
      </c>
      <c r="G278" t="inlineStr">
        <is>
          <t>1258127331</t>
        </is>
      </c>
      <c r="H278" t="inlineStr">
        <is>
          <t>1313110026984</t>
        </is>
      </c>
      <c r="I278" t="inlineStr">
        <is>
          <t>대상아님</t>
        </is>
      </c>
      <c r="J278" t="inlineStr">
        <is>
          <t>일반법인</t>
        </is>
      </c>
      <c r="K278" t="inlineStr">
        <is>
          <t>중소기업</t>
        </is>
      </c>
      <c r="L278" t="inlineStr">
        <is>
          <t>외부감사대상</t>
        </is>
      </c>
      <c r="M278" s="6" t="inlineStr">
        <is>
          <t>1999-01-21</t>
        </is>
      </c>
      <c r="N278" t="inlineStr">
        <is>
          <t>KRI:10H5294200</t>
        </is>
      </c>
      <c r="O278" t="inlineStr">
        <is>
          <t>수상 화물 취급업</t>
        </is>
      </c>
      <c r="P278" t="inlineStr">
        <is>
          <t>하역，운송</t>
        </is>
      </c>
      <c r="Q278" t="inlineStr">
        <is>
          <t>경기 평택시 포승읍 만호리 564번지</t>
        </is>
      </c>
      <c r="R278" t="inlineStr">
        <is>
          <t>경기 평택시 포승읍 평택항만길 145</t>
        </is>
      </c>
    </row>
    <row r="279" ht="19.2" customHeight="1" s="1">
      <c r="A279" t="inlineStr">
        <is>
          <t>NICE:213766</t>
        </is>
      </c>
      <c r="B279" t="inlineStr">
        <is>
          <t>삼광</t>
        </is>
      </c>
      <c r="C279" t="inlineStr">
        <is>
          <t>김진우</t>
        </is>
      </c>
      <c r="D279" t="inlineStr">
        <is>
          <t>053-856-1085</t>
        </is>
      </c>
      <c r="E279" t="inlineStr">
        <is>
          <t>053-859-7788</t>
        </is>
      </c>
      <c r="F279" s="3">
        <f>HYPERLINK("http://www.samkwang.com", "http://www.samkwang.com")</f>
        <v/>
      </c>
      <c r="G279" t="inlineStr">
        <is>
          <t>6098145026</t>
        </is>
      </c>
      <c r="H279" t="inlineStr">
        <is>
          <t>1942110044488</t>
        </is>
      </c>
      <c r="I279" t="inlineStr">
        <is>
          <t>대상아님</t>
        </is>
      </c>
      <c r="J279" t="inlineStr">
        <is>
          <t>일반법인</t>
        </is>
      </c>
      <c r="K279" t="inlineStr">
        <is>
          <t>중견기업</t>
        </is>
      </c>
      <c r="L279" t="inlineStr">
        <is>
          <t>외부감사대상</t>
        </is>
      </c>
      <c r="M279" s="6" t="inlineStr">
        <is>
          <t>2000-12-01</t>
        </is>
      </c>
      <c r="N279" t="inlineStr">
        <is>
          <t>KRI:10C2224000</t>
        </is>
      </c>
      <c r="O279" t="inlineStr">
        <is>
          <t>기계장비 조립용 플라스틱제품 제조업</t>
        </is>
      </c>
      <c r="P279" t="inlineStr">
        <is>
          <t>전자정밀제품 제조,도소매</t>
        </is>
      </c>
      <c r="Q279" t="inlineStr">
        <is>
          <t>경북 경산시 진량읍 신상리 1210-2번지</t>
        </is>
      </c>
      <c r="R279" t="inlineStr">
        <is>
          <t>경북 경산시 진량읍 공단4로 40</t>
        </is>
      </c>
    </row>
    <row r="280" ht="19.2" customHeight="1" s="1">
      <c r="A280" t="inlineStr">
        <is>
          <t>NICE:213840</t>
        </is>
      </c>
      <c r="B280" t="inlineStr">
        <is>
          <t>수정산투자</t>
        </is>
      </c>
      <c r="C280" t="inlineStr">
        <is>
          <t>김호윤</t>
        </is>
      </c>
      <c r="F280" s="3">
        <f>HYPERLINK("http://www.sicl-bs.com", "http://www.sicl-bs.com")</f>
        <v/>
      </c>
      <c r="G280" t="inlineStr">
        <is>
          <t>6058145311</t>
        </is>
      </c>
      <c r="H280" t="inlineStr">
        <is>
          <t>1801110364371</t>
        </is>
      </c>
      <c r="I280" t="inlineStr">
        <is>
          <t>대상아님</t>
        </is>
      </c>
      <c r="J280" t="inlineStr">
        <is>
          <t>일반법인</t>
        </is>
      </c>
      <c r="K280" t="inlineStr">
        <is>
          <t>중견기업</t>
        </is>
      </c>
      <c r="L280" t="inlineStr">
        <is>
          <t>외부감사대상</t>
        </is>
      </c>
      <c r="M280" s="6" t="inlineStr">
        <is>
          <t>2001-06-04</t>
        </is>
      </c>
      <c r="N280" t="inlineStr">
        <is>
          <t>KRI:10N7410000</t>
        </is>
      </c>
      <c r="O280" t="inlineStr">
        <is>
          <t>사업시설 유지ㆍ관리 서비스업</t>
        </is>
      </c>
      <c r="P280" t="inlineStr">
        <is>
          <t>터널 운영관리</t>
        </is>
      </c>
    </row>
    <row r="281" ht="19.2" customHeight="1" s="1">
      <c r="A281" t="inlineStr">
        <is>
          <t>NICE:214018</t>
        </is>
      </c>
      <c r="B281" t="inlineStr">
        <is>
          <t>대명수안</t>
        </is>
      </c>
      <c r="C281" t="inlineStr">
        <is>
          <t>홍성민</t>
        </is>
      </c>
      <c r="D281" t="inlineStr">
        <is>
          <t>02-2008-0857</t>
        </is>
      </c>
      <c r="E281" t="inlineStr">
        <is>
          <t>02-2008-0888</t>
        </is>
      </c>
      <c r="F281" s="3">
        <f>HYPERLINK("http://www.landmark.co.kr", "http://www.landmark.co.kr")</f>
        <v/>
      </c>
      <c r="G281" t="inlineStr">
        <is>
          <t>1208641707</t>
        </is>
      </c>
      <c r="H281" t="inlineStr">
        <is>
          <t>1101110805519</t>
        </is>
      </c>
      <c r="I281" t="inlineStr">
        <is>
          <t>대상아님</t>
        </is>
      </c>
      <c r="J281" t="inlineStr">
        <is>
          <t>일반법인</t>
        </is>
      </c>
      <c r="K281" t="inlineStr">
        <is>
          <t>중소기업</t>
        </is>
      </c>
      <c r="L281" t="inlineStr">
        <is>
          <t>외부감사대상</t>
        </is>
      </c>
      <c r="M281" s="6" t="inlineStr">
        <is>
          <t>1991-09-18</t>
        </is>
      </c>
      <c r="N281" t="inlineStr">
        <is>
          <t>KRI:10F4111000</t>
        </is>
      </c>
      <c r="O281" t="inlineStr">
        <is>
          <t>주거용 건물 건설업</t>
        </is>
      </c>
      <c r="P281" t="inlineStr">
        <is>
          <t>주택신축공사,토목건축공사/장기주택 임대</t>
        </is>
      </c>
      <c r="Q281" t="inlineStr">
        <is>
          <t>서울 강남구 대치동 943번지</t>
        </is>
      </c>
      <c r="R281" t="inlineStr">
        <is>
          <t>서울 강남구 테헤란로 510</t>
        </is>
      </c>
    </row>
    <row r="282" ht="19.2" customHeight="1" s="1">
      <c r="A282" t="inlineStr">
        <is>
          <t>NICE:214050</t>
        </is>
      </c>
      <c r="B282" t="inlineStr">
        <is>
          <t>미광글로벌</t>
        </is>
      </c>
      <c r="C282" t="inlineStr">
        <is>
          <t>이유현/이희화</t>
        </is>
      </c>
      <c r="D282" t="inlineStr">
        <is>
          <t>053-593-9990</t>
        </is>
      </c>
      <c r="E282" t="inlineStr">
        <is>
          <t>053-593-9998</t>
        </is>
      </c>
      <c r="F282" s="3">
        <f>HYPERLINK("http://www.migwangspolex.co.kr", "http://www.migwangspolex.co.kr")</f>
        <v/>
      </c>
      <c r="G282" t="inlineStr">
        <is>
          <t>5038153835</t>
        </is>
      </c>
      <c r="H282" t="inlineStr">
        <is>
          <t>1701110214255</t>
        </is>
      </c>
      <c r="I282" t="inlineStr">
        <is>
          <t>대상아님</t>
        </is>
      </c>
      <c r="J282" t="inlineStr">
        <is>
          <t>일반법인</t>
        </is>
      </c>
      <c r="K282" t="inlineStr">
        <is>
          <t>중소기업</t>
        </is>
      </c>
      <c r="L282" t="inlineStr">
        <is>
          <t>외부감사대상</t>
        </is>
      </c>
      <c r="M282" s="6" t="inlineStr">
        <is>
          <t>2002-01-15</t>
        </is>
      </c>
      <c r="N282" t="inlineStr">
        <is>
          <t>KRI:10R9113200</t>
        </is>
      </c>
      <c r="O282" t="inlineStr">
        <is>
          <t>체력단련시설 운영업</t>
        </is>
      </c>
      <c r="P282" t="inlineStr">
        <is>
          <t>체육시설(헬스,사우나,스쿼시),골프연습장 운영/부동산 임대/프렌차이즈</t>
        </is>
      </c>
      <c r="Q282" t="inlineStr">
        <is>
          <t>대구 달서구 이곡동 1250-14번지</t>
        </is>
      </c>
      <c r="R282" t="inlineStr">
        <is>
          <t>대구 달서구 이곡동로 55</t>
        </is>
      </c>
    </row>
    <row r="283">
      <c r="A283" t="inlineStr">
        <is>
          <t>NICE:214725</t>
        </is>
      </c>
      <c r="B283" t="inlineStr">
        <is>
          <t>티에스엠</t>
        </is>
      </c>
      <c r="C283" t="inlineStr">
        <is>
          <t>박규봉/이종호</t>
        </is>
      </c>
      <c r="D283" t="inlineStr">
        <is>
          <t>031-499-4895</t>
        </is>
      </c>
      <c r="E283" t="inlineStr">
        <is>
          <t>031-499-4898</t>
        </is>
      </c>
      <c r="G283" t="inlineStr">
        <is>
          <t>1338135491</t>
        </is>
      </c>
      <c r="H283" t="inlineStr">
        <is>
          <t>1350110090501</t>
        </is>
      </c>
      <c r="I283" t="inlineStr">
        <is>
          <t>대상아님</t>
        </is>
      </c>
      <c r="J283" t="inlineStr">
        <is>
          <t>일반법인</t>
        </is>
      </c>
      <c r="K283" t="inlineStr">
        <is>
          <t>중소기업</t>
        </is>
      </c>
      <c r="L283" t="inlineStr">
        <is>
          <t>외부감사대상</t>
        </is>
      </c>
      <c r="M283" s="6" t="inlineStr">
        <is>
          <t>1998-01-19</t>
        </is>
      </c>
      <c r="N283" t="inlineStr">
        <is>
          <t>KRI:10C2919900</t>
        </is>
      </c>
      <c r="O283" t="inlineStr">
        <is>
          <t>그 외 기타 일반목적용 기계 제조업</t>
        </is>
      </c>
      <c r="P283" t="inlineStr">
        <is>
          <t>기계장치,자동납땜기 제조/부동산 임대</t>
        </is>
      </c>
      <c r="Q283" t="inlineStr">
        <is>
          <t>경기 시흥시 정왕동 2657-4번지</t>
        </is>
      </c>
      <c r="R283" t="inlineStr">
        <is>
          <t>경기 시흥시 엠티브이26로20번길 57</t>
        </is>
      </c>
    </row>
    <row r="284">
      <c r="A284" t="inlineStr">
        <is>
          <t>NICE:215383</t>
        </is>
      </c>
      <c r="B284" t="inlineStr">
        <is>
          <t>은산컨테이너터미널</t>
        </is>
      </c>
      <c r="C284" t="inlineStr">
        <is>
          <t>양재생</t>
        </is>
      </c>
      <c r="D284" t="inlineStr">
        <is>
          <t>051-557-9966</t>
        </is>
      </c>
      <c r="E284" t="inlineStr">
        <is>
          <t>051-980-0185</t>
        </is>
      </c>
      <c r="G284" t="inlineStr">
        <is>
          <t>6218148533</t>
        </is>
      </c>
      <c r="H284" t="inlineStr">
        <is>
          <t>2341110028584</t>
        </is>
      </c>
      <c r="I284" t="inlineStr">
        <is>
          <t>대상아님</t>
        </is>
      </c>
      <c r="J284" t="inlineStr">
        <is>
          <t>일반법인</t>
        </is>
      </c>
      <c r="K284" t="inlineStr">
        <is>
          <t>중소기업</t>
        </is>
      </c>
      <c r="L284" t="inlineStr">
        <is>
          <t>외부감사대상</t>
        </is>
      </c>
      <c r="M284" s="6" t="inlineStr">
        <is>
          <t>2002-03-21</t>
        </is>
      </c>
      <c r="N284" t="inlineStr">
        <is>
          <t>KRI:10H5210100</t>
        </is>
      </c>
      <c r="O284" t="inlineStr">
        <is>
          <t>일반 창고업</t>
        </is>
      </c>
      <c r="P284" t="inlineStr">
        <is>
          <t>보관,하역,보세(컨테이너),화물 운송/부동산 임대/국제물류주선</t>
        </is>
      </c>
      <c r="Q284" t="inlineStr">
        <is>
          <t>부산 강서구 송정동 1707-2번지</t>
        </is>
      </c>
      <c r="R284" t="inlineStr">
        <is>
          <t>부산 강서구 녹산산단232로 12</t>
        </is>
      </c>
    </row>
    <row r="285" ht="19.2" customHeight="1" s="1">
      <c r="A285" t="inlineStr">
        <is>
          <t>NICE:215458</t>
        </is>
      </c>
      <c r="B285" t="inlineStr">
        <is>
          <t>대광건영</t>
        </is>
      </c>
      <c r="C285" t="inlineStr">
        <is>
          <t>박병일</t>
        </is>
      </c>
      <c r="D285" t="inlineStr">
        <is>
          <t>062-362-8430</t>
        </is>
      </c>
      <c r="E285" t="inlineStr">
        <is>
          <t>062-362-8425</t>
        </is>
      </c>
      <c r="F285" s="3">
        <f>HYPERLINK("http://www.clickdk.com", "http://www.clickdk.com")</f>
        <v/>
      </c>
      <c r="G285" t="inlineStr">
        <is>
          <t>4108174561</t>
        </is>
      </c>
      <c r="H285" t="inlineStr">
        <is>
          <t>2001110160633</t>
        </is>
      </c>
      <c r="I285" t="inlineStr">
        <is>
          <t>대상아님</t>
        </is>
      </c>
      <c r="J285" t="inlineStr">
        <is>
          <t>일반법인</t>
        </is>
      </c>
      <c r="K285" t="inlineStr">
        <is>
          <t>중견기업</t>
        </is>
      </c>
      <c r="L285" t="inlineStr">
        <is>
          <t>외부감사대상</t>
        </is>
      </c>
      <c r="M285" s="6" t="inlineStr">
        <is>
          <t>2002-08-09</t>
        </is>
      </c>
      <c r="N285" t="inlineStr">
        <is>
          <t>KRI:10F4111200</t>
        </is>
      </c>
      <c r="O285" t="inlineStr">
        <is>
          <t>아파트 건설업</t>
        </is>
      </c>
      <c r="P285" t="inlineStr">
        <is>
          <t>주택건설공사,분양/주택 임대</t>
        </is>
      </c>
      <c r="Q285" t="inlineStr">
        <is>
          <t>광주 서구 마륵동 610-3번지</t>
        </is>
      </c>
      <c r="R285" t="inlineStr">
        <is>
          <t>광주 서구 상무누리로 57-3</t>
        </is>
      </c>
    </row>
    <row r="286">
      <c r="A286" t="inlineStr">
        <is>
          <t>NICE:215529</t>
        </is>
      </c>
      <c r="B286" t="inlineStr">
        <is>
          <t>팬트랙</t>
        </is>
      </c>
      <c r="C286" t="inlineStr">
        <is>
          <t>장문길</t>
        </is>
      </c>
      <c r="D286" t="inlineStr">
        <is>
          <t>02-6270-0000</t>
        </is>
      </c>
      <c r="E286" t="inlineStr">
        <is>
          <t>02-722-7381</t>
        </is>
      </c>
      <c r="G286" t="inlineStr">
        <is>
          <t>2068167739</t>
        </is>
      </c>
      <c r="H286" t="inlineStr">
        <is>
          <t>1101112447898</t>
        </is>
      </c>
      <c r="I286" t="inlineStr">
        <is>
          <t>대상아님</t>
        </is>
      </c>
      <c r="J286" t="inlineStr">
        <is>
          <t>일반법인</t>
        </is>
      </c>
      <c r="K286" t="inlineStr">
        <is>
          <t>중견기업</t>
        </is>
      </c>
      <c r="L286" t="inlineStr">
        <is>
          <t>외부감사대상</t>
        </is>
      </c>
      <c r="M286" s="6" t="inlineStr">
        <is>
          <t>2002-02-16</t>
        </is>
      </c>
      <c r="N286" t="inlineStr">
        <is>
          <t>KRI:10F4213500</t>
        </is>
      </c>
      <c r="O286" t="inlineStr">
        <is>
          <t>철도궤도 전문공사업</t>
        </is>
      </c>
      <c r="P286" t="inlineStr">
        <is>
          <t>철도궤도공사업</t>
        </is>
      </c>
      <c r="Q286" t="inlineStr">
        <is>
          <t>서울 종로구 수송동 146-1번지 이마빌딩 13층</t>
        </is>
      </c>
      <c r="R286" t="inlineStr">
        <is>
          <t>서울 종로구 종로1길 42, 13층 (수송동,이마빌딩)</t>
        </is>
      </c>
    </row>
    <row r="287" ht="19.2" customHeight="1" s="1">
      <c r="A287" t="inlineStr">
        <is>
          <t>NICE:217582</t>
        </is>
      </c>
      <c r="B287" t="inlineStr">
        <is>
          <t>지컴</t>
        </is>
      </c>
      <c r="C287" t="inlineStr">
        <is>
          <t>김우재/최성식</t>
        </is>
      </c>
      <c r="D287" t="inlineStr">
        <is>
          <t>02-581-6989</t>
        </is>
      </c>
      <c r="E287" t="inlineStr">
        <is>
          <t>02-3471-6986</t>
        </is>
      </c>
      <c r="F287" s="3">
        <f>HYPERLINK("http://www.gcomm.co.kr", "http://www.gcomm.co.kr")</f>
        <v/>
      </c>
      <c r="G287" t="inlineStr">
        <is>
          <t>2148607436</t>
        </is>
      </c>
      <c r="H287" t="inlineStr">
        <is>
          <t>1101111294240</t>
        </is>
      </c>
      <c r="I287" t="inlineStr">
        <is>
          <t>대상아님</t>
        </is>
      </c>
      <c r="J287" t="inlineStr">
        <is>
          <t>일반법인</t>
        </is>
      </c>
      <c r="K287" t="inlineStr">
        <is>
          <t>중소기업</t>
        </is>
      </c>
      <c r="L287" t="inlineStr">
        <is>
          <t>외부감사대상</t>
        </is>
      </c>
      <c r="M287" s="6" t="inlineStr">
        <is>
          <t>1996-07-05</t>
        </is>
      </c>
      <c r="N287" t="inlineStr">
        <is>
          <t>KRI:10N7599200</t>
        </is>
      </c>
      <c r="O287" t="inlineStr">
        <is>
          <t>전시, 컨벤션 및 행사 대행업</t>
        </is>
      </c>
      <c r="P287" t="inlineStr">
        <is>
          <t>사업지원서비스업,광고대행외,기타도급</t>
        </is>
      </c>
      <c r="Q287" t="inlineStr">
        <is>
          <t>서울 서초구 방배동 883-3번지 3층</t>
        </is>
      </c>
      <c r="R287" t="inlineStr">
        <is>
          <t>서울 서초구 서초대로 144, 3층</t>
        </is>
      </c>
    </row>
    <row r="288" ht="19.2" customHeight="1" s="1">
      <c r="A288" t="inlineStr">
        <is>
          <t>NICE:217656</t>
        </is>
      </c>
      <c r="B288" t="inlineStr">
        <is>
          <t>산리오코리아</t>
        </is>
      </c>
      <c r="C288" t="inlineStr">
        <is>
          <t>오츠카야스유키</t>
        </is>
      </c>
      <c r="D288" t="inlineStr">
        <is>
          <t>02-543-3810</t>
        </is>
      </c>
      <c r="E288" t="inlineStr">
        <is>
          <t>02-543-2904</t>
        </is>
      </c>
      <c r="F288" s="3">
        <f>HYPERLINK("http://www.sanriokorea.co.kr", "http://www.sanriokorea.co.kr")</f>
        <v/>
      </c>
      <c r="G288" t="inlineStr">
        <is>
          <t>2148624755</t>
        </is>
      </c>
      <c r="H288" t="inlineStr">
        <is>
          <t>1101111566318</t>
        </is>
      </c>
      <c r="I288" t="inlineStr">
        <is>
          <t>대상아님</t>
        </is>
      </c>
      <c r="J288" t="inlineStr">
        <is>
          <t>일반법인</t>
        </is>
      </c>
      <c r="K288" t="inlineStr">
        <is>
          <t>중소기업</t>
        </is>
      </c>
      <c r="L288" t="inlineStr">
        <is>
          <t>외부감사대상</t>
        </is>
      </c>
      <c r="M288" s="6" t="inlineStr">
        <is>
          <t>1998-07-16</t>
        </is>
      </c>
      <c r="N288" t="inlineStr">
        <is>
          <t>KRI:10G4680000</t>
        </is>
      </c>
      <c r="O288" t="inlineStr">
        <is>
          <t>상품 종합 도매업</t>
        </is>
      </c>
      <c r="P288" t="inlineStr">
        <is>
          <t>수출입,캐릭터상품의 판매</t>
        </is>
      </c>
      <c r="Q288" t="inlineStr">
        <is>
          <t>서울 강남구 삼성동 158-16번지 엔씨타워1 4층</t>
        </is>
      </c>
      <c r="R288" t="inlineStr">
        <is>
          <t>서울 강남구 테헤란로 509, 4층 (삼성동,엔씨타워1)</t>
        </is>
      </c>
    </row>
    <row r="289" ht="19.2" customHeight="1" s="1">
      <c r="A289" t="inlineStr">
        <is>
          <t>NICE:218832</t>
        </is>
      </c>
      <c r="B289" t="inlineStr">
        <is>
          <t>아이티사이언스</t>
        </is>
      </c>
      <c r="C289" t="inlineStr">
        <is>
          <t>노순석</t>
        </is>
      </c>
      <c r="D289" t="inlineStr">
        <is>
          <t>031-360-3240</t>
        </is>
      </c>
      <c r="E289" t="inlineStr">
        <is>
          <t>031-360-3250</t>
        </is>
      </c>
      <c r="F289" s="3">
        <f>HYPERLINK("http://www.itscience.co.kr", "http://www.itscience.co.kr")</f>
        <v/>
      </c>
      <c r="G289" t="inlineStr">
        <is>
          <t>1078627075</t>
        </is>
      </c>
      <c r="H289" t="inlineStr">
        <is>
          <t>1101112660010</t>
        </is>
      </c>
      <c r="I289" t="inlineStr">
        <is>
          <t>대상아님</t>
        </is>
      </c>
      <c r="J289" t="inlineStr">
        <is>
          <t>일반법인</t>
        </is>
      </c>
      <c r="K289" t="inlineStr">
        <is>
          <t>중소기업</t>
        </is>
      </c>
      <c r="L289" t="inlineStr">
        <is>
          <t>외부감사대상</t>
        </is>
      </c>
      <c r="M289" s="6" t="inlineStr">
        <is>
          <t>2002-11-25</t>
        </is>
      </c>
      <c r="N289" t="inlineStr">
        <is>
          <t>KRI:10C2641000</t>
        </is>
      </c>
      <c r="O289" t="inlineStr">
        <is>
          <t>유선 통신장비 제조업</t>
        </is>
      </c>
      <c r="P289" t="inlineStr">
        <is>
          <t>유,무선,방송 통신기기,전동기,발전기,변압기 제조/소프트웨어 개발</t>
        </is>
      </c>
      <c r="Q289" t="inlineStr">
        <is>
          <t>경기 안양시 동안구 호계동 1029-4번지 지식산업센터 9층</t>
        </is>
      </c>
      <c r="R289" t="inlineStr">
        <is>
          <t>경기 안양시 동안구 엘에스로91번길 19, 9층 (호계동,지식산업센터)</t>
        </is>
      </c>
    </row>
    <row r="290">
      <c r="A290" t="inlineStr">
        <is>
          <t>NICE:219392</t>
        </is>
      </c>
      <c r="B290" t="inlineStr">
        <is>
          <t>나주관광개발</t>
        </is>
      </c>
      <c r="C290" t="inlineStr">
        <is>
          <t>김석철</t>
        </is>
      </c>
      <c r="D290" t="inlineStr">
        <is>
          <t>061-339-3000</t>
        </is>
      </c>
      <c r="E290" t="inlineStr">
        <is>
          <t>061-339-3100</t>
        </is>
      </c>
      <c r="G290" t="inlineStr">
        <is>
          <t>4098134803</t>
        </is>
      </c>
      <c r="H290" t="inlineStr">
        <is>
          <t>2001110068754</t>
        </is>
      </c>
      <c r="I290" t="inlineStr">
        <is>
          <t>대상아님</t>
        </is>
      </c>
      <c r="J290" t="inlineStr">
        <is>
          <t>일반법인</t>
        </is>
      </c>
      <c r="K290" t="inlineStr">
        <is>
          <t>대기업</t>
        </is>
      </c>
      <c r="L290" t="inlineStr">
        <is>
          <t>외부감사대상</t>
        </is>
      </c>
      <c r="M290" s="6" t="inlineStr">
        <is>
          <t>1996-09-16</t>
        </is>
      </c>
      <c r="N290" t="inlineStr">
        <is>
          <t>KRI:10R9112100</t>
        </is>
      </c>
      <c r="O290" t="inlineStr">
        <is>
          <t>골프장 운영업</t>
        </is>
      </c>
      <c r="P290" t="inlineStr">
        <is>
          <t>골프장,헬스크럽,라켓볼,스쿼시,스트레스해소방,관광휴양/주택건설공사/식품잡화 소매,전자상거래/일반음식</t>
        </is>
      </c>
      <c r="Q290" t="inlineStr">
        <is>
          <t>전남 나주시 남평읍 우산리 2356-4번지</t>
        </is>
      </c>
      <c r="R290" t="inlineStr">
        <is>
          <t>전남 나주시 남평읍 나주호로 442-129</t>
        </is>
      </c>
    </row>
    <row r="291" ht="19.2" customHeight="1" s="1">
      <c r="A291" t="inlineStr">
        <is>
          <t>NICE:220422</t>
        </is>
      </c>
      <c r="B291" t="inlineStr">
        <is>
          <t>한국도요타쯔우쇼</t>
        </is>
      </c>
      <c r="C291" t="inlineStr">
        <is>
          <t>고토아키오</t>
        </is>
      </c>
      <c r="D291" t="inlineStr">
        <is>
          <t>02-6744-6744</t>
        </is>
      </c>
      <c r="E291" t="inlineStr">
        <is>
          <t>02-6744-6899</t>
        </is>
      </c>
      <c r="F291" s="3">
        <f>HYPERLINK("http://www.toyotatsusho.co.kr", "http://www.toyotatsusho.co.kr")</f>
        <v/>
      </c>
      <c r="G291" t="inlineStr">
        <is>
          <t>2018180945</t>
        </is>
      </c>
      <c r="H291" t="inlineStr">
        <is>
          <t>1101112741745</t>
        </is>
      </c>
      <c r="I291" t="inlineStr">
        <is>
          <t>대상아님</t>
        </is>
      </c>
      <c r="J291" t="inlineStr">
        <is>
          <t>일반법인</t>
        </is>
      </c>
      <c r="K291" t="inlineStr">
        <is>
          <t>중소기업</t>
        </is>
      </c>
      <c r="L291" t="inlineStr">
        <is>
          <t>외부감사대상</t>
        </is>
      </c>
      <c r="M291" s="6" t="inlineStr">
        <is>
          <t>2003-03-20</t>
        </is>
      </c>
      <c r="N291" t="inlineStr">
        <is>
          <t>KRI:10G4610900</t>
        </is>
      </c>
      <c r="O291" t="inlineStr">
        <is>
          <t>상품 종합 중개업</t>
        </is>
      </c>
      <c r="P291" t="inlineStr">
        <is>
          <t>오파(금속,철강,산업용기계,자동차부품,산업용중간재),무역</t>
        </is>
      </c>
      <c r="Q291" t="inlineStr">
        <is>
          <t>서울 중구 수하동 67번지 미래에셋센터원웨스트타워 30층</t>
        </is>
      </c>
      <c r="R291" t="inlineStr">
        <is>
          <t>서울 중구 을지로5길 26, 30층 (수하동,미래에셋 센터원 웨스트타워)</t>
        </is>
      </c>
    </row>
    <row r="292" ht="19.2" customHeight="1" s="1">
      <c r="A292" t="inlineStr">
        <is>
          <t>NICE:220796</t>
        </is>
      </c>
      <c r="B292" t="inlineStr">
        <is>
          <t>대흥엠앤티</t>
        </is>
      </c>
      <c r="C292" t="inlineStr">
        <is>
          <t>한재현</t>
        </is>
      </c>
      <c r="D292" t="inlineStr">
        <is>
          <t>031-323-2167</t>
        </is>
      </c>
      <c r="E292" t="inlineStr">
        <is>
          <t>031-323-2199</t>
        </is>
      </c>
      <c r="F292" s="3">
        <f>HYPERLINK("http://www.dhmnt.co.kr", "http://www.dhmnt.co.kr")</f>
        <v/>
      </c>
      <c r="G292" t="inlineStr">
        <is>
          <t>1358130283</t>
        </is>
      </c>
      <c r="H292" t="inlineStr">
        <is>
          <t>1345110031952</t>
        </is>
      </c>
      <c r="I292" t="inlineStr">
        <is>
          <t>대상아님</t>
        </is>
      </c>
      <c r="J292" t="inlineStr">
        <is>
          <t>일반법인</t>
        </is>
      </c>
      <c r="K292" t="inlineStr">
        <is>
          <t>중소기업</t>
        </is>
      </c>
      <c r="L292" t="inlineStr">
        <is>
          <t>외부감사대상</t>
        </is>
      </c>
      <c r="M292" s="6" t="inlineStr">
        <is>
          <t>1999-02-05</t>
        </is>
      </c>
      <c r="N292" t="inlineStr">
        <is>
          <t>KRI:10E3832100</t>
        </is>
      </c>
      <c r="O292" t="inlineStr">
        <is>
          <t>비금속류 해체 및 선별업</t>
        </is>
      </c>
      <c r="P292" t="inlineStr">
        <is>
          <t>비철금속가공처리 제조</t>
        </is>
      </c>
      <c r="Q292" t="inlineStr">
        <is>
          <t>경기 용인시 처인구 이동읍 서리 411번지</t>
        </is>
      </c>
      <c r="R292" t="inlineStr">
        <is>
          <t>경기 용인시 처인구 이동읍 서리로 129</t>
        </is>
      </c>
    </row>
    <row r="293">
      <c r="A293" t="inlineStr">
        <is>
          <t>NICE:221159</t>
        </is>
      </c>
      <c r="B293" t="inlineStr">
        <is>
          <t>와이엔티파워텍</t>
        </is>
      </c>
      <c r="C293" t="inlineStr">
        <is>
          <t>류현석</t>
        </is>
      </c>
      <c r="D293" t="inlineStr">
        <is>
          <t>043-880-1200</t>
        </is>
      </c>
      <c r="E293" t="inlineStr">
        <is>
          <t>043-880-1204</t>
        </is>
      </c>
      <c r="G293" t="inlineStr">
        <is>
          <t>3078120018</t>
        </is>
      </c>
      <c r="H293" t="inlineStr">
        <is>
          <t>1647110010930</t>
        </is>
      </c>
      <c r="I293" t="inlineStr">
        <is>
          <t>대상아님</t>
        </is>
      </c>
      <c r="J293" t="inlineStr">
        <is>
          <t>일반법인</t>
        </is>
      </c>
      <c r="K293" t="inlineStr">
        <is>
          <t>중견기업</t>
        </is>
      </c>
      <c r="L293" t="inlineStr">
        <is>
          <t>외부감사대상</t>
        </is>
      </c>
      <c r="M293" s="6" t="inlineStr">
        <is>
          <t>2003-01-28</t>
        </is>
      </c>
      <c r="N293" t="inlineStr">
        <is>
          <t>KRI:10C3031000</t>
        </is>
      </c>
      <c r="O293" t="inlineStr">
        <is>
          <t>자동차 엔진용 신품 부품 제조업</t>
        </is>
      </c>
      <c r="P293" t="inlineStr">
        <is>
          <t>자동차부품(내연기관용 실린더라이너) 제조,무역</t>
        </is>
      </c>
      <c r="Q293" t="inlineStr">
        <is>
          <t>충북 음성군 삼성면 용성리 959번지</t>
        </is>
      </c>
      <c r="R293" t="inlineStr">
        <is>
          <t>충북 음성군 삼성면 하이텍산단로 110</t>
        </is>
      </c>
    </row>
    <row r="294" ht="19.2" customHeight="1" s="1">
      <c r="A294" t="inlineStr">
        <is>
          <t>NICE:221519</t>
        </is>
      </c>
      <c r="B294" t="inlineStr">
        <is>
          <t>에이치더블유아이</t>
        </is>
      </c>
      <c r="C294" t="inlineStr">
        <is>
          <t>미합중국인 안광호</t>
        </is>
      </c>
      <c r="D294" t="inlineStr">
        <is>
          <t>043-851-0184</t>
        </is>
      </c>
      <c r="E294" t="inlineStr">
        <is>
          <t>043-851-5288</t>
        </is>
      </c>
      <c r="F294" s="3">
        <f>HYPERLINK("http://www.hwic.co.kr", "http://www.hwic.co.kr")</f>
        <v/>
      </c>
      <c r="G294" t="inlineStr">
        <is>
          <t>1048178774</t>
        </is>
      </c>
      <c r="H294" t="inlineStr">
        <is>
          <t>1101112687436</t>
        </is>
      </c>
      <c r="I294" t="inlineStr">
        <is>
          <t>대상아님</t>
        </is>
      </c>
      <c r="J294" t="inlineStr">
        <is>
          <t>일반법인</t>
        </is>
      </c>
      <c r="K294" t="inlineStr">
        <is>
          <t>중소기업</t>
        </is>
      </c>
      <c r="L294" t="inlineStr">
        <is>
          <t>외부감사대상</t>
        </is>
      </c>
      <c r="M294" s="6" t="inlineStr">
        <is>
          <t>2003-01-07</t>
        </is>
      </c>
      <c r="N294" t="inlineStr">
        <is>
          <t>KRI:10C2223100</t>
        </is>
      </c>
      <c r="O294" t="inlineStr">
        <is>
          <t>플라스틱 포대, 봉투 및 유사제품 제조업</t>
        </is>
      </c>
      <c r="P294" t="inlineStr">
        <is>
          <t>합성수지포대,RC조립 제조/합성수지,생활용품,의류,악세사리 도매/무역</t>
        </is>
      </c>
      <c r="Q294" t="inlineStr">
        <is>
          <t>충북 충주시 동량면 조동리 1690-1번지</t>
        </is>
      </c>
      <c r="R294" t="inlineStr">
        <is>
          <t>충북 충주시 동량면 지등로 291</t>
        </is>
      </c>
    </row>
    <row r="295" ht="19.2" customHeight="1" s="1">
      <c r="A295" t="inlineStr">
        <is>
          <t>NICE:221601</t>
        </is>
      </c>
      <c r="B295" t="inlineStr">
        <is>
          <t>제이엠지텍</t>
        </is>
      </c>
      <c r="C295" t="inlineStr">
        <is>
          <t>김진구/홍재무</t>
        </is>
      </c>
      <c r="D295" t="inlineStr">
        <is>
          <t>02-542-4352</t>
        </is>
      </c>
      <c r="E295" t="inlineStr">
        <is>
          <t>02-542-4347</t>
        </is>
      </c>
      <c r="F295" s="3">
        <f>HYPERLINK("http://www.jmgt.kr", "http://www.jmgt.kr")</f>
        <v/>
      </c>
      <c r="G295" t="inlineStr">
        <is>
          <t>2118670982</t>
        </is>
      </c>
      <c r="H295" t="inlineStr">
        <is>
          <t>1101112143347</t>
        </is>
      </c>
      <c r="I295" t="inlineStr">
        <is>
          <t>대상아님</t>
        </is>
      </c>
      <c r="J295" t="inlineStr">
        <is>
          <t>일반법인</t>
        </is>
      </c>
      <c r="K295" t="inlineStr">
        <is>
          <t>중소기업</t>
        </is>
      </c>
      <c r="L295" t="inlineStr">
        <is>
          <t>외부감사대상</t>
        </is>
      </c>
      <c r="M295" s="6" t="inlineStr">
        <is>
          <t>2001-01-04</t>
        </is>
      </c>
      <c r="N295" t="inlineStr">
        <is>
          <t>KRI:10M7291900</t>
        </is>
      </c>
      <c r="O295" t="inlineStr">
        <is>
          <t>기타 기술 시험, 검사 및 분석업</t>
        </is>
      </c>
      <c r="P295" t="inlineStr">
        <is>
          <t>기술 검사(조선,해양 분야 공정별 전문검사),소프트웨어 개발,공급,안전 점검,진단/통신 판매/주택 임대</t>
        </is>
      </c>
      <c r="Q295" t="inlineStr">
        <is>
          <t>서울 강남구 신사동 654-15번지</t>
        </is>
      </c>
      <c r="R295" t="inlineStr">
        <is>
          <t>서울 강남구 도산대로51길 20</t>
        </is>
      </c>
    </row>
    <row r="296">
      <c r="A296" t="inlineStr">
        <is>
          <t>NICE:223727</t>
        </is>
      </c>
      <c r="B296" t="inlineStr">
        <is>
          <t>엘에프네트웍스</t>
        </is>
      </c>
      <c r="C296" t="inlineStr">
        <is>
          <t>구본진</t>
        </is>
      </c>
      <c r="D296" t="inlineStr">
        <is>
          <t>02-6710-2722</t>
        </is>
      </c>
      <c r="E296" t="inlineStr">
        <is>
          <t>02-3446-8199</t>
        </is>
      </c>
      <c r="G296" t="inlineStr">
        <is>
          <t>1168130069</t>
        </is>
      </c>
      <c r="H296" t="inlineStr">
        <is>
          <t>1101110726872</t>
        </is>
      </c>
      <c r="I296" t="inlineStr">
        <is>
          <t>대상아님</t>
        </is>
      </c>
      <c r="J296" t="inlineStr">
        <is>
          <t>일반법인</t>
        </is>
      </c>
      <c r="K296" t="inlineStr">
        <is>
          <t>중견기업</t>
        </is>
      </c>
      <c r="L296" t="inlineStr">
        <is>
          <t>외부감사대상</t>
        </is>
      </c>
      <c r="M296" s="6" t="inlineStr">
        <is>
          <t>1990-10-22</t>
        </is>
      </c>
      <c r="N296" t="inlineStr">
        <is>
          <t>KRI:10L6811200</t>
        </is>
      </c>
      <c r="O296" t="inlineStr">
        <is>
          <t>비주거용 건물 임대업</t>
        </is>
      </c>
      <c r="P296" t="inlineStr">
        <is>
          <t>부동산 임대/조경공사,조경시설물공사,조경식재공사,의류,잡화 도소매,통신판매,중개,제조/카페</t>
        </is>
      </c>
      <c r="Q296" t="inlineStr">
        <is>
          <t>서울 강남구 역삼동 797-20번지 엠티유빌딩</t>
        </is>
      </c>
      <c r="R296" t="inlineStr">
        <is>
          <t>서울 강남구 논현로 323 (역삼동,엠티유빌딩)</t>
        </is>
      </c>
    </row>
    <row r="297" ht="19.2" customHeight="1" s="1">
      <c r="A297" t="inlineStr">
        <is>
          <t>NICE:223800</t>
        </is>
      </c>
      <c r="B297" t="inlineStr">
        <is>
          <t>다이헨한국</t>
        </is>
      </c>
      <c r="C297" t="inlineStr">
        <is>
          <t>히라하라요리오</t>
        </is>
      </c>
      <c r="D297" t="inlineStr">
        <is>
          <t>031-686-7445</t>
        </is>
      </c>
      <c r="E297" t="inlineStr">
        <is>
          <t>031-686-7464</t>
        </is>
      </c>
      <c r="F297" s="3">
        <f>HYPERLINK("http://www.daihen.co.kr", "http://www.daihen.co.kr")</f>
        <v/>
      </c>
      <c r="G297" t="inlineStr">
        <is>
          <t>1198156845</t>
        </is>
      </c>
      <c r="H297" t="inlineStr">
        <is>
          <t>1101112518178</t>
        </is>
      </c>
      <c r="I297" t="inlineStr">
        <is>
          <t>대상아님</t>
        </is>
      </c>
      <c r="J297" t="inlineStr">
        <is>
          <t>일반법인</t>
        </is>
      </c>
      <c r="K297" t="inlineStr">
        <is>
          <t>중소기업</t>
        </is>
      </c>
      <c r="L297" t="inlineStr">
        <is>
          <t>외부감사대상</t>
        </is>
      </c>
      <c r="M297" s="6" t="inlineStr">
        <is>
          <t>2002-05-08</t>
        </is>
      </c>
      <c r="N297" t="inlineStr">
        <is>
          <t>KRI:10C2927100</t>
        </is>
      </c>
      <c r="O297" t="inlineStr">
        <is>
          <t>반도체 제조용 기계 제조업</t>
        </is>
      </c>
      <c r="P297" t="inlineStr">
        <is>
          <t>LCD반송장치 제조,도소매/수리,용접기,용접로보트 도소매</t>
        </is>
      </c>
      <c r="Q297" t="inlineStr">
        <is>
          <t>경기 평택시 청북읍 현곡리 463-1번지 (현곡산업단지11블럭)</t>
        </is>
      </c>
      <c r="R297" t="inlineStr">
        <is>
          <t>경기 평택시 청북읍 현곡산단로 85, (현곡산업단지11블럭)</t>
        </is>
      </c>
    </row>
    <row r="298" ht="19.2" customHeight="1" s="1">
      <c r="A298" t="inlineStr">
        <is>
          <t>NICE:224446</t>
        </is>
      </c>
      <c r="B298" t="inlineStr">
        <is>
          <t>세화골게이트팩</t>
        </is>
      </c>
      <c r="C298" t="inlineStr">
        <is>
          <t>김영기</t>
        </is>
      </c>
      <c r="D298" t="inlineStr">
        <is>
          <t>051-831-0043</t>
        </is>
      </c>
      <c r="E298" t="inlineStr">
        <is>
          <t>051-831-0047</t>
        </is>
      </c>
      <c r="F298" s="3">
        <f>HYPERLINK("http://saehwapackaging.co.kr", "http://saehwapackaging.co.kr")</f>
        <v/>
      </c>
      <c r="G298" t="inlineStr">
        <is>
          <t>6228125964</t>
        </is>
      </c>
      <c r="H298" t="inlineStr">
        <is>
          <t>1801110295980</t>
        </is>
      </c>
      <c r="I298" t="inlineStr">
        <is>
          <t>대상아님</t>
        </is>
      </c>
      <c r="J298" t="inlineStr">
        <is>
          <t>일반법인</t>
        </is>
      </c>
      <c r="K298" t="inlineStr">
        <is>
          <t>중소기업</t>
        </is>
      </c>
      <c r="L298" t="inlineStr">
        <is>
          <t>외부감사대상</t>
        </is>
      </c>
      <c r="M298" s="6" t="inlineStr">
        <is>
          <t>1999-08-05</t>
        </is>
      </c>
      <c r="N298" t="inlineStr">
        <is>
          <t>KRI:10C1721200</t>
        </is>
      </c>
      <c r="O298" t="inlineStr">
        <is>
          <t>골판지 상자 및 가공제품 제조업</t>
        </is>
      </c>
      <c r="P298" t="inlineStr">
        <is>
          <t>골판지(지함) 제조,도매,무역</t>
        </is>
      </c>
      <c r="Q298" t="inlineStr">
        <is>
          <t>부산 강서구 송정동 1737-15번지</t>
        </is>
      </c>
      <c r="R298" t="inlineStr">
        <is>
          <t>부산 강서구 녹산산단362로 26</t>
        </is>
      </c>
    </row>
    <row r="299" ht="19.2" customHeight="1" s="1">
      <c r="A299" t="inlineStr">
        <is>
          <t>NICE:227551</t>
        </is>
      </c>
      <c r="B299" t="inlineStr">
        <is>
          <t>수양켐텍</t>
        </is>
      </c>
      <c r="C299" t="inlineStr">
        <is>
          <t>박득영/박범호</t>
        </is>
      </c>
      <c r="D299" t="inlineStr">
        <is>
          <t>041-338-3370-8</t>
        </is>
      </c>
      <c r="F299" s="3">
        <f>HYPERLINK("http://www.sooyangchem.com", "http://www.sooyangchem.com")</f>
        <v/>
      </c>
      <c r="G299" t="inlineStr">
        <is>
          <t>2158644206</t>
        </is>
      </c>
      <c r="H299" t="inlineStr">
        <is>
          <t>1101112808280</t>
        </is>
      </c>
      <c r="I299" t="inlineStr">
        <is>
          <t>대상아님</t>
        </is>
      </c>
      <c r="J299" t="inlineStr">
        <is>
          <t>일반법인</t>
        </is>
      </c>
      <c r="K299" t="inlineStr">
        <is>
          <t>중소기업</t>
        </is>
      </c>
      <c r="L299" t="inlineStr">
        <is>
          <t>외부감사대상</t>
        </is>
      </c>
      <c r="M299" s="6" t="inlineStr">
        <is>
          <t>1999-09-27</t>
        </is>
      </c>
      <c r="N299" t="inlineStr">
        <is>
          <t>KRI:10C2042100</t>
        </is>
      </c>
      <c r="O299" t="inlineStr">
        <is>
          <t>계면활성제 제조업</t>
        </is>
      </c>
      <c r="P299" t="inlineStr">
        <is>
          <t>계면활성제,화공약품,세제류 제조/세제류 도매,무역/연구개발</t>
        </is>
      </c>
      <c r="Q299" t="inlineStr">
        <is>
          <t>충남 예산군 고덕면 오추리 830번지</t>
        </is>
      </c>
      <c r="R299" t="inlineStr">
        <is>
          <t>충남 예산군 고덕면 예당산단4길 80</t>
        </is>
      </c>
    </row>
    <row r="300" ht="19.2" customHeight="1" s="1">
      <c r="A300" t="inlineStr">
        <is>
          <t>NICE:227767</t>
        </is>
      </c>
      <c r="B300" t="inlineStr">
        <is>
          <t>한솔오리온텍</t>
        </is>
      </c>
      <c r="C300" t="inlineStr">
        <is>
          <t>유명수</t>
        </is>
      </c>
      <c r="D300" t="inlineStr">
        <is>
          <t>054-430-8902</t>
        </is>
      </c>
      <c r="E300" t="inlineStr">
        <is>
          <t>054-430-8904</t>
        </is>
      </c>
      <c r="F300" s="3">
        <f>HYPERLINK("http://www.hansoloriontech.co.kr", "http://www.hansoloriontech.co.kr")</f>
        <v/>
      </c>
      <c r="G300" t="inlineStr">
        <is>
          <t>1328151256</t>
        </is>
      </c>
      <c r="H300" t="inlineStr">
        <is>
          <t>1152110047437</t>
        </is>
      </c>
      <c r="I300" t="inlineStr">
        <is>
          <t>대상아님</t>
        </is>
      </c>
      <c r="J300" t="inlineStr">
        <is>
          <t>일반법인</t>
        </is>
      </c>
      <c r="K300" t="inlineStr">
        <is>
          <t>중견기업</t>
        </is>
      </c>
      <c r="L300" t="inlineStr">
        <is>
          <t>외부감사대상</t>
        </is>
      </c>
      <c r="M300" s="6" t="inlineStr">
        <is>
          <t>2003-08-04</t>
        </is>
      </c>
      <c r="N300" t="inlineStr">
        <is>
          <t>KRI:10C3111400</t>
        </is>
      </c>
      <c r="O300" t="inlineStr">
        <is>
          <t>선박 구성 부분품 제조업</t>
        </is>
      </c>
      <c r="P300" t="inlineStr">
        <is>
          <t>선박구성품,전자부품,폐쇄회로텔레비젼 제조/전자부품 도매/부동산 임대</t>
        </is>
      </c>
      <c r="Q300" t="inlineStr">
        <is>
          <t>경북 김천시 아포읍 인리 1242번지</t>
        </is>
      </c>
      <c r="R300" t="inlineStr">
        <is>
          <t>경북 김천시 아포읍 아포공단길 147</t>
        </is>
      </c>
    </row>
    <row r="301" ht="19.2" customHeight="1" s="1">
      <c r="A301" t="inlineStr">
        <is>
          <t>NICE:228084</t>
        </is>
      </c>
      <c r="B301" t="inlineStr">
        <is>
          <t>농업회사법인건양</t>
        </is>
      </c>
      <c r="C301" t="inlineStr">
        <is>
          <t>이건우</t>
        </is>
      </c>
      <c r="D301" t="inlineStr">
        <is>
          <t>054-439-2233</t>
        </is>
      </c>
      <c r="E301" t="inlineStr">
        <is>
          <t>054-439-2267</t>
        </is>
      </c>
      <c r="F301" s="3">
        <f>HYPERLINK("http://www.kyrpc.co.kr", "http://www.kyrpc.co.kr")</f>
        <v/>
      </c>
      <c r="G301" t="inlineStr">
        <is>
          <t>5108111003</t>
        </is>
      </c>
      <c r="H301" t="inlineStr">
        <is>
          <t>1713110008116</t>
        </is>
      </c>
      <c r="I301" t="inlineStr">
        <is>
          <t>대상아님</t>
        </is>
      </c>
      <c r="J301" t="inlineStr">
        <is>
          <t>일반법인</t>
        </is>
      </c>
      <c r="K301" t="inlineStr">
        <is>
          <t>중소기업</t>
        </is>
      </c>
      <c r="L301" t="inlineStr">
        <is>
          <t>외부감사대상</t>
        </is>
      </c>
      <c r="M301" s="6" t="inlineStr">
        <is>
          <t>2001-09-13</t>
        </is>
      </c>
      <c r="N301" t="inlineStr">
        <is>
          <t>KRI:10C1061100</t>
        </is>
      </c>
      <c r="O301" t="inlineStr">
        <is>
          <t>곡물 도정업</t>
        </is>
      </c>
      <c r="P301" t="inlineStr">
        <is>
          <t>곡물가공,쌀겨,왕겨 재배</t>
        </is>
      </c>
      <c r="Q301" t="inlineStr">
        <is>
          <t>경북 김천시 덕곡동 1027-1번지</t>
        </is>
      </c>
      <c r="R301" t="inlineStr">
        <is>
          <t>경북 김천시 아포대로 29</t>
        </is>
      </c>
    </row>
    <row r="302" ht="19.2" customHeight="1" s="1">
      <c r="A302" t="inlineStr">
        <is>
          <t>NICE:231959</t>
        </is>
      </c>
      <c r="B302" t="inlineStr">
        <is>
          <t>엠티에스코리아</t>
        </is>
      </c>
      <c r="C302" t="inlineStr">
        <is>
          <t>김희승</t>
        </is>
      </c>
      <c r="D302" t="inlineStr">
        <is>
          <t>031-728-1600</t>
        </is>
      </c>
      <c r="E302" t="inlineStr">
        <is>
          <t>031-778-8499</t>
        </is>
      </c>
      <c r="F302" s="3">
        <f>HYPERLINK("http://www.mts.com/ko", "http://www.mts.com/ko")</f>
        <v/>
      </c>
      <c r="G302" t="inlineStr">
        <is>
          <t>1208127786</t>
        </is>
      </c>
      <c r="H302" t="inlineStr">
        <is>
          <t>1101110938021</t>
        </is>
      </c>
      <c r="I302" t="inlineStr">
        <is>
          <t>대상아님</t>
        </is>
      </c>
      <c r="J302" t="inlineStr">
        <is>
          <t>일반법인</t>
        </is>
      </c>
      <c r="K302" t="inlineStr">
        <is>
          <t>중소기업</t>
        </is>
      </c>
      <c r="L302" t="inlineStr">
        <is>
          <t>외부감사대상</t>
        </is>
      </c>
      <c r="M302" s="6" t="inlineStr">
        <is>
          <t>1993-04-27</t>
        </is>
      </c>
      <c r="N302" t="inlineStr">
        <is>
          <t>KRI:10M7212900</t>
        </is>
      </c>
      <c r="O302" t="inlineStr">
        <is>
          <t>기타 엔지니어링 서비스업</t>
        </is>
      </c>
      <c r="P302" t="inlineStr">
        <is>
          <t>산업 시스템,토목,기계전기 엔지니어링/무역</t>
        </is>
      </c>
      <c r="Q302" t="inlineStr">
        <is>
          <t>경기 성남시 분당구 수내동 6-5번지 분당예미지빌딩 2층</t>
        </is>
      </c>
      <c r="R302" t="inlineStr">
        <is>
          <t>경기 성남시 분당구 황새울로258번길 31, 2층 (수내동,분당예미지빌딩)</t>
        </is>
      </c>
    </row>
    <row r="303" ht="19.2" customHeight="1" s="1">
      <c r="A303" t="inlineStr">
        <is>
          <t>NICE:232534</t>
        </is>
      </c>
      <c r="B303" t="inlineStr">
        <is>
          <t>은성화학</t>
        </is>
      </c>
      <c r="C303" t="inlineStr">
        <is>
          <t>이경순</t>
        </is>
      </c>
      <c r="D303" t="inlineStr">
        <is>
          <t>031-658-4087</t>
        </is>
      </c>
      <c r="E303" t="inlineStr">
        <is>
          <t>031-658-4035</t>
        </is>
      </c>
      <c r="F303" s="3">
        <f>HYPERLINK("http://www.eunsung-ch.com", "http://www.eunsung-ch.com")</f>
        <v/>
      </c>
      <c r="G303" t="inlineStr">
        <is>
          <t>1248151857</t>
        </is>
      </c>
      <c r="H303" t="inlineStr">
        <is>
          <t>1348110032029</t>
        </is>
      </c>
      <c r="I303" t="inlineStr">
        <is>
          <t>대상아님</t>
        </is>
      </c>
      <c r="J303" t="inlineStr">
        <is>
          <t>일반법인</t>
        </is>
      </c>
      <c r="K303" t="inlineStr">
        <is>
          <t>중소기업</t>
        </is>
      </c>
      <c r="L303" t="inlineStr">
        <is>
          <t>외부감사비대상</t>
        </is>
      </c>
      <c r="M303" s="6" t="inlineStr">
        <is>
          <t>1997-09-08</t>
        </is>
      </c>
      <c r="N303" t="inlineStr">
        <is>
          <t>KRI:10C2917200</t>
        </is>
      </c>
      <c r="O303" t="inlineStr">
        <is>
          <t>공기 조화장치 제조업</t>
        </is>
      </c>
      <c r="P303" t="inlineStr">
        <is>
          <t>환기시스템,공기정화용필터,자동차부품 제조/기계설치공사/공기정화장치필터 유지관리</t>
        </is>
      </c>
      <c r="Q303" t="inlineStr">
        <is>
          <t>경기 안성시 원곡면 성주리 356-6번지</t>
        </is>
      </c>
      <c r="R303" t="inlineStr">
        <is>
          <t>경기 안성시 원곡면 천덕산로 510-27</t>
        </is>
      </c>
    </row>
    <row r="304" ht="19.2" customHeight="1" s="1">
      <c r="A304" t="inlineStr">
        <is>
          <t>NICE:234151</t>
        </is>
      </c>
      <c r="B304" t="inlineStr">
        <is>
          <t>태가</t>
        </is>
      </c>
      <c r="C304" t="inlineStr">
        <is>
          <t>유대선/유동근</t>
        </is>
      </c>
      <c r="D304" t="inlineStr">
        <is>
          <t>031-497-2387</t>
        </is>
      </c>
      <c r="E304" t="inlineStr">
        <is>
          <t>031-498-3014</t>
        </is>
      </c>
      <c r="F304" s="3">
        <f>HYPERLINK("http://www.taega.com", "http://www.taega.com")</f>
        <v/>
      </c>
      <c r="G304" t="inlineStr">
        <is>
          <t>1338123281</t>
        </is>
      </c>
      <c r="H304" t="inlineStr">
        <is>
          <t>1350110041413</t>
        </is>
      </c>
      <c r="I304" t="inlineStr">
        <is>
          <t>대상아님</t>
        </is>
      </c>
      <c r="J304" t="inlineStr">
        <is>
          <t>일반법인</t>
        </is>
      </c>
      <c r="K304" t="inlineStr">
        <is>
          <t>중소기업</t>
        </is>
      </c>
      <c r="L304" t="inlineStr">
        <is>
          <t>외부감사대상</t>
        </is>
      </c>
      <c r="M304" s="6" t="inlineStr">
        <is>
          <t>1994-03-10</t>
        </is>
      </c>
      <c r="N304" t="inlineStr">
        <is>
          <t>KRI:10C2223200</t>
        </is>
      </c>
      <c r="O304" t="inlineStr">
        <is>
          <t>포장용 플라스틱 성형용기 제조업</t>
        </is>
      </c>
      <c r="P304" t="inlineStr">
        <is>
          <t>페트,프라스틱용기,금형 제조</t>
        </is>
      </c>
      <c r="Q304" t="inlineStr">
        <is>
          <t>경기 안산시 단원구 초지동 658-4번지</t>
        </is>
      </c>
      <c r="R304" t="inlineStr">
        <is>
          <t>경기 안산시 단원구 시우로 35</t>
        </is>
      </c>
    </row>
    <row r="305" ht="19.2" customHeight="1" s="1">
      <c r="A305" t="inlineStr">
        <is>
          <t>NICE:234790</t>
        </is>
      </c>
      <c r="B305" t="inlineStr">
        <is>
          <t>피티케이</t>
        </is>
      </c>
      <c r="C305" t="inlineStr">
        <is>
          <t>박기범</t>
        </is>
      </c>
      <c r="D305" t="inlineStr">
        <is>
          <t>031-358-8030</t>
        </is>
      </c>
      <c r="E305" t="inlineStr">
        <is>
          <t>031-358-8035</t>
        </is>
      </c>
      <c r="F305" s="3">
        <f>HYPERLINK("http://www.ptk.co.kr", "http://www.ptk.co.kr")</f>
        <v/>
      </c>
      <c r="G305" t="inlineStr">
        <is>
          <t>5138131196</t>
        </is>
      </c>
      <c r="H305" t="inlineStr">
        <is>
          <t>1760110035061</t>
        </is>
      </c>
      <c r="I305" t="inlineStr">
        <is>
          <t>대상아님</t>
        </is>
      </c>
      <c r="J305" t="inlineStr">
        <is>
          <t>일반법인</t>
        </is>
      </c>
      <c r="K305" t="inlineStr">
        <is>
          <t>중소기업</t>
        </is>
      </c>
      <c r="L305" t="inlineStr">
        <is>
          <t>외부감사대상</t>
        </is>
      </c>
      <c r="M305" s="6" t="inlineStr">
        <is>
          <t>2000-08-01</t>
        </is>
      </c>
      <c r="N305" t="inlineStr">
        <is>
          <t>KRI:10C2512200</t>
        </is>
      </c>
      <c r="O305" t="inlineStr">
        <is>
          <t>금속탱크 및 저장용기 제조업</t>
        </is>
      </c>
      <c r="P305" t="inlineStr">
        <is>
          <t>압력용기,플랜트장치,산업용필터 제조,도소매,무역/부동산 임대</t>
        </is>
      </c>
      <c r="Q305" t="inlineStr">
        <is>
          <t>경기 화성시 만세구 장안면 노진리 946-1번지</t>
        </is>
      </c>
      <c r="R305" t="inlineStr">
        <is>
          <t>경기 화성시 만세구 장안면 포승향남로 940-61</t>
        </is>
      </c>
    </row>
    <row r="306" ht="19.2" customHeight="1" s="1">
      <c r="A306" t="inlineStr">
        <is>
          <t>NICE:235540</t>
        </is>
      </c>
      <c r="B306" t="inlineStr">
        <is>
          <t>성일하이메탈</t>
        </is>
      </c>
      <c r="C306" t="inlineStr">
        <is>
          <t>이기웅/홍승표</t>
        </is>
      </c>
      <c r="D306" t="inlineStr">
        <is>
          <t>063-462-0162</t>
        </is>
      </c>
      <c r="E306" t="inlineStr">
        <is>
          <t>063-466-9203</t>
        </is>
      </c>
      <c r="F306" s="3">
        <f>HYPERLINK("http://www.sungeel.com", "http://www.sungeel.com")</f>
        <v/>
      </c>
      <c r="G306" t="inlineStr">
        <is>
          <t>1378127479</t>
        </is>
      </c>
      <c r="H306" t="inlineStr">
        <is>
          <t>1201110214718</t>
        </is>
      </c>
      <c r="I306" t="inlineStr">
        <is>
          <t>대상아님</t>
        </is>
      </c>
      <c r="J306" t="inlineStr">
        <is>
          <t>일반법인</t>
        </is>
      </c>
      <c r="K306" t="inlineStr">
        <is>
          <t>중견기업</t>
        </is>
      </c>
      <c r="L306" t="inlineStr">
        <is>
          <t>외부감사대상</t>
        </is>
      </c>
      <c r="M306" s="6" t="inlineStr">
        <is>
          <t>2000-02-21</t>
        </is>
      </c>
      <c r="N306" t="inlineStr">
        <is>
          <t>KRI:10E3831200</t>
        </is>
      </c>
      <c r="O306" t="inlineStr">
        <is>
          <t>금속류 원료 재생업</t>
        </is>
      </c>
      <c r="P306" t="inlineStr">
        <is>
          <t>비철금속제련(폐기물재활용)</t>
        </is>
      </c>
      <c r="Q306" t="inlineStr">
        <is>
          <t>전북 군산시 비응도동 30-2번지</t>
        </is>
      </c>
      <c r="R306" t="inlineStr">
        <is>
          <t>전북 군산시 군산산단로 143-15</t>
        </is>
      </c>
    </row>
    <row r="307" ht="19.2" customHeight="1" s="1">
      <c r="A307" t="inlineStr">
        <is>
          <t>NICE:236921</t>
        </is>
      </c>
      <c r="B307" t="inlineStr">
        <is>
          <t>성덕중공업</t>
        </is>
      </c>
      <c r="C307" t="inlineStr">
        <is>
          <t>손성기</t>
        </is>
      </c>
      <c r="D307" t="inlineStr">
        <is>
          <t>055-342-5215</t>
        </is>
      </c>
      <c r="E307" t="inlineStr">
        <is>
          <t>055-342-5206</t>
        </is>
      </c>
      <c r="F307" s="3">
        <f>HYPERLINK("http://www.sungduk.kr/", "http://www.sungduk.kr/")</f>
        <v/>
      </c>
      <c r="G307" t="inlineStr">
        <is>
          <t>6158127964</t>
        </is>
      </c>
      <c r="H307" t="inlineStr">
        <is>
          <t>1955110058440</t>
        </is>
      </c>
      <c r="I307" t="inlineStr">
        <is>
          <t>대상아님</t>
        </is>
      </c>
      <c r="J307" t="inlineStr">
        <is>
          <t>일반법인</t>
        </is>
      </c>
      <c r="K307" t="inlineStr">
        <is>
          <t>중소기업</t>
        </is>
      </c>
      <c r="L307" t="inlineStr">
        <is>
          <t>외부감사대상</t>
        </is>
      </c>
      <c r="M307" s="6" t="inlineStr">
        <is>
          <t>2002-08-16</t>
        </is>
      </c>
      <c r="N307" t="inlineStr">
        <is>
          <t>KRI:10C3111400</t>
        </is>
      </c>
      <c r="O307" t="inlineStr">
        <is>
          <t>선박 구성 부분품 제조업</t>
        </is>
      </c>
      <c r="P307" t="inlineStr">
        <is>
          <t>조선기자재 제조</t>
        </is>
      </c>
      <c r="Q307" t="inlineStr">
        <is>
          <t>경남 김해시 한림면 퇴래리 83-3번지</t>
        </is>
      </c>
      <c r="R307" t="inlineStr">
        <is>
          <t>경남 김해시 한림면 김해대로927번길 274</t>
        </is>
      </c>
    </row>
    <row r="308">
      <c r="A308" t="inlineStr">
        <is>
          <t>NICE:237091</t>
        </is>
      </c>
      <c r="B308" t="inlineStr">
        <is>
          <t>폴리피아</t>
        </is>
      </c>
      <c r="C308" t="inlineStr">
        <is>
          <t>장세훈/전인기</t>
        </is>
      </c>
      <c r="D308" t="inlineStr">
        <is>
          <t>041-363-9508</t>
        </is>
      </c>
      <c r="E308" t="inlineStr">
        <is>
          <t>041-363-9510</t>
        </is>
      </c>
      <c r="G308" t="inlineStr">
        <is>
          <t>3118114043</t>
        </is>
      </c>
      <c r="H308" t="inlineStr">
        <is>
          <t>1650110006958</t>
        </is>
      </c>
      <c r="I308" t="inlineStr">
        <is>
          <t>대상아님</t>
        </is>
      </c>
      <c r="J308" t="inlineStr">
        <is>
          <t>일반법인</t>
        </is>
      </c>
      <c r="K308" t="inlineStr">
        <is>
          <t>중소기업</t>
        </is>
      </c>
      <c r="L308" t="inlineStr">
        <is>
          <t>외부감사대상</t>
        </is>
      </c>
      <c r="M308" s="6" t="inlineStr">
        <is>
          <t>2000-04-01</t>
        </is>
      </c>
      <c r="N308" t="inlineStr">
        <is>
          <t>KRI:10C2020200</t>
        </is>
      </c>
      <c r="O308" t="inlineStr">
        <is>
          <t>합성수지 및 기타 플라스틱 물질 제조업</t>
        </is>
      </c>
      <c r="P308" t="inlineStr">
        <is>
          <t>합성수지 제조,도소매/산업용재화 무역</t>
        </is>
      </c>
      <c r="Q308" t="inlineStr">
        <is>
          <t>충남 당진시 신평면 신흥리 42-11번지</t>
        </is>
      </c>
      <c r="R308" t="inlineStr">
        <is>
          <t>충남 당진시 신평면 원신당로 171</t>
        </is>
      </c>
    </row>
    <row r="309">
      <c r="A309" t="inlineStr">
        <is>
          <t>NICE:237481</t>
        </is>
      </c>
      <c r="B309" t="inlineStr">
        <is>
          <t>거상자원</t>
        </is>
      </c>
      <c r="C309" t="inlineStr">
        <is>
          <t>홍기영/홍창완</t>
        </is>
      </c>
      <c r="D309" t="inlineStr">
        <is>
          <t>031-905-6126</t>
        </is>
      </c>
      <c r="E309" t="inlineStr">
        <is>
          <t>031-905-6120</t>
        </is>
      </c>
      <c r="G309" t="inlineStr">
        <is>
          <t>1288135150</t>
        </is>
      </c>
      <c r="H309" t="inlineStr">
        <is>
          <t>1159110019458</t>
        </is>
      </c>
      <c r="I309" t="inlineStr">
        <is>
          <t>대상아님</t>
        </is>
      </c>
      <c r="J309" t="inlineStr">
        <is>
          <t>일반법인</t>
        </is>
      </c>
      <c r="K309" t="inlineStr">
        <is>
          <t>중소기업</t>
        </is>
      </c>
      <c r="L309" t="inlineStr">
        <is>
          <t>외부감사대상</t>
        </is>
      </c>
      <c r="M309" s="6" t="inlineStr">
        <is>
          <t>1998-08-07</t>
        </is>
      </c>
      <c r="N309" t="inlineStr">
        <is>
          <t>KRI:10G4679100</t>
        </is>
      </c>
      <c r="O309" t="inlineStr">
        <is>
          <t>재생용 재료 수집 및 판매업</t>
        </is>
      </c>
      <c r="P309" t="inlineStr">
        <is>
          <t>파지 도소매/재생재료 제조/부동산 임대,매매/폐기물 수집,운반</t>
        </is>
      </c>
      <c r="Q309" t="inlineStr">
        <is>
          <t>경기 고양시 일산동구 장항동 544-8번지</t>
        </is>
      </c>
      <c r="R309" t="inlineStr">
        <is>
          <t>경기 고양시 일산동구 장대길 160-10</t>
        </is>
      </c>
    </row>
    <row r="310" ht="19.2" customHeight="1" s="1">
      <c r="A310" t="inlineStr">
        <is>
          <t>NICE:239664</t>
        </is>
      </c>
      <c r="B310" t="inlineStr">
        <is>
          <t>엔씨엠</t>
        </is>
      </c>
      <c r="C310" t="inlineStr">
        <is>
          <t>김형중</t>
        </is>
      </c>
      <c r="D310" t="inlineStr">
        <is>
          <t>031-419-4070</t>
        </is>
      </c>
      <c r="E310" t="inlineStr">
        <is>
          <t>031-419-4072</t>
        </is>
      </c>
      <c r="F310" s="3">
        <f>HYPERLINK("http://ncmpro.co.kr", "http://ncmpro.co.kr")</f>
        <v/>
      </c>
      <c r="G310" t="inlineStr">
        <is>
          <t>1238183394</t>
        </is>
      </c>
      <c r="H310" t="inlineStr">
        <is>
          <t>1341110101456</t>
        </is>
      </c>
      <c r="I310" t="inlineStr">
        <is>
          <t>대상아님</t>
        </is>
      </c>
      <c r="J310" t="inlineStr">
        <is>
          <t>일반법인</t>
        </is>
      </c>
      <c r="K310" t="inlineStr">
        <is>
          <t>중소기업</t>
        </is>
      </c>
      <c r="L310" t="inlineStr">
        <is>
          <t>외부감사대상</t>
        </is>
      </c>
      <c r="M310" s="6" t="inlineStr">
        <is>
          <t>2002-09-03</t>
        </is>
      </c>
      <c r="N310" t="inlineStr">
        <is>
          <t>KRI:10C2851900</t>
        </is>
      </c>
      <c r="O310" t="inlineStr">
        <is>
          <t>기타 가정용 전기기기 제조업</t>
        </is>
      </c>
      <c r="P310" t="inlineStr">
        <is>
          <t>가정용전기기기 제조</t>
        </is>
      </c>
      <c r="Q310" t="inlineStr">
        <is>
          <t>경기 안산시 상록구 사사동 119-86번지</t>
        </is>
      </c>
      <c r="R310" t="inlineStr">
        <is>
          <t>경기 안산시 상록구 안산테콤1길 9</t>
        </is>
      </c>
    </row>
    <row r="311" ht="19.2" customHeight="1" s="1">
      <c r="A311" t="inlineStr">
        <is>
          <t>NICE:242371</t>
        </is>
      </c>
      <c r="B311" t="inlineStr">
        <is>
          <t>새해성</t>
        </is>
      </c>
      <c r="C311" t="inlineStr">
        <is>
          <t>허인태</t>
        </is>
      </c>
      <c r="D311" t="inlineStr">
        <is>
          <t>054-971-9194</t>
        </is>
      </c>
      <c r="E311" t="inlineStr">
        <is>
          <t>054-971-9198</t>
        </is>
      </c>
      <c r="F311" s="3">
        <f>HYPERLINK("http://www.saehaesung.co.kr", "http://www.saehaesung.co.kr")</f>
        <v/>
      </c>
      <c r="G311" t="inlineStr">
        <is>
          <t>5038135201</t>
        </is>
      </c>
      <c r="H311" t="inlineStr">
        <is>
          <t>1750110003275</t>
        </is>
      </c>
      <c r="I311" t="inlineStr">
        <is>
          <t>대상아님</t>
        </is>
      </c>
      <c r="J311" t="inlineStr">
        <is>
          <t>일반법인</t>
        </is>
      </c>
      <c r="K311" t="inlineStr">
        <is>
          <t>중소기업</t>
        </is>
      </c>
      <c r="L311" t="inlineStr">
        <is>
          <t>외부감사대상</t>
        </is>
      </c>
      <c r="M311" s="6" t="inlineStr">
        <is>
          <t>1997-09-12</t>
        </is>
      </c>
      <c r="N311" t="inlineStr">
        <is>
          <t>KRI:10C3032000</t>
        </is>
      </c>
      <c r="O311" t="inlineStr">
        <is>
          <t>자동차 차체용 신품 부품 제조업</t>
        </is>
      </c>
      <c r="P311" t="inlineStr">
        <is>
          <t>자동차부품,금형 제조</t>
        </is>
      </c>
      <c r="Q311" t="inlineStr">
        <is>
          <t>경북 칠곡군 왜관읍 낙산리 647-1번지</t>
        </is>
      </c>
      <c r="R311" t="inlineStr">
        <is>
          <t>경북 칠곡군 왜관읍 2산업단지2길 222</t>
        </is>
      </c>
    </row>
    <row r="312" ht="19.2" customHeight="1" s="1">
      <c r="A312" t="inlineStr">
        <is>
          <t>NICE:243299</t>
        </is>
      </c>
      <c r="B312" t="inlineStr">
        <is>
          <t>대우선재</t>
        </is>
      </c>
      <c r="C312" t="inlineStr">
        <is>
          <t>신설아/신현구</t>
        </is>
      </c>
      <c r="D312" t="inlineStr">
        <is>
          <t>043-845-6661</t>
        </is>
      </c>
      <c r="E312" t="inlineStr">
        <is>
          <t>043-845-6670</t>
        </is>
      </c>
      <c r="F312" s="3">
        <f>HYPERLINK("http://daewoosteelwire.co.kr", "http://daewoosteelwire.co.kr")</f>
        <v/>
      </c>
      <c r="G312" t="inlineStr">
        <is>
          <t>1278157772</t>
        </is>
      </c>
      <c r="H312" t="inlineStr">
        <is>
          <t>1101110531784</t>
        </is>
      </c>
      <c r="I312" t="inlineStr">
        <is>
          <t>대상아님</t>
        </is>
      </c>
      <c r="J312" t="inlineStr">
        <is>
          <t>일반법인</t>
        </is>
      </c>
      <c r="K312" t="inlineStr">
        <is>
          <t>중소기업</t>
        </is>
      </c>
      <c r="L312" t="inlineStr">
        <is>
          <t>외부감사대상</t>
        </is>
      </c>
      <c r="M312" s="6" t="inlineStr">
        <is>
          <t>1987-05-26</t>
        </is>
      </c>
      <c r="N312" t="inlineStr">
        <is>
          <t>KRI:10C2412300</t>
        </is>
      </c>
      <c r="O312" t="inlineStr">
        <is>
          <t>철강선 제조업</t>
        </is>
      </c>
      <c r="P312" t="inlineStr">
        <is>
          <t>철선 제조,도소매</t>
        </is>
      </c>
      <c r="Q312" t="inlineStr">
        <is>
          <t>충북 충주시 주덕읍 당우리 1513번지</t>
        </is>
      </c>
      <c r="R312" t="inlineStr">
        <is>
          <t>충북 충주시 주덕읍 중원산업로 129</t>
        </is>
      </c>
    </row>
    <row r="313" ht="19.2" customHeight="1" s="1">
      <c r="A313" t="inlineStr">
        <is>
          <t>NICE:243496</t>
        </is>
      </c>
      <c r="B313" t="inlineStr">
        <is>
          <t>베리콤</t>
        </is>
      </c>
      <c r="C313" t="inlineStr">
        <is>
          <t>김윤기</t>
        </is>
      </c>
      <c r="D313" t="inlineStr">
        <is>
          <t>033-254-2881</t>
        </is>
      </c>
      <c r="E313" t="inlineStr">
        <is>
          <t>033-254-2883</t>
        </is>
      </c>
      <c r="F313" s="3">
        <f>HYPERLINK("http://www.vericom.co.kr", "http://www.vericom.co.kr")</f>
        <v/>
      </c>
      <c r="G313" t="inlineStr">
        <is>
          <t>1288133093</t>
        </is>
      </c>
      <c r="H313" t="inlineStr">
        <is>
          <t>1159110018377</t>
        </is>
      </c>
      <c r="I313" t="inlineStr">
        <is>
          <t>대상아님</t>
        </is>
      </c>
      <c r="J313" t="inlineStr">
        <is>
          <t>일반법인</t>
        </is>
      </c>
      <c r="K313" t="inlineStr">
        <is>
          <t>중소기업</t>
        </is>
      </c>
      <c r="L313" t="inlineStr">
        <is>
          <t>외부감사대상</t>
        </is>
      </c>
      <c r="M313" s="6" t="inlineStr">
        <is>
          <t>1998-03-11</t>
        </is>
      </c>
      <c r="N313" t="inlineStr">
        <is>
          <t>KRI:10C2719100</t>
        </is>
      </c>
      <c r="O313" t="inlineStr">
        <is>
          <t>치과용 기기 제조업</t>
        </is>
      </c>
      <c r="P313" t="inlineStr">
        <is>
          <t>치과용의료용구,의약품 제조/의약품 도소매,전자상거래</t>
        </is>
      </c>
      <c r="Q313" t="inlineStr">
        <is>
          <t>강원 춘천시 퇴계동 861-8번지</t>
        </is>
      </c>
      <c r="R313" t="inlineStr">
        <is>
          <t>강원 춘천시 퇴계공단1길 48</t>
        </is>
      </c>
    </row>
    <row r="314" ht="19.2" customHeight="1" s="1">
      <c r="A314" t="inlineStr">
        <is>
          <t>NICE:243537</t>
        </is>
      </c>
      <c r="B314" t="inlineStr">
        <is>
          <t>비에스지파트너스</t>
        </is>
      </c>
      <c r="C314" t="inlineStr">
        <is>
          <t>박철욱</t>
        </is>
      </c>
      <c r="D314" t="inlineStr">
        <is>
          <t>02-6730-3200</t>
        </is>
      </c>
      <c r="E314" t="inlineStr">
        <is>
          <t>02-771-7236</t>
        </is>
      </c>
      <c r="F314" s="3">
        <f>HYPERLINK("http://www.bsgglobal.com", "http://www.bsgglobal.com")</f>
        <v/>
      </c>
      <c r="G314" t="inlineStr">
        <is>
          <t>2018122611</t>
        </is>
      </c>
      <c r="H314" t="inlineStr">
        <is>
          <t>1101112032053</t>
        </is>
      </c>
      <c r="I314" t="inlineStr">
        <is>
          <t>대상아님</t>
        </is>
      </c>
      <c r="J314" t="inlineStr">
        <is>
          <t>일반법인</t>
        </is>
      </c>
      <c r="K314" t="inlineStr">
        <is>
          <t>대기업</t>
        </is>
      </c>
      <c r="L314" t="inlineStr">
        <is>
          <t>외부감사대상</t>
        </is>
      </c>
      <c r="M314" s="6" t="inlineStr">
        <is>
          <t>2000-07-21</t>
        </is>
      </c>
      <c r="N314" t="inlineStr">
        <is>
          <t>KRI:10J5822200</t>
        </is>
      </c>
      <c r="O314" t="inlineStr">
        <is>
          <t>응용 소프트웨어 개발 및 공급업</t>
        </is>
      </c>
      <c r="P314" t="inlineStr">
        <is>
          <t>소프트웨어 개발,공급,자문/부동산 임대/인력 개발,공급,파견</t>
        </is>
      </c>
      <c r="Q314" t="inlineStr">
        <is>
          <t>서울 강남구 역삼동 739-3번지 비에스지빌딩</t>
        </is>
      </c>
      <c r="R314" t="inlineStr">
        <is>
          <t>서울 강남구 논현로85길 21 (역삼동,비에스지빌딩)</t>
        </is>
      </c>
    </row>
    <row r="315" ht="19.2" customHeight="1" s="1">
      <c r="A315" t="inlineStr">
        <is>
          <t>NICE:244465</t>
        </is>
      </c>
      <c r="B315" t="inlineStr">
        <is>
          <t>한국지역난방기술</t>
        </is>
      </c>
      <c r="C315" t="inlineStr">
        <is>
          <t>신훈식</t>
        </is>
      </c>
      <c r="D315" t="inlineStr">
        <is>
          <t>02-3399-6201</t>
        </is>
      </c>
      <c r="E315" t="inlineStr">
        <is>
          <t>02-3399-6462</t>
        </is>
      </c>
      <c r="F315" s="3">
        <f>HYPERLINK("http://www.kdhec.com", "http://www.kdhec.com")</f>
        <v/>
      </c>
      <c r="G315" t="inlineStr">
        <is>
          <t>1298111485</t>
        </is>
      </c>
      <c r="H315" t="inlineStr">
        <is>
          <t>1101110813942</t>
        </is>
      </c>
      <c r="I315" t="inlineStr">
        <is>
          <t>대상아님</t>
        </is>
      </c>
      <c r="J315" t="inlineStr">
        <is>
          <t>일반법인</t>
        </is>
      </c>
      <c r="K315" t="inlineStr">
        <is>
          <t>중견기업</t>
        </is>
      </c>
      <c r="L315" t="inlineStr">
        <is>
          <t>외부감사대상</t>
        </is>
      </c>
      <c r="M315" s="6" t="inlineStr">
        <is>
          <t>1991-11-01</t>
        </is>
      </c>
      <c r="N315" t="inlineStr">
        <is>
          <t>KRI:10M7212900</t>
        </is>
      </c>
      <c r="O315" t="inlineStr">
        <is>
          <t>기타 엔지니어링 서비스업</t>
        </is>
      </c>
      <c r="P315" t="inlineStr">
        <is>
          <t>엔지니어링</t>
        </is>
      </c>
      <c r="Q315" t="inlineStr">
        <is>
          <t>서울 송파구 문정동 641-3번지 소노타워 10층,11층</t>
        </is>
      </c>
      <c r="R315" t="inlineStr">
        <is>
          <t>서울 송파구 법원로 135, 10층,11층 (문정동,소노타워)</t>
        </is>
      </c>
    </row>
    <row r="316" ht="19.2" customHeight="1" s="1">
      <c r="A316" t="inlineStr">
        <is>
          <t>NICE:245030</t>
        </is>
      </c>
      <c r="B316" t="inlineStr">
        <is>
          <t>군산레져산업</t>
        </is>
      </c>
      <c r="C316" t="inlineStr">
        <is>
          <t>김강학/김강호</t>
        </is>
      </c>
      <c r="D316" t="inlineStr">
        <is>
          <t>063-472-3300</t>
        </is>
      </c>
      <c r="E316" t="inlineStr">
        <is>
          <t>063-472-3333</t>
        </is>
      </c>
      <c r="F316" s="3">
        <f>HYPERLINK("http://www.gunsancc.net", "http://www.gunsancc.net")</f>
        <v/>
      </c>
      <c r="G316" t="inlineStr">
        <is>
          <t>4018123409</t>
        </is>
      </c>
      <c r="H316" t="inlineStr">
        <is>
          <t>2111110016156</t>
        </is>
      </c>
      <c r="I316" t="inlineStr">
        <is>
          <t>대상아님</t>
        </is>
      </c>
      <c r="J316" t="inlineStr">
        <is>
          <t>일반법인</t>
        </is>
      </c>
      <c r="K316" t="inlineStr">
        <is>
          <t>중소기업</t>
        </is>
      </c>
      <c r="L316" t="inlineStr">
        <is>
          <t>외부감사대상</t>
        </is>
      </c>
      <c r="M316" s="6" t="inlineStr">
        <is>
          <t>2003-02-06</t>
        </is>
      </c>
      <c r="N316" t="inlineStr">
        <is>
          <t>KRI:10R9112100</t>
        </is>
      </c>
      <c r="O316" t="inlineStr">
        <is>
          <t>골프장 운영업</t>
        </is>
      </c>
      <c r="P316" t="inlineStr">
        <is>
          <t>골프장 운영</t>
        </is>
      </c>
      <c r="Q316" t="inlineStr">
        <is>
          <t>전북 군산시 옥서면 옥봉리 1727-1번지</t>
        </is>
      </c>
      <c r="R316" t="inlineStr">
        <is>
          <t>전북 군산시 옥서면 남군산로 1911-7</t>
        </is>
      </c>
    </row>
    <row r="317" ht="19.2" customHeight="1" s="1">
      <c r="A317" t="inlineStr">
        <is>
          <t>NICE:245541</t>
        </is>
      </c>
      <c r="B317" t="inlineStr">
        <is>
          <t>시민장례식장</t>
        </is>
      </c>
      <c r="C317" t="inlineStr">
        <is>
          <t>김원숙/문성훈</t>
        </is>
      </c>
      <c r="D317" t="inlineStr">
        <is>
          <t>051-668-6817</t>
        </is>
      </c>
      <c r="E317" t="inlineStr">
        <is>
          <t>051-668-6818</t>
        </is>
      </c>
      <c r="F317" s="3">
        <f>HYPERLINK("http://www.siminf.co.kr", "http://www.siminf.co.kr")</f>
        <v/>
      </c>
      <c r="G317" t="inlineStr">
        <is>
          <t>6058162004</t>
        </is>
      </c>
      <c r="H317" t="inlineStr">
        <is>
          <t>1801110458497</t>
        </is>
      </c>
      <c r="I317" t="inlineStr">
        <is>
          <t>대상아님</t>
        </is>
      </c>
      <c r="J317" t="inlineStr">
        <is>
          <t>일반법인</t>
        </is>
      </c>
      <c r="K317" t="inlineStr">
        <is>
          <t>중소기업</t>
        </is>
      </c>
      <c r="L317" t="inlineStr">
        <is>
          <t>외부감사대상</t>
        </is>
      </c>
      <c r="M317" s="6" t="inlineStr">
        <is>
          <t>2003-08-14</t>
        </is>
      </c>
      <c r="N317" t="inlineStr">
        <is>
          <t>KRI:10S9692100</t>
        </is>
      </c>
      <c r="O317" t="inlineStr">
        <is>
          <t>장례식장 및 장의관련 서비스업</t>
        </is>
      </c>
      <c r="P317" t="inlineStr">
        <is>
          <t>장례,주차장/구내매점/한식 음식점/부동산 임대</t>
        </is>
      </c>
      <c r="Q317" t="inlineStr">
        <is>
          <t>부산 부산진구 범천동 839-19번지</t>
        </is>
      </c>
      <c r="R317" t="inlineStr">
        <is>
          <t>부산 부산진구 자유평화로 31</t>
        </is>
      </c>
    </row>
    <row r="318" ht="19.2" customHeight="1" s="1">
      <c r="A318" t="inlineStr">
        <is>
          <t>NICE:245937</t>
        </is>
      </c>
      <c r="B318" t="inlineStr">
        <is>
          <t>전오</t>
        </is>
      </c>
      <c r="C318" t="inlineStr">
        <is>
          <t>오석춘</t>
        </is>
      </c>
      <c r="D318" t="inlineStr">
        <is>
          <t>031-998-8523</t>
        </is>
      </c>
      <c r="E318" t="inlineStr">
        <is>
          <t>031-998-8524</t>
        </is>
      </c>
      <c r="F318" s="3">
        <f>HYPERLINK("http://www.jeono.com", "http://www.jeono.com")</f>
        <v/>
      </c>
      <c r="G318" t="inlineStr">
        <is>
          <t>1308162489</t>
        </is>
      </c>
      <c r="H318" t="inlineStr">
        <is>
          <t>1211110070052</t>
        </is>
      </c>
      <c r="I318" t="inlineStr">
        <is>
          <t>대상아님</t>
        </is>
      </c>
      <c r="J318" t="inlineStr">
        <is>
          <t>일반법인</t>
        </is>
      </c>
      <c r="K318" t="inlineStr">
        <is>
          <t>중소기업</t>
        </is>
      </c>
      <c r="L318" t="inlineStr">
        <is>
          <t>외부감사대상</t>
        </is>
      </c>
      <c r="M318" s="6" t="inlineStr">
        <is>
          <t>1999-10-01</t>
        </is>
      </c>
      <c r="N318" t="inlineStr">
        <is>
          <t>KRI:10C2629900</t>
        </is>
      </c>
      <c r="O318" t="inlineStr">
        <is>
          <t>그 외 기타 전자부품 제조업</t>
        </is>
      </c>
      <c r="P318" t="inlineStr">
        <is>
          <t>압착단자,커넥터,전기부품 제조,도매</t>
        </is>
      </c>
      <c r="Q318" t="inlineStr">
        <is>
          <t>경기 김포시 통진읍 귀전리 36번지</t>
        </is>
      </c>
      <c r="R318" t="inlineStr">
        <is>
          <t>경기 김포시 통진읍 애기봉로 641</t>
        </is>
      </c>
    </row>
    <row r="319">
      <c r="A319" t="inlineStr">
        <is>
          <t>NICE:246646</t>
        </is>
      </c>
      <c r="B319" t="inlineStr">
        <is>
          <t>경남씨엔에스</t>
        </is>
      </c>
      <c r="C319" t="inlineStr">
        <is>
          <t>김용환</t>
        </is>
      </c>
      <c r="D319" t="inlineStr">
        <is>
          <t>032-672-7420</t>
        </is>
      </c>
      <c r="E319" t="inlineStr">
        <is>
          <t>032-671-1510</t>
        </is>
      </c>
      <c r="G319" t="inlineStr">
        <is>
          <t>1308141048</t>
        </is>
      </c>
      <c r="H319" t="inlineStr">
        <is>
          <t>1243110034704</t>
        </is>
      </c>
      <c r="I319" t="inlineStr">
        <is>
          <t>대상아님</t>
        </is>
      </c>
      <c r="J319" t="inlineStr">
        <is>
          <t>일반법인</t>
        </is>
      </c>
      <c r="K319" t="inlineStr">
        <is>
          <t>중소기업</t>
        </is>
      </c>
      <c r="L319" t="inlineStr">
        <is>
          <t>외부감사비대상</t>
        </is>
      </c>
      <c r="M319" s="6" t="inlineStr">
        <is>
          <t>1992-03-04</t>
        </is>
      </c>
      <c r="N319" t="inlineStr">
        <is>
          <t>KRI:10C2511100</t>
        </is>
      </c>
      <c r="O319" t="inlineStr">
        <is>
          <t>금속 문, 창, 셔터 및 관련제품 제조업</t>
        </is>
      </c>
      <c r="P319" t="inlineStr">
        <is>
          <t>방화문,창호,철구조물 제조,건설,도매/소방자재 제조/주택 매매,임대</t>
        </is>
      </c>
      <c r="Q319" t="inlineStr">
        <is>
          <t>경기 부천시 원미구 도당동 187-7번지 부천대우테크노파크 B동 1208호</t>
        </is>
      </c>
      <c r="R319" t="inlineStr">
        <is>
          <t>경기 부천시 원미구 도약로 261, B동 1208호 (도당동,부천대우테크노파크)</t>
        </is>
      </c>
    </row>
    <row r="320" ht="19.2" customHeight="1" s="1">
      <c r="A320" t="inlineStr">
        <is>
          <t>NICE:246847</t>
        </is>
      </c>
      <c r="B320" t="inlineStr">
        <is>
          <t>주인정보시스템</t>
        </is>
      </c>
      <c r="C320" t="inlineStr">
        <is>
          <t>김근호</t>
        </is>
      </c>
      <c r="D320" t="inlineStr">
        <is>
          <t>02-554-3271</t>
        </is>
      </c>
      <c r="E320" t="inlineStr">
        <is>
          <t>02-554-3273</t>
        </is>
      </c>
      <c r="F320" s="3">
        <f>HYPERLINK("http://www.jisystem.com", "http://www.jisystem.com")</f>
        <v/>
      </c>
      <c r="G320" t="inlineStr">
        <is>
          <t>2208658565</t>
        </is>
      </c>
      <c r="H320" t="inlineStr">
        <is>
          <t>1101112723876</t>
        </is>
      </c>
      <c r="I320" t="inlineStr">
        <is>
          <t>대상아님</t>
        </is>
      </c>
      <c r="J320" t="inlineStr">
        <is>
          <t>일반법인</t>
        </is>
      </c>
      <c r="K320" t="inlineStr">
        <is>
          <t>중소기업</t>
        </is>
      </c>
      <c r="L320" t="inlineStr">
        <is>
          <t>외부감사대상</t>
        </is>
      </c>
      <c r="M320" s="6" t="inlineStr">
        <is>
          <t>2003-02-24</t>
        </is>
      </c>
      <c r="N320" t="inlineStr">
        <is>
          <t>KRI:10J5822200</t>
        </is>
      </c>
      <c r="O320" t="inlineStr">
        <is>
          <t>응용 소프트웨어 개발 및 공급업</t>
        </is>
      </c>
      <c r="P320" t="inlineStr">
        <is>
          <t>소프트웨어(자동제어반,계장제어장치,통합감시제어) 개발,판매,유지보수</t>
        </is>
      </c>
      <c r="Q320" t="inlineStr">
        <is>
          <t>서울 강남구 역삼동 659-26번지 주인빌딩</t>
        </is>
      </c>
      <c r="R320" t="inlineStr">
        <is>
          <t>서울 강남구 논현로102길 7 (역삼동,주인빌딩)</t>
        </is>
      </c>
    </row>
    <row r="321" ht="19.2" customHeight="1" s="1">
      <c r="A321" t="inlineStr">
        <is>
          <t>NICE:246883</t>
        </is>
      </c>
      <c r="B321" t="inlineStr">
        <is>
          <t>세종파마텍</t>
        </is>
      </c>
      <c r="C321" t="inlineStr">
        <is>
          <t>이상호</t>
        </is>
      </c>
      <c r="D321" t="inlineStr">
        <is>
          <t>032-508-1280</t>
        </is>
      </c>
      <c r="E321" t="inlineStr">
        <is>
          <t>032-508-1288</t>
        </is>
      </c>
      <c r="F321" s="3">
        <f>HYPERLINK("http://www.sjpmt.com", "http://www.sjpmt.com")</f>
        <v/>
      </c>
      <c r="G321" t="inlineStr">
        <is>
          <t>1308142445</t>
        </is>
      </c>
      <c r="H321" t="inlineStr">
        <is>
          <t>1243110038227</t>
        </is>
      </c>
      <c r="I321" t="inlineStr">
        <is>
          <t>대상아님</t>
        </is>
      </c>
      <c r="J321" t="inlineStr">
        <is>
          <t>일반법인</t>
        </is>
      </c>
      <c r="K321" t="inlineStr">
        <is>
          <t>중소기업</t>
        </is>
      </c>
      <c r="L321" t="inlineStr">
        <is>
          <t>외부감사대상</t>
        </is>
      </c>
      <c r="M321" s="6" t="inlineStr">
        <is>
          <t>1989-04-01</t>
        </is>
      </c>
      <c r="N321" t="inlineStr">
        <is>
          <t>KRI:10C2929900</t>
        </is>
      </c>
      <c r="O321" t="inlineStr">
        <is>
          <t>그 외 기타 특수목적용 기계 제조업</t>
        </is>
      </c>
      <c r="P321" t="inlineStr">
        <is>
          <t>기계,장비 제조/부동산 임대</t>
        </is>
      </c>
      <c r="Q321" t="inlineStr">
        <is>
          <t>인천 계양구 서운동 211번지</t>
        </is>
      </c>
      <c r="R321" t="inlineStr">
        <is>
          <t>인천 계양구 서운산단로 54</t>
        </is>
      </c>
    </row>
    <row r="322" ht="19.2" customHeight="1" s="1">
      <c r="A322" t="inlineStr">
        <is>
          <t>NICE:253600</t>
        </is>
      </c>
      <c r="B322" t="inlineStr">
        <is>
          <t>성보잉크</t>
        </is>
      </c>
      <c r="C322" t="inlineStr">
        <is>
          <t>이진택</t>
        </is>
      </c>
      <c r="D322" t="inlineStr">
        <is>
          <t>031-432-7521</t>
        </is>
      </c>
      <c r="E322" t="inlineStr">
        <is>
          <t>031-432-7526</t>
        </is>
      </c>
      <c r="F322" s="3">
        <f>HYPERLINK("http://www.sungboink.co.kr", "http://www.sungboink.co.kr")</f>
        <v/>
      </c>
      <c r="G322" t="inlineStr">
        <is>
          <t>1368101495</t>
        </is>
      </c>
      <c r="H322" t="inlineStr">
        <is>
          <t>1244110008038</t>
        </is>
      </c>
      <c r="I322" t="inlineStr">
        <is>
          <t>대상아님</t>
        </is>
      </c>
      <c r="J322" t="inlineStr">
        <is>
          <t>일반법인</t>
        </is>
      </c>
      <c r="K322" t="inlineStr">
        <is>
          <t>중소기업</t>
        </is>
      </c>
      <c r="L322" t="inlineStr">
        <is>
          <t>외부감사대상</t>
        </is>
      </c>
      <c r="M322" s="6" t="inlineStr">
        <is>
          <t>1978-03-01</t>
        </is>
      </c>
      <c r="N322" t="inlineStr">
        <is>
          <t>KRI:10C2041300</t>
        </is>
      </c>
      <c r="O322" t="inlineStr">
        <is>
          <t>인쇄잉크 및 회화용 물감 제조업</t>
        </is>
      </c>
      <c r="P322" t="inlineStr">
        <is>
          <t>그라비아인쇄용잉크 제조/부동산 임대</t>
        </is>
      </c>
      <c r="Q322" t="inlineStr">
        <is>
          <t>경기 시흥시 정왕동 1252-2번지</t>
        </is>
      </c>
      <c r="R322" t="inlineStr">
        <is>
          <t>경기 시흥시 옥구천서로 203</t>
        </is>
      </c>
    </row>
    <row r="323" ht="19.2" customHeight="1" s="1">
      <c r="A323" t="inlineStr">
        <is>
          <t>NICE:253898</t>
        </is>
      </c>
      <c r="B323" t="inlineStr">
        <is>
          <t>오토젠</t>
        </is>
      </c>
      <c r="C323" t="inlineStr">
        <is>
          <t>이연배/조홍신</t>
        </is>
      </c>
      <c r="D323" t="inlineStr">
        <is>
          <t>031-496-7500</t>
        </is>
      </c>
      <c r="E323" t="inlineStr">
        <is>
          <t>031-498-7626</t>
        </is>
      </c>
      <c r="F323" s="3">
        <f>HYPERLINK("http://www.autogen.kr", "http://www.autogen.kr")</f>
        <v/>
      </c>
      <c r="G323" t="inlineStr">
        <is>
          <t>1338124432</t>
        </is>
      </c>
      <c r="H323" t="inlineStr">
        <is>
          <t>1244110006909</t>
        </is>
      </c>
      <c r="I323" t="inlineStr">
        <is>
          <t>대상아님</t>
        </is>
      </c>
      <c r="J323" t="inlineStr">
        <is>
          <t>일반법인</t>
        </is>
      </c>
      <c r="K323" t="inlineStr">
        <is>
          <t>중소기업</t>
        </is>
      </c>
      <c r="L323" t="inlineStr">
        <is>
          <t>외부감사대상</t>
        </is>
      </c>
      <c r="M323" s="6" t="inlineStr">
        <is>
          <t>1975-09-10</t>
        </is>
      </c>
      <c r="N323" t="inlineStr">
        <is>
          <t>KRI:10C3039900</t>
        </is>
      </c>
      <c r="O323" t="inlineStr">
        <is>
          <t>그 외 자동차용 신품 부품 제조업</t>
        </is>
      </c>
      <c r="P323" t="inlineStr">
        <is>
          <t>자동차부품,가공공작기계 제조/부동산 임대</t>
        </is>
      </c>
      <c r="Q323" t="inlineStr">
        <is>
          <t>경기 시흥시 정왕동 2611-1번지</t>
        </is>
      </c>
      <c r="R323" t="inlineStr">
        <is>
          <t>경기 시흥시 시화벤처로 249</t>
        </is>
      </c>
    </row>
    <row r="324" ht="19.2" customHeight="1" s="1">
      <c r="A324" t="inlineStr">
        <is>
          <t>NICE:256927</t>
        </is>
      </c>
      <c r="B324" t="inlineStr">
        <is>
          <t>에버런스코리아</t>
        </is>
      </c>
      <c r="C324" t="inlineStr">
        <is>
          <t>토미라스무센</t>
        </is>
      </c>
      <c r="D324" t="inlineStr">
        <is>
          <t>051-635-6644</t>
        </is>
      </c>
      <c r="E324" t="inlineStr">
        <is>
          <t>051-635-4004</t>
        </is>
      </c>
      <c r="F324" s="3">
        <f>HYPERLINK("http://www.man-es.com", "http://www.man-es.com")</f>
        <v/>
      </c>
      <c r="G324" t="inlineStr">
        <is>
          <t>2038151539</t>
        </is>
      </c>
      <c r="H324" t="inlineStr">
        <is>
          <t>1101110881626</t>
        </is>
      </c>
      <c r="I324" t="inlineStr">
        <is>
          <t>대상아님</t>
        </is>
      </c>
      <c r="J324" t="inlineStr">
        <is>
          <t>일반법인</t>
        </is>
      </c>
      <c r="K324" t="inlineStr">
        <is>
          <t>중소기업</t>
        </is>
      </c>
      <c r="L324" t="inlineStr">
        <is>
          <t>외부감사대상</t>
        </is>
      </c>
      <c r="M324" s="6" t="inlineStr">
        <is>
          <t>1992-07-04</t>
        </is>
      </c>
      <c r="N324" t="inlineStr">
        <is>
          <t>KRI:10M7212900</t>
        </is>
      </c>
      <c r="O324" t="inlineStr">
        <is>
          <t>기타 엔지니어링 서비스업</t>
        </is>
      </c>
      <c r="P324" t="inlineStr">
        <is>
          <t>기계엔지니어링/산업용 디젤엔진,터빈,엔진부품,전자제어설비 제조,수리</t>
        </is>
      </c>
      <c r="Q324" t="inlineStr">
        <is>
          <t>부산 강서구 범방동 1911-13번지</t>
        </is>
      </c>
      <c r="R324" t="inlineStr">
        <is>
          <t>부산 강서구 범방2로 51</t>
        </is>
      </c>
    </row>
    <row r="325">
      <c r="A325" t="inlineStr">
        <is>
          <t>NICE:259291</t>
        </is>
      </c>
      <c r="B325" t="inlineStr">
        <is>
          <t>지스콥</t>
        </is>
      </c>
      <c r="C325" t="inlineStr">
        <is>
          <t>김진구/이승훈</t>
        </is>
      </c>
      <c r="D325" t="inlineStr">
        <is>
          <t>02-545-2961</t>
        </is>
      </c>
      <c r="E325" t="inlineStr">
        <is>
          <t>02-545-2964</t>
        </is>
      </c>
      <c r="G325" t="inlineStr">
        <is>
          <t>2118192429</t>
        </is>
      </c>
      <c r="H325" t="inlineStr">
        <is>
          <t>1101110875413</t>
        </is>
      </c>
      <c r="I325" t="inlineStr">
        <is>
          <t>대상아님</t>
        </is>
      </c>
      <c r="J325" t="inlineStr">
        <is>
          <t>일반법인</t>
        </is>
      </c>
      <c r="K325" t="inlineStr">
        <is>
          <t>중소기업</t>
        </is>
      </c>
      <c r="L325" t="inlineStr">
        <is>
          <t>외부감사대상</t>
        </is>
      </c>
      <c r="M325" s="6" t="inlineStr">
        <is>
          <t>1992-07-03</t>
        </is>
      </c>
      <c r="N325" t="inlineStr">
        <is>
          <t>KRI:10M7291900</t>
        </is>
      </c>
      <c r="O325" t="inlineStr">
        <is>
          <t>기타 기술 시험, 검사 및 분석업</t>
        </is>
      </c>
      <c r="P325" t="inlineStr">
        <is>
          <t>비파괴검사전문기술 용역,기술자문</t>
        </is>
      </c>
      <c r="Q325" t="inlineStr">
        <is>
          <t>서울 강남구 신사동 654-15번지</t>
        </is>
      </c>
      <c r="R325" t="inlineStr">
        <is>
          <t>서울 강남구 도산대로51길 20</t>
        </is>
      </c>
    </row>
    <row r="326" ht="19.2" customHeight="1" s="1">
      <c r="A326" t="inlineStr">
        <is>
          <t>NICE:264268</t>
        </is>
      </c>
      <c r="B326" t="inlineStr">
        <is>
          <t>인터콘시스템스</t>
        </is>
      </c>
      <c r="C326" t="inlineStr">
        <is>
          <t>김인현/전상필</t>
        </is>
      </c>
      <c r="D326" t="inlineStr">
        <is>
          <t>031-218-1241</t>
        </is>
      </c>
      <c r="E326" t="inlineStr">
        <is>
          <t>031-293-3969</t>
        </is>
      </c>
      <c r="F326" s="3">
        <f>HYPERLINK("http://www.icsys.co.kr", "http://www.icsys.co.kr")</f>
        <v/>
      </c>
      <c r="G326" t="inlineStr">
        <is>
          <t>2148682100</t>
        </is>
      </c>
      <c r="H326" t="inlineStr">
        <is>
          <t>1101112236431</t>
        </is>
      </c>
      <c r="I326" t="inlineStr">
        <is>
          <t>대상아님</t>
        </is>
      </c>
      <c r="J326" t="inlineStr">
        <is>
          <t>일반법인</t>
        </is>
      </c>
      <c r="K326" t="inlineStr">
        <is>
          <t>중소기업</t>
        </is>
      </c>
      <c r="L326" t="inlineStr">
        <is>
          <t>외부감사대상</t>
        </is>
      </c>
      <c r="M326" s="6" t="inlineStr">
        <is>
          <t>2001-05-11</t>
        </is>
      </c>
      <c r="N326" t="inlineStr">
        <is>
          <t>KRI:10C3120200</t>
        </is>
      </c>
      <c r="O326" t="inlineStr">
        <is>
          <t>철도차량 부품 및 관련 장치물 제조업</t>
        </is>
      </c>
      <c r="P326" t="inlineStr">
        <is>
          <t>철도차량제어시스템,차량방송장치,출입문시스템 제조/철도차량 진단</t>
        </is>
      </c>
      <c r="Q326" t="inlineStr">
        <is>
          <t>경기 수원시 권선구 고색동 1049번지</t>
        </is>
      </c>
      <c r="R326" t="inlineStr">
        <is>
          <t>경기 수원시 권선구 산업로155번길 264</t>
        </is>
      </c>
    </row>
    <row r="327" ht="19.2" customHeight="1" s="1">
      <c r="A327" t="inlineStr">
        <is>
          <t>NICE:267869</t>
        </is>
      </c>
      <c r="B327" t="inlineStr">
        <is>
          <t>이노블록</t>
        </is>
      </c>
      <c r="C327" t="inlineStr">
        <is>
          <t>한용택</t>
        </is>
      </c>
      <c r="D327" t="inlineStr">
        <is>
          <t>031-358-4711</t>
        </is>
      </c>
      <c r="E327" t="inlineStr">
        <is>
          <t>031-358-4713</t>
        </is>
      </c>
      <c r="F327" s="3">
        <f>HYPERLINK("http://www.innoblock.co.kr", "http://www.innoblock.co.kr")</f>
        <v/>
      </c>
      <c r="G327" t="inlineStr">
        <is>
          <t>1238134082</t>
        </is>
      </c>
      <c r="H327" t="inlineStr">
        <is>
          <t>1341110040125</t>
        </is>
      </c>
      <c r="I327" t="inlineStr">
        <is>
          <t>대상아님</t>
        </is>
      </c>
      <c r="J327" t="inlineStr">
        <is>
          <t>일반법인</t>
        </is>
      </c>
      <c r="K327" t="inlineStr">
        <is>
          <t>중소기업</t>
        </is>
      </c>
      <c r="L327" t="inlineStr">
        <is>
          <t>외부감사대상</t>
        </is>
      </c>
      <c r="M327" s="6" t="inlineStr">
        <is>
          <t>1971-03-01</t>
        </is>
      </c>
      <c r="N327" t="inlineStr">
        <is>
          <t>KRI:10C2332400</t>
        </is>
      </c>
      <c r="O327" t="inlineStr">
        <is>
          <t>콘크리트 타일, 기와, 벽돌 및 블록 제조업</t>
        </is>
      </c>
      <c r="P327" t="inlineStr">
        <is>
          <t>블록,보도블록,콘크리트 제품 제조</t>
        </is>
      </c>
      <c r="Q327" t="inlineStr">
        <is>
          <t>경기 화성시 만세구 팔탄면 서근리 7-15번지</t>
        </is>
      </c>
      <c r="R327" t="inlineStr">
        <is>
          <t>경기 화성시 만세구 팔탄면 석포로74번길 10-46</t>
        </is>
      </c>
    </row>
    <row r="328" ht="19.2" customHeight="1" s="1">
      <c r="A328" t="inlineStr">
        <is>
          <t>NICE:269800</t>
        </is>
      </c>
      <c r="B328" t="inlineStr">
        <is>
          <t>신흥산업</t>
        </is>
      </c>
      <c r="C328" t="inlineStr">
        <is>
          <t>전재문</t>
        </is>
      </c>
      <c r="D328" t="inlineStr">
        <is>
          <t>032-672-5583</t>
        </is>
      </c>
      <c r="E328" t="inlineStr">
        <is>
          <t>032-678-5956</t>
        </is>
      </c>
      <c r="F328" s="3">
        <f>HYPERLINK("http://www.sh-is.co.kr", "http://www.sh-is.co.kr")</f>
        <v/>
      </c>
      <c r="G328" t="inlineStr">
        <is>
          <t>1368129886</t>
        </is>
      </c>
      <c r="H328" t="inlineStr">
        <is>
          <t>1244110035122</t>
        </is>
      </c>
      <c r="I328" t="inlineStr">
        <is>
          <t>대상아님</t>
        </is>
      </c>
      <c r="J328" t="inlineStr">
        <is>
          <t>일반법인</t>
        </is>
      </c>
      <c r="K328" t="inlineStr">
        <is>
          <t>중소기업</t>
        </is>
      </c>
      <c r="L328" t="inlineStr">
        <is>
          <t>외부감사대상</t>
        </is>
      </c>
      <c r="M328" s="6" t="inlineStr">
        <is>
          <t>1989-04-01</t>
        </is>
      </c>
      <c r="N328" t="inlineStr">
        <is>
          <t>KRI:10F4110000</t>
        </is>
      </c>
      <c r="O328" t="inlineStr">
        <is>
          <t>건물 건설업</t>
        </is>
      </c>
      <c r="P328" t="inlineStr">
        <is>
          <t>건축공사,소방시설공사,전기공사/철구조물,조립식건물,금형부품(스프링) 제조/부동산 임대</t>
        </is>
      </c>
      <c r="Q328" t="inlineStr">
        <is>
          <t>경기 김포시 양촌읍 유현리 233-6번지</t>
        </is>
      </c>
      <c r="R328" t="inlineStr">
        <is>
          <t>경기 김포시 양촌읍 서현로 41-26</t>
        </is>
      </c>
    </row>
    <row r="329" ht="19.2" customHeight="1" s="1">
      <c r="A329" t="inlineStr">
        <is>
          <t>NICE:271755</t>
        </is>
      </c>
      <c r="B329" t="inlineStr">
        <is>
          <t>삼원액트</t>
        </is>
      </c>
      <c r="C329" t="inlineStr">
        <is>
          <t>배광호</t>
        </is>
      </c>
      <c r="D329" t="inlineStr">
        <is>
          <t>051-320-7701</t>
        </is>
      </c>
      <c r="E329" t="inlineStr">
        <is>
          <t>051-312-2233</t>
        </is>
      </c>
      <c r="F329" s="3">
        <f>HYPERLINK("http://www.iolink.co.kr", "http://www.iolink.co.kr")</f>
        <v/>
      </c>
      <c r="G329" t="inlineStr">
        <is>
          <t>6068172897</t>
        </is>
      </c>
      <c r="H329" t="inlineStr">
        <is>
          <t>1801110392778</t>
        </is>
      </c>
      <c r="I329" t="inlineStr">
        <is>
          <t>대상아님</t>
        </is>
      </c>
      <c r="J329" t="inlineStr">
        <is>
          <t>일반법인</t>
        </is>
      </c>
      <c r="K329" t="inlineStr">
        <is>
          <t>중소기업</t>
        </is>
      </c>
      <c r="L329" t="inlineStr">
        <is>
          <t>외부감사대상</t>
        </is>
      </c>
      <c r="M329" s="6" t="inlineStr">
        <is>
          <t>2002-01-17</t>
        </is>
      </c>
      <c r="N329" t="inlineStr">
        <is>
          <t>KRI:10C2890900</t>
        </is>
      </c>
      <c r="O329" t="inlineStr">
        <is>
          <t>그 외 기타 전기장비 제조업</t>
        </is>
      </c>
      <c r="P329" t="inlineStr">
        <is>
          <t>전기전자기기,전자부품,건축구조재 제조/전기장비,특수용도 조명 디자인</t>
        </is>
      </c>
      <c r="Q329" t="inlineStr">
        <is>
          <t>부산 사상구 엄궁동 25-15번지</t>
        </is>
      </c>
      <c r="R329" t="inlineStr">
        <is>
          <t>부산 사상구 대동로 28</t>
        </is>
      </c>
    </row>
    <row r="330" ht="19.2" customHeight="1" s="1">
      <c r="A330" t="inlineStr">
        <is>
          <t>NICE:280226</t>
        </is>
      </c>
      <c r="B330" t="inlineStr">
        <is>
          <t>대현엔지니어링</t>
        </is>
      </c>
      <c r="C330" t="inlineStr">
        <is>
          <t>김건남/김구열</t>
        </is>
      </c>
      <c r="D330" t="inlineStr">
        <is>
          <t>02-6369-1546</t>
        </is>
      </c>
      <c r="E330" t="inlineStr">
        <is>
          <t>02-6369-1544</t>
        </is>
      </c>
      <c r="F330" s="3">
        <f>HYPERLINK("http://www.daehyeon.co.kr", "http://www.daehyeon.co.kr")</f>
        <v/>
      </c>
      <c r="G330" t="inlineStr">
        <is>
          <t>3028106461</t>
        </is>
      </c>
      <c r="H330" t="inlineStr">
        <is>
          <t>1541110001397</t>
        </is>
      </c>
      <c r="I330" t="inlineStr">
        <is>
          <t>대상아님</t>
        </is>
      </c>
      <c r="J330" t="inlineStr">
        <is>
          <t>일반법인</t>
        </is>
      </c>
      <c r="K330" t="inlineStr">
        <is>
          <t>중소기업</t>
        </is>
      </c>
      <c r="L330" t="inlineStr">
        <is>
          <t>외부감사대상</t>
        </is>
      </c>
      <c r="M330" s="6" t="inlineStr">
        <is>
          <t>1996-09-14</t>
        </is>
      </c>
      <c r="N330" t="inlineStr">
        <is>
          <t>KRI:10F4249200</t>
        </is>
      </c>
      <c r="O330" t="inlineStr">
        <is>
          <t>건물용 금속공작물 설치 공사업</t>
        </is>
      </c>
      <c r="P330" t="inlineStr">
        <is>
          <t>금속공작물설치공사,강구조물설치공사,유리공사,창호공사,기계설비공사,시설물유지관리공사/철구조물 제조/기계장비 임대</t>
        </is>
      </c>
      <c r="Q330" t="inlineStr">
        <is>
          <t>서울 송파구 문정동 642번지 송파테라타워2 제비동 제15층 제비-1522호, 1523호, 1524호</t>
        </is>
      </c>
      <c r="R330" t="inlineStr">
        <is>
          <t>서울 송파구 송파대로 201, 제비동 제15층 제비-1522호, 1523호, 1524호 (문정동,송파테라타워2)</t>
        </is>
      </c>
    </row>
    <row r="331" ht="19.2" customHeight="1" s="1">
      <c r="A331" t="inlineStr">
        <is>
          <t>NICE:280569</t>
        </is>
      </c>
      <c r="B331" t="inlineStr">
        <is>
          <t>용비통상</t>
        </is>
      </c>
      <c r="C331" t="inlineStr">
        <is>
          <t>김성인/김준호</t>
        </is>
      </c>
      <c r="D331" t="inlineStr">
        <is>
          <t>02-5766-0226</t>
        </is>
      </c>
      <c r="E331" t="inlineStr">
        <is>
          <t>02-576-6027</t>
        </is>
      </c>
      <c r="F331" s="3">
        <f>HYPERLINK("http://www.yongbee.co.kr", "http://www.yongbee.co.kr")</f>
        <v/>
      </c>
      <c r="G331" t="inlineStr">
        <is>
          <t>2138163518</t>
        </is>
      </c>
      <c r="H331" t="inlineStr">
        <is>
          <t>1101110887658</t>
        </is>
      </c>
      <c r="I331" t="inlineStr">
        <is>
          <t>대상아님</t>
        </is>
      </c>
      <c r="J331" t="inlineStr">
        <is>
          <t>일반법인</t>
        </is>
      </c>
      <c r="K331" t="inlineStr">
        <is>
          <t>중소기업</t>
        </is>
      </c>
      <c r="L331" t="inlineStr">
        <is>
          <t>외부감사대상</t>
        </is>
      </c>
      <c r="M331" s="6" t="inlineStr">
        <is>
          <t>1988-03-20</t>
        </is>
      </c>
      <c r="N331" t="inlineStr">
        <is>
          <t>KRI:10G4673300</t>
        </is>
      </c>
      <c r="O331" t="inlineStr">
        <is>
          <t>플라스틱물질 및 합성고무 도매업</t>
        </is>
      </c>
      <c r="P331" t="inlineStr">
        <is>
          <t>접착제,액체토출장비(실리콘,에폭시,우레탄) 도매/의료기기 제조/무역</t>
        </is>
      </c>
      <c r="Q331" t="inlineStr">
        <is>
          <t>서울 서초구 양재동 82-4번지</t>
        </is>
      </c>
      <c r="R331" t="inlineStr">
        <is>
          <t>서울 서초구 바우뫼로 192</t>
        </is>
      </c>
    </row>
    <row r="332" ht="19.2" customHeight="1" s="1">
      <c r="A332" t="inlineStr">
        <is>
          <t>NICE:280783</t>
        </is>
      </c>
      <c r="B332" t="inlineStr">
        <is>
          <t>스마일게이트엔터테인먼트</t>
        </is>
      </c>
      <c r="C332" t="inlineStr">
        <is>
          <t>성준호/장인아</t>
        </is>
      </c>
      <c r="D332" t="inlineStr">
        <is>
          <t>031-600-8200</t>
        </is>
      </c>
      <c r="E332" t="inlineStr">
        <is>
          <t>031-600-8392</t>
        </is>
      </c>
      <c r="F332" s="3">
        <f>HYPERLINK("http://www.smilegate.com", "http://www.smilegate.com")</f>
        <v/>
      </c>
      <c r="G332" t="inlineStr">
        <is>
          <t>2118716229</t>
        </is>
      </c>
      <c r="H332" t="inlineStr">
        <is>
          <t>1101112545155</t>
        </is>
      </c>
      <c r="I332" t="inlineStr">
        <is>
          <t>대상아님</t>
        </is>
      </c>
      <c r="J332" t="inlineStr">
        <is>
          <t>일반법인</t>
        </is>
      </c>
      <c r="K332" t="inlineStr">
        <is>
          <t>중견기업</t>
        </is>
      </c>
      <c r="L332" t="inlineStr">
        <is>
          <t>외부감사비대상</t>
        </is>
      </c>
      <c r="M332" s="6" t="inlineStr">
        <is>
          <t>2002-06-11</t>
        </is>
      </c>
      <c r="N332" t="inlineStr">
        <is>
          <t>KRI:10J5821100</t>
        </is>
      </c>
      <c r="O332" t="inlineStr">
        <is>
          <t>유선 온라인 게임 소프트웨어 개발 및 공급업</t>
        </is>
      </c>
      <c r="P332" t="inlineStr">
        <is>
          <t>온라인게임소프트웨어,솔루션 개발/전자상거래/부동산 전대</t>
        </is>
      </c>
      <c r="Q332" t="inlineStr">
        <is>
          <t>경기 성남시 분당구 삼평동 673번지 쏠리드스페이스 5층</t>
        </is>
      </c>
      <c r="R332" t="inlineStr">
        <is>
          <t>경기 성남시 분당구 판교역로 220, 5층 (삼평동,쏠리드스페이스)</t>
        </is>
      </c>
    </row>
    <row r="333">
      <c r="A333" t="inlineStr">
        <is>
          <t>NICE:284385</t>
        </is>
      </c>
      <c r="B333" t="inlineStr">
        <is>
          <t>동우바이오</t>
        </is>
      </c>
      <c r="C333" t="inlineStr">
        <is>
          <t>김용호</t>
        </is>
      </c>
      <c r="D333" t="inlineStr">
        <is>
          <t>031-323-5833</t>
        </is>
      </c>
      <c r="E333" t="inlineStr">
        <is>
          <t>031-323-5835</t>
        </is>
      </c>
      <c r="G333" t="inlineStr">
        <is>
          <t>3058157751</t>
        </is>
      </c>
      <c r="H333" t="inlineStr">
        <is>
          <t>1601110144305</t>
        </is>
      </c>
      <c r="I333" t="inlineStr">
        <is>
          <t>대상아님</t>
        </is>
      </c>
      <c r="J333" t="inlineStr">
        <is>
          <t>일반법인</t>
        </is>
      </c>
      <c r="K333" t="inlineStr">
        <is>
          <t>중견기업</t>
        </is>
      </c>
      <c r="L333" t="inlineStr">
        <is>
          <t>외부감사대상</t>
        </is>
      </c>
      <c r="M333" s="6" t="inlineStr">
        <is>
          <t>2002-09-05</t>
        </is>
      </c>
      <c r="N333" t="inlineStr">
        <is>
          <t>KRI:10E3821000</t>
        </is>
      </c>
      <c r="O333" t="inlineStr">
        <is>
          <t>지정 외 폐기물 처리업</t>
        </is>
      </c>
      <c r="P333" t="inlineStr">
        <is>
          <t>폐기물 중간처리,폐기물처리장치 연구개발,환경관련 엔지니어링/비료생산,기계,재활용설비플랜트 제작설치 제조/비료 도소매</t>
        </is>
      </c>
      <c r="Q333" t="inlineStr">
        <is>
          <t>경기 용인시 처인구 백암면 석천리 200-4번지</t>
        </is>
      </c>
      <c r="R333" t="inlineStr">
        <is>
          <t>경기 용인시 처인구 백암면 삼백로 367-21</t>
        </is>
      </c>
    </row>
    <row r="334" ht="19.2" customHeight="1" s="1">
      <c r="A334" t="inlineStr">
        <is>
          <t>NICE:286575</t>
        </is>
      </c>
      <c r="B334" t="inlineStr">
        <is>
          <t>한국복합물류</t>
        </is>
      </c>
      <c r="C334" t="inlineStr">
        <is>
          <t>이민기</t>
        </is>
      </c>
      <c r="D334" t="inlineStr">
        <is>
          <t>031-460-2020</t>
        </is>
      </c>
      <c r="E334" t="inlineStr">
        <is>
          <t>031-460-2031</t>
        </is>
      </c>
      <c r="F334" s="3">
        <f>HYPERLINK("http://www.kift.co.kr", "http://www.kift.co.kr")</f>
        <v/>
      </c>
      <c r="G334" t="inlineStr">
        <is>
          <t>1238140376</t>
        </is>
      </c>
      <c r="H334" t="inlineStr">
        <is>
          <t>1101110853576</t>
        </is>
      </c>
      <c r="I334" t="inlineStr">
        <is>
          <t>대상아님</t>
        </is>
      </c>
      <c r="J334" t="inlineStr">
        <is>
          <t>일반법인</t>
        </is>
      </c>
      <c r="K334" t="inlineStr">
        <is>
          <t>대기업</t>
        </is>
      </c>
      <c r="L334" t="inlineStr">
        <is>
          <t>외부감사대상</t>
        </is>
      </c>
      <c r="M334" s="6" t="inlineStr">
        <is>
          <t>1992-04-24</t>
        </is>
      </c>
      <c r="N334" t="inlineStr">
        <is>
          <t>KRI:10H5291300</t>
        </is>
      </c>
      <c r="O334" t="inlineStr">
        <is>
          <t>물류 터미널 운영업</t>
        </is>
      </c>
      <c r="P334" t="inlineStr">
        <is>
          <t>화물자동차터미널 운영</t>
        </is>
      </c>
      <c r="Q334" t="inlineStr">
        <is>
          <t>경기 군포시 부곡동 1231번지</t>
        </is>
      </c>
      <c r="R334" t="inlineStr">
        <is>
          <t>경기 군포시 번영로 82</t>
        </is>
      </c>
    </row>
    <row r="335" ht="19.2" customHeight="1" s="1">
      <c r="A335" t="inlineStr">
        <is>
          <t>NICE:286591</t>
        </is>
      </c>
      <c r="B335" t="inlineStr">
        <is>
          <t>신성엔지니어링</t>
        </is>
      </c>
      <c r="C335" t="inlineStr">
        <is>
          <t>정재규/정태섭</t>
        </is>
      </c>
      <c r="D335" t="inlineStr">
        <is>
          <t>02-3497-6134</t>
        </is>
      </c>
      <c r="E335" t="inlineStr">
        <is>
          <t>02-3497-6002</t>
        </is>
      </c>
      <c r="F335" s="3">
        <f>HYPERLINK("http://www.sseng.co.kr", "http://www.sseng.co.kr")</f>
        <v/>
      </c>
      <c r="G335" t="inlineStr">
        <is>
          <t>1388100094</t>
        </is>
      </c>
      <c r="H335" t="inlineStr">
        <is>
          <t>1101110741622</t>
        </is>
      </c>
      <c r="I335" t="inlineStr">
        <is>
          <t>대상아님</t>
        </is>
      </c>
      <c r="J335" t="inlineStr">
        <is>
          <t>일반법인</t>
        </is>
      </c>
      <c r="K335" t="inlineStr">
        <is>
          <t>중소기업</t>
        </is>
      </c>
      <c r="L335" t="inlineStr">
        <is>
          <t>외부감사대상</t>
        </is>
      </c>
      <c r="M335" s="6" t="inlineStr">
        <is>
          <t>1991-01-09</t>
        </is>
      </c>
      <c r="N335" t="inlineStr">
        <is>
          <t>KRI:10M7212100</t>
        </is>
      </c>
      <c r="O335" t="inlineStr">
        <is>
          <t>건물 및 토목 엔지니어링 서비스업</t>
        </is>
      </c>
      <c r="P335" t="inlineStr">
        <is>
          <t>토목 엔지니어링,학술,연구용역,공공 측량/건축공사/부동산 매매,개발,건물신축판매</t>
        </is>
      </c>
      <c r="Q335" t="inlineStr">
        <is>
          <t>경기 안양시 동안구 관양동 911번지 1동 1004호</t>
        </is>
      </c>
      <c r="R335" t="inlineStr">
        <is>
          <t>경기 안양시 동안구 흥안대로 457-27, 1동 1004호</t>
        </is>
      </c>
    </row>
    <row r="336" ht="19.2" customHeight="1" s="1">
      <c r="A336" t="inlineStr">
        <is>
          <t>NICE:286927</t>
        </is>
      </c>
      <c r="B336" t="inlineStr">
        <is>
          <t>에스이티</t>
        </is>
      </c>
      <c r="C336" t="inlineStr">
        <is>
          <t>원봉연</t>
        </is>
      </c>
      <c r="D336" t="inlineStr">
        <is>
          <t>031-656-6432</t>
        </is>
      </c>
      <c r="E336" t="inlineStr">
        <is>
          <t>031-656-6435</t>
        </is>
      </c>
      <c r="F336" s="3">
        <f>HYPERLINK("http://www.setsemi.com", "http://www.setsemi.com")</f>
        <v/>
      </c>
      <c r="G336" t="inlineStr">
        <is>
          <t>1358161791</t>
        </is>
      </c>
      <c r="H336" t="inlineStr">
        <is>
          <t>1345110069797</t>
        </is>
      </c>
      <c r="I336" t="inlineStr">
        <is>
          <t>대상아님</t>
        </is>
      </c>
      <c r="J336" t="inlineStr">
        <is>
          <t>일반법인</t>
        </is>
      </c>
      <c r="K336" t="inlineStr">
        <is>
          <t>중소기업</t>
        </is>
      </c>
      <c r="L336" t="inlineStr">
        <is>
          <t>외부감사대상</t>
        </is>
      </c>
      <c r="M336" s="6" t="inlineStr">
        <is>
          <t>2003-04-08</t>
        </is>
      </c>
      <c r="N336" t="inlineStr">
        <is>
          <t>KRI:10C2612900</t>
        </is>
      </c>
      <c r="O336" t="inlineStr">
        <is>
          <t>기타 반도체소자 제조업</t>
        </is>
      </c>
      <c r="P336" t="inlineStr">
        <is>
          <t>반도체장비부품 제조</t>
        </is>
      </c>
      <c r="Q336" t="inlineStr">
        <is>
          <t>경기 평택시 월곡동 383-25번지</t>
        </is>
      </c>
      <c r="R336" t="inlineStr">
        <is>
          <t>경기 평택시 월곡길 23-13</t>
        </is>
      </c>
    </row>
    <row r="337" ht="19.2" customHeight="1" s="1">
      <c r="A337" t="inlineStr">
        <is>
          <t>NICE:287219</t>
        </is>
      </c>
      <c r="B337" t="inlineStr">
        <is>
          <t>일해</t>
        </is>
      </c>
      <c r="C337" t="inlineStr">
        <is>
          <t>김영훈</t>
        </is>
      </c>
      <c r="D337" t="inlineStr">
        <is>
          <t>064-784-2890</t>
        </is>
      </c>
      <c r="E337" t="inlineStr">
        <is>
          <t>064-784-4181</t>
        </is>
      </c>
      <c r="F337" s="3">
        <f>HYPERLINK("http://www.ilhae.co.kr", "http://www.ilhae.co.kr")</f>
        <v/>
      </c>
      <c r="G337" t="inlineStr">
        <is>
          <t>6168135735</t>
        </is>
      </c>
      <c r="H337" t="inlineStr">
        <is>
          <t>2201110034876</t>
        </is>
      </c>
      <c r="I337" t="inlineStr">
        <is>
          <t>대상아님</t>
        </is>
      </c>
      <c r="J337" t="inlineStr">
        <is>
          <t>일반법인</t>
        </is>
      </c>
      <c r="K337" t="inlineStr">
        <is>
          <t>중소기업</t>
        </is>
      </c>
      <c r="L337" t="inlineStr">
        <is>
          <t>외부감사대상</t>
        </is>
      </c>
      <c r="M337" s="6" t="inlineStr">
        <is>
          <t>2001-07-16</t>
        </is>
      </c>
      <c r="N337" t="inlineStr">
        <is>
          <t>KRI:10C1030900</t>
        </is>
      </c>
      <c r="O337" t="inlineStr">
        <is>
          <t>기타 과실ㆍ채소 가공 및 저장 처리업</t>
        </is>
      </c>
      <c r="P337" t="inlineStr">
        <is>
          <t>농산물 가공,도소매/동물용사료,조제식품,단미사료,식품 제조/감귤포장박스 도소매</t>
        </is>
      </c>
      <c r="Q337" t="inlineStr">
        <is>
          <t>제주 제주시 조천읍 대흘리 110-3번지</t>
        </is>
      </c>
      <c r="R337" t="inlineStr">
        <is>
          <t>제주 제주시 조천읍 함와로 321</t>
        </is>
      </c>
    </row>
    <row r="338" ht="19.2" customHeight="1" s="1">
      <c r="A338" t="inlineStr">
        <is>
          <t>NICE:287279</t>
        </is>
      </c>
      <c r="B338" t="inlineStr">
        <is>
          <t>에이치제이</t>
        </is>
      </c>
      <c r="C338" t="inlineStr">
        <is>
          <t>윤세원</t>
        </is>
      </c>
      <c r="D338" t="inlineStr">
        <is>
          <t>031-353-3030</t>
        </is>
      </c>
      <c r="E338" t="inlineStr">
        <is>
          <t>031-353-0016</t>
        </is>
      </c>
      <c r="F338" s="3">
        <f>HYPERLINK("http://www.hjlite.com", "http://www.hjlite.com")</f>
        <v/>
      </c>
      <c r="G338" t="inlineStr">
        <is>
          <t>1348157294</t>
        </is>
      </c>
      <c r="H338" t="inlineStr">
        <is>
          <t>1355110107843</t>
        </is>
      </c>
      <c r="I338" t="inlineStr">
        <is>
          <t>대상아님</t>
        </is>
      </c>
      <c r="J338" t="inlineStr">
        <is>
          <t>일반법인</t>
        </is>
      </c>
      <c r="K338" t="inlineStr">
        <is>
          <t>중소기업</t>
        </is>
      </c>
      <c r="L338" t="inlineStr">
        <is>
          <t>외부감사대상</t>
        </is>
      </c>
      <c r="M338" s="6" t="inlineStr">
        <is>
          <t>2000-06-27</t>
        </is>
      </c>
      <c r="N338" t="inlineStr">
        <is>
          <t>KRI:10C1399400</t>
        </is>
      </c>
      <c r="O338" t="inlineStr">
        <is>
          <t>표면처리 및 적층 직물 제조업</t>
        </is>
      </c>
      <c r="P338" t="inlineStr">
        <is>
          <t>재귀반사제품 제조</t>
        </is>
      </c>
      <c r="Q338" t="inlineStr">
        <is>
          <t>경기 화성시 만세구 향남읍 구문천리 928-1번지</t>
        </is>
      </c>
      <c r="R338" t="inlineStr">
        <is>
          <t>경기 화성시 만세구 향남읍 발안공단로4길 30</t>
        </is>
      </c>
    </row>
    <row r="339" ht="19.2" customHeight="1" s="1">
      <c r="A339" t="inlineStr">
        <is>
          <t>NICE:287567</t>
        </is>
      </c>
      <c r="B339" t="inlineStr">
        <is>
          <t>에스지솔루션</t>
        </is>
      </c>
      <c r="C339" t="inlineStr">
        <is>
          <t>조정현</t>
        </is>
      </c>
      <c r="D339" t="inlineStr">
        <is>
          <t>055-719-3001</t>
        </is>
      </c>
      <c r="E339" t="inlineStr">
        <is>
          <t>055-719-3007</t>
        </is>
      </c>
      <c r="F339" s="3">
        <f>HYPERLINK("http://sgsolution.co.kr", "http://sgsolution.co.kr")</f>
        <v/>
      </c>
      <c r="G339" t="inlineStr">
        <is>
          <t>6098151509</t>
        </is>
      </c>
      <c r="H339" t="inlineStr">
        <is>
          <t>1942110052275</t>
        </is>
      </c>
      <c r="I339" t="inlineStr">
        <is>
          <t>대상아님</t>
        </is>
      </c>
      <c r="J339" t="inlineStr">
        <is>
          <t>일반법인</t>
        </is>
      </c>
      <c r="K339" t="inlineStr">
        <is>
          <t>중소기업</t>
        </is>
      </c>
      <c r="L339" t="inlineStr">
        <is>
          <t>외부감사대상</t>
        </is>
      </c>
      <c r="M339" s="6" t="inlineStr">
        <is>
          <t>2002-01-16</t>
        </is>
      </c>
      <c r="N339" t="inlineStr">
        <is>
          <t>KRI:10C3033100</t>
        </is>
      </c>
      <c r="O339" t="inlineStr">
        <is>
          <t>자동차용 신품 동력전달장치 제조업</t>
        </is>
      </c>
      <c r="P339" t="inlineStr">
        <is>
          <t>시스템모듈동력전달장치,유압기기,기동장비류,에너지저장장치,전기회로 개폐,전기변환장치 제조</t>
        </is>
      </c>
      <c r="Q339" t="inlineStr">
        <is>
          <t>경남 창원시 성산구 성주동 88-2번지</t>
        </is>
      </c>
      <c r="R339" t="inlineStr">
        <is>
          <t>경남 창원시 성산구 곰절길10번길 7</t>
        </is>
      </c>
    </row>
    <row r="340" ht="19.2" customHeight="1" s="1">
      <c r="A340" t="inlineStr">
        <is>
          <t>NICE:293020</t>
        </is>
      </c>
      <c r="B340" t="inlineStr">
        <is>
          <t>케이넷</t>
        </is>
      </c>
      <c r="C340" t="inlineStr">
        <is>
          <t>오영석</t>
        </is>
      </c>
      <c r="D340" t="inlineStr">
        <is>
          <t>063-570-6700</t>
        </is>
      </c>
      <c r="E340" t="inlineStr">
        <is>
          <t>063-537-7743</t>
        </is>
      </c>
      <c r="F340" s="3">
        <f>HYPERLINK("http://www.e-knet.com", "http://www.e-knet.com")</f>
        <v/>
      </c>
      <c r="G340" t="inlineStr">
        <is>
          <t>3078119772</t>
        </is>
      </c>
      <c r="H340" t="inlineStr">
        <is>
          <t>1647110010675</t>
        </is>
      </c>
      <c r="I340" t="inlineStr">
        <is>
          <t>대상아님</t>
        </is>
      </c>
      <c r="J340" t="inlineStr">
        <is>
          <t>일반법인</t>
        </is>
      </c>
      <c r="K340" t="inlineStr">
        <is>
          <t>중견기업</t>
        </is>
      </c>
      <c r="L340" t="inlineStr">
        <is>
          <t>외부감사대상</t>
        </is>
      </c>
      <c r="M340" s="6" t="inlineStr">
        <is>
          <t>2002-12-05</t>
        </is>
      </c>
      <c r="N340" t="inlineStr">
        <is>
          <t>KRI:10C2221100</t>
        </is>
      </c>
      <c r="O340" t="inlineStr">
        <is>
          <t>플라스틱 선, 봉, 관 및 호스 제조업</t>
        </is>
      </c>
      <c r="P340" t="inlineStr">
        <is>
          <t>PE파이프,부잔교 제조,도매,무역/통신공사,CCTV설치공사</t>
        </is>
      </c>
      <c r="Q340" t="inlineStr">
        <is>
          <t>전북 정읍시 고부면 덕안리 954번지</t>
        </is>
      </c>
      <c r="R340" t="inlineStr">
        <is>
          <t>전북 정읍시 고부면 고부농단길 41</t>
        </is>
      </c>
    </row>
    <row r="341">
      <c r="A341" t="inlineStr">
        <is>
          <t>NICE:294863</t>
        </is>
      </c>
      <c r="B341" t="inlineStr">
        <is>
          <t>쏘나브이피씨코리아</t>
        </is>
      </c>
      <c r="C341" t="inlineStr">
        <is>
          <t>손영호</t>
        </is>
      </c>
      <c r="D341" t="inlineStr">
        <is>
          <t>02-3448-1400</t>
        </is>
      </c>
      <c r="E341" t="inlineStr">
        <is>
          <t>031-358-4805</t>
        </is>
      </c>
      <c r="G341" t="inlineStr">
        <is>
          <t>2118625885</t>
        </is>
      </c>
      <c r="H341" t="inlineStr">
        <is>
          <t>1101111482598</t>
        </is>
      </c>
      <c r="I341" t="inlineStr">
        <is>
          <t>대상아님</t>
        </is>
      </c>
      <c r="J341" t="inlineStr">
        <is>
          <t>일반법인</t>
        </is>
      </c>
      <c r="K341" t="inlineStr">
        <is>
          <t>중소기업</t>
        </is>
      </c>
      <c r="L341" t="inlineStr">
        <is>
          <t>외부감사대상</t>
        </is>
      </c>
      <c r="M341" s="6" t="inlineStr">
        <is>
          <t>1997-11-10</t>
        </is>
      </c>
      <c r="N341" t="inlineStr">
        <is>
          <t>KRI:10S9521100</t>
        </is>
      </c>
      <c r="O341" t="inlineStr">
        <is>
          <t>자동차 종합 수리업</t>
        </is>
      </c>
      <c r="P341" t="inlineStr">
        <is>
          <t>PDI차량 점검,수리,운송 용역/자동차부품 도소매,제조</t>
        </is>
      </c>
      <c r="Q341" t="inlineStr">
        <is>
          <t>서울 강남구 신사동 588-19번지 동남빌딩 204호</t>
        </is>
      </c>
      <c r="R341" t="inlineStr">
        <is>
          <t>서울 강남구 도산대로 221, 204호 (신사동,동남빌딩)</t>
        </is>
      </c>
    </row>
    <row r="342" ht="19.2" customHeight="1" s="1">
      <c r="A342" t="inlineStr">
        <is>
          <t>NICE:294911</t>
        </is>
      </c>
      <c r="B342" t="inlineStr">
        <is>
          <t>성원애드피아</t>
        </is>
      </c>
      <c r="C342" t="inlineStr">
        <is>
          <t>정대원</t>
        </is>
      </c>
      <c r="D342" t="inlineStr">
        <is>
          <t>02-6262-5729</t>
        </is>
      </c>
      <c r="E342" t="inlineStr">
        <is>
          <t>02-6499-0606</t>
        </is>
      </c>
      <c r="F342" s="3">
        <f>HYPERLINK("http://www.swadpia.co.kr", "http://www.swadpia.co.kr")</f>
        <v/>
      </c>
      <c r="G342" t="inlineStr">
        <is>
          <t>2018186819</t>
        </is>
      </c>
      <c r="H342" t="inlineStr">
        <is>
          <t>1101112997215</t>
        </is>
      </c>
      <c r="I342" t="inlineStr">
        <is>
          <t>대상아님</t>
        </is>
      </c>
      <c r="J342" t="inlineStr">
        <is>
          <t>일반법인</t>
        </is>
      </c>
      <c r="K342" t="inlineStr">
        <is>
          <t>중견기업</t>
        </is>
      </c>
      <c r="L342" t="inlineStr">
        <is>
          <t>외부감사대상</t>
        </is>
      </c>
      <c r="M342" s="6" t="inlineStr">
        <is>
          <t>2004-04-21</t>
        </is>
      </c>
      <c r="N342" t="inlineStr">
        <is>
          <t>KRI:10C1811900</t>
        </is>
      </c>
      <c r="O342" t="inlineStr">
        <is>
          <t>기타 인쇄업</t>
        </is>
      </c>
      <c r="P342" t="inlineStr">
        <is>
          <t>카탈로그,명함,전단지,스티커,봉투 인쇄,출판/무역/광고/비주거용건물 임대/광고</t>
        </is>
      </c>
      <c r="Q342" t="inlineStr">
        <is>
          <t>서울 중구 충무로4가 112-1번지</t>
        </is>
      </c>
      <c r="R342" t="inlineStr">
        <is>
          <t>서울 중구 퇴계로41길 6</t>
        </is>
      </c>
    </row>
    <row r="343" ht="19.2" customHeight="1" s="1">
      <c r="A343" t="inlineStr">
        <is>
          <t>NICE:295102</t>
        </is>
      </c>
      <c r="B343" t="inlineStr">
        <is>
          <t>한국호쿠쇼</t>
        </is>
      </c>
      <c r="C343" t="inlineStr">
        <is>
          <t>성현모</t>
        </is>
      </c>
      <c r="D343" t="inlineStr">
        <is>
          <t>02-565-4521</t>
        </is>
      </c>
      <c r="E343" t="inlineStr">
        <is>
          <t>02-565-4522</t>
        </is>
      </c>
      <c r="F343" s="3">
        <f>HYPERLINK("http://www.hokusho.co.kr", "http://www.hokusho.co.kr")</f>
        <v/>
      </c>
      <c r="G343" t="inlineStr">
        <is>
          <t>2208680280</t>
        </is>
      </c>
      <c r="H343" t="inlineStr">
        <is>
          <t>1101112962151</t>
        </is>
      </c>
      <c r="I343" t="inlineStr">
        <is>
          <t>대상아님</t>
        </is>
      </c>
      <c r="J343" t="inlineStr">
        <is>
          <t>일반법인</t>
        </is>
      </c>
      <c r="K343" t="inlineStr">
        <is>
          <t>중소기업</t>
        </is>
      </c>
      <c r="L343" t="inlineStr">
        <is>
          <t>외부감사대상</t>
        </is>
      </c>
      <c r="M343" s="6" t="inlineStr">
        <is>
          <t>2004-02-26</t>
        </is>
      </c>
      <c r="N343" t="inlineStr">
        <is>
          <t>KRI:10G4653900</t>
        </is>
      </c>
      <c r="O343" t="inlineStr">
        <is>
          <t>기타 산업용 기계 및 장비 도매업</t>
        </is>
      </c>
      <c r="P343" t="inlineStr">
        <is>
          <t>물류자동화설비 도소매,제작,설계</t>
        </is>
      </c>
      <c r="Q343" t="inlineStr">
        <is>
          <t>서울 강남구 대치동 944-23번지 한국호쿠쇼타워 16층</t>
        </is>
      </c>
      <c r="R343" t="inlineStr">
        <is>
          <t>서울 강남구 테헤란로88길 15, 16층 (대치동,한국호쿠쇼타워)</t>
        </is>
      </c>
    </row>
    <row r="344" ht="19.2" customHeight="1" s="1">
      <c r="A344" t="inlineStr">
        <is>
          <t>NICE:295572</t>
        </is>
      </c>
      <c r="B344" t="inlineStr">
        <is>
          <t>동인종합건설</t>
        </is>
      </c>
      <c r="C344" t="inlineStr">
        <is>
          <t>백종서</t>
        </is>
      </c>
      <c r="D344" t="inlineStr">
        <is>
          <t>02-844-0599</t>
        </is>
      </c>
      <c r="E344" t="inlineStr">
        <is>
          <t>02-844-0423</t>
        </is>
      </c>
      <c r="F344" s="3">
        <f>HYPERLINK("http://www.dong-in.co.kr", "http://www.dong-in.co.kr")</f>
        <v/>
      </c>
      <c r="G344" t="inlineStr">
        <is>
          <t>1088160510</t>
        </is>
      </c>
      <c r="H344" t="inlineStr">
        <is>
          <t>1101112781410</t>
        </is>
      </c>
      <c r="I344" t="inlineStr">
        <is>
          <t>대상아님</t>
        </is>
      </c>
      <c r="J344" t="inlineStr">
        <is>
          <t>일반법인</t>
        </is>
      </c>
      <c r="K344" t="inlineStr">
        <is>
          <t>중견기업</t>
        </is>
      </c>
      <c r="L344" t="inlineStr">
        <is>
          <t>외부감사대상</t>
        </is>
      </c>
      <c r="M344" s="6" t="inlineStr">
        <is>
          <t>2003-05-17</t>
        </is>
      </c>
      <c r="N344" t="inlineStr">
        <is>
          <t>KRI:10F4110000</t>
        </is>
      </c>
      <c r="O344" t="inlineStr">
        <is>
          <t>건물 건설업</t>
        </is>
      </c>
      <c r="P344" t="inlineStr">
        <is>
          <t>건축공사,토목공사,주택신축판매(건설)/자주식(기계식)주차설비 제조,설치,임대</t>
        </is>
      </c>
      <c r="Q344" t="inlineStr">
        <is>
          <t>서울 영등포구 영등포동7가 62-3번지 경수1996빌딩</t>
        </is>
      </c>
      <c r="R344" t="inlineStr">
        <is>
          <t>서울 영등포구 국회대로 638 (영등포동7가,경수1996빌딩)</t>
        </is>
      </c>
    </row>
    <row r="345">
      <c r="A345" t="inlineStr">
        <is>
          <t>NICE:298891</t>
        </is>
      </c>
      <c r="B345" t="inlineStr">
        <is>
          <t>신동</t>
        </is>
      </c>
      <c r="C345" t="inlineStr">
        <is>
          <t>김형중</t>
        </is>
      </c>
      <c r="D345" t="inlineStr">
        <is>
          <t>033-591-7255</t>
        </is>
      </c>
      <c r="E345" t="inlineStr">
        <is>
          <t>033-591-1297</t>
        </is>
      </c>
      <c r="G345" t="inlineStr">
        <is>
          <t>2258102116</t>
        </is>
      </c>
      <c r="H345" t="inlineStr">
        <is>
          <t>1101110725816</t>
        </is>
      </c>
      <c r="I345" t="inlineStr">
        <is>
          <t>대상아님</t>
        </is>
      </c>
      <c r="J345" t="inlineStr">
        <is>
          <t>일반법인</t>
        </is>
      </c>
      <c r="K345" t="inlineStr">
        <is>
          <t>중소기업</t>
        </is>
      </c>
      <c r="L345" t="inlineStr">
        <is>
          <t>외부감사대상</t>
        </is>
      </c>
      <c r="M345" s="6" t="inlineStr">
        <is>
          <t>1990-10-16</t>
        </is>
      </c>
      <c r="N345" t="inlineStr">
        <is>
          <t>KRI:10B0711000</t>
        </is>
      </c>
      <c r="O345" t="inlineStr">
        <is>
          <t>석회석 및 점토 광업</t>
        </is>
      </c>
      <c r="P345" t="inlineStr">
        <is>
          <t>석회석,쇄골재 채취/광물 분쇄</t>
        </is>
      </c>
      <c r="Q345" t="inlineStr">
        <is>
          <t>강원 정선군 남면 문곡리 산330번지</t>
        </is>
      </c>
      <c r="R345" t="inlineStr">
        <is>
          <t>강원 정선군 남면 곰골길 159-13</t>
        </is>
      </c>
    </row>
    <row r="346" ht="19.2" customHeight="1" s="1">
      <c r="A346" t="inlineStr">
        <is>
          <t>NICE:305049</t>
        </is>
      </c>
      <c r="B346" t="inlineStr">
        <is>
          <t>에스비테크</t>
        </is>
      </c>
      <c r="C346" t="inlineStr">
        <is>
          <t>김재영/최승수</t>
        </is>
      </c>
      <c r="D346" t="inlineStr">
        <is>
          <t>043-871-9000</t>
        </is>
      </c>
      <c r="E346" t="inlineStr">
        <is>
          <t>0303-0203-2034</t>
        </is>
      </c>
      <c r="F346" s="3">
        <f>HYPERLINK("http://www.sb-tech.co.kr", "http://www.sb-tech.co.kr")</f>
        <v/>
      </c>
      <c r="G346" t="inlineStr">
        <is>
          <t>3038105811</t>
        </is>
      </c>
      <c r="H346" t="inlineStr">
        <is>
          <t>1545110002214</t>
        </is>
      </c>
      <c r="I346" t="inlineStr">
        <is>
          <t>대상아님</t>
        </is>
      </c>
      <c r="J346" t="inlineStr">
        <is>
          <t>일반법인</t>
        </is>
      </c>
      <c r="K346" t="inlineStr">
        <is>
          <t>중견기업</t>
        </is>
      </c>
      <c r="L346" t="inlineStr">
        <is>
          <t>외부감사대상</t>
        </is>
      </c>
      <c r="M346" s="6" t="inlineStr">
        <is>
          <t>1990-11-02</t>
        </is>
      </c>
      <c r="N346" t="inlineStr">
        <is>
          <t>KRI:10F4249200</t>
        </is>
      </c>
      <c r="O346" t="inlineStr">
        <is>
          <t>건물용 금속공작물 설치 공사업</t>
        </is>
      </c>
      <c r="P346" t="inlineStr">
        <is>
          <t>강구조물공사,설비공사,기계설비공사/반도체 생산시설 설계제작/부동산 임대</t>
        </is>
      </c>
      <c r="Q346" t="inlineStr">
        <is>
          <t>충북 음성군 금왕읍 사창리 226-16번지</t>
        </is>
      </c>
      <c r="R346" t="inlineStr">
        <is>
          <t>충북 음성군 금왕읍 금일로 638</t>
        </is>
      </c>
    </row>
    <row r="347">
      <c r="A347" t="inlineStr">
        <is>
          <t>NICE:308560</t>
        </is>
      </c>
      <c r="B347" t="inlineStr">
        <is>
          <t>동양환경</t>
        </is>
      </c>
      <c r="C347" t="inlineStr">
        <is>
          <t>채상협</t>
        </is>
      </c>
      <c r="D347" t="inlineStr">
        <is>
          <t>042-933-0450-1</t>
        </is>
      </c>
      <c r="E347" t="inlineStr">
        <is>
          <t>042-933-0452</t>
        </is>
      </c>
      <c r="G347" t="inlineStr">
        <is>
          <t>3068115434</t>
        </is>
      </c>
      <c r="H347" t="inlineStr">
        <is>
          <t>1601110032980</t>
        </is>
      </c>
      <c r="I347" t="inlineStr">
        <is>
          <t>대상아님</t>
        </is>
      </c>
      <c r="J347" t="inlineStr">
        <is>
          <t>일반법인</t>
        </is>
      </c>
      <c r="K347" t="inlineStr">
        <is>
          <t>중소기업</t>
        </is>
      </c>
      <c r="L347" t="inlineStr">
        <is>
          <t>외부감사대상</t>
        </is>
      </c>
      <c r="M347" s="6" t="inlineStr">
        <is>
          <t>1992-10-08</t>
        </is>
      </c>
      <c r="N347" t="inlineStr">
        <is>
          <t>KRI:10E3821000</t>
        </is>
      </c>
      <c r="O347" t="inlineStr">
        <is>
          <t>지정 외 폐기물 처리업</t>
        </is>
      </c>
      <c r="P347" t="inlineStr">
        <is>
          <t>산업폐기물 처리.폐품 재생</t>
        </is>
      </c>
      <c r="Q347" t="inlineStr">
        <is>
          <t>대전 대덕구 문평동 69-3번지</t>
        </is>
      </c>
      <c r="R347" t="inlineStr">
        <is>
          <t>대전 대덕구 문평동로48번길 125</t>
        </is>
      </c>
    </row>
    <row r="348" ht="19.2" customHeight="1" s="1">
      <c r="A348" t="inlineStr">
        <is>
          <t>NICE:310514</t>
        </is>
      </c>
      <c r="B348" t="inlineStr">
        <is>
          <t>일산실업</t>
        </is>
      </c>
      <c r="C348" t="inlineStr">
        <is>
          <t>이영환/홍순곤</t>
        </is>
      </c>
      <c r="D348" t="inlineStr">
        <is>
          <t>02-796-5051</t>
        </is>
      </c>
      <c r="E348" t="inlineStr">
        <is>
          <t>02-797-1132</t>
        </is>
      </c>
      <c r="F348" s="3">
        <f>HYPERLINK("http://www.ilsanalc.com", "http://www.ilsanalc.com")</f>
        <v/>
      </c>
      <c r="G348" t="inlineStr">
        <is>
          <t>1068120069</t>
        </is>
      </c>
      <c r="H348" t="inlineStr">
        <is>
          <t>1101110255219</t>
        </is>
      </c>
      <c r="I348" t="inlineStr">
        <is>
          <t>대상아님</t>
        </is>
      </c>
      <c r="J348" t="inlineStr">
        <is>
          <t>일반법인</t>
        </is>
      </c>
      <c r="K348" t="inlineStr">
        <is>
          <t>중소기업</t>
        </is>
      </c>
      <c r="L348" t="inlineStr">
        <is>
          <t>외부감사대상</t>
        </is>
      </c>
      <c r="M348" s="6" t="inlineStr">
        <is>
          <t>1979-06-19</t>
        </is>
      </c>
      <c r="N348" t="inlineStr">
        <is>
          <t>KRI:10C1112100</t>
        </is>
      </c>
      <c r="O348" t="inlineStr">
        <is>
          <t>주정 제조업</t>
        </is>
      </c>
      <c r="P348" t="inlineStr">
        <is>
          <t>주정 제조</t>
        </is>
      </c>
      <c r="Q348" t="inlineStr">
        <is>
          <t>서울 용산구 한남동 794-4번지</t>
        </is>
      </c>
      <c r="R348" t="inlineStr">
        <is>
          <t>서울 용산구 한남대로42길 6</t>
        </is>
      </c>
    </row>
    <row r="349" ht="19.2" customHeight="1" s="1">
      <c r="A349" t="inlineStr">
        <is>
          <t>NICE:310867</t>
        </is>
      </c>
      <c r="B349" t="inlineStr">
        <is>
          <t>윈저글로벌</t>
        </is>
      </c>
      <c r="C349" t="inlineStr">
        <is>
          <t>남경희</t>
        </is>
      </c>
      <c r="D349" t="inlineStr">
        <is>
          <t>031-630-7400</t>
        </is>
      </c>
      <c r="E349" t="inlineStr">
        <is>
          <t>031-636-5805</t>
        </is>
      </c>
      <c r="F349" s="3">
        <f>HYPERLINK("http://www.windsorglobal.co.kr", "http://www.windsorglobal.co.kr")</f>
        <v/>
      </c>
      <c r="G349" t="inlineStr">
        <is>
          <t>1268101858</t>
        </is>
      </c>
      <c r="H349" t="inlineStr">
        <is>
          <t>1344110000545</t>
        </is>
      </c>
      <c r="I349" t="inlineStr">
        <is>
          <t>대상아님</t>
        </is>
      </c>
      <c r="J349" t="inlineStr">
        <is>
          <t>일반법인</t>
        </is>
      </c>
      <c r="K349" t="inlineStr">
        <is>
          <t>중견기업</t>
        </is>
      </c>
      <c r="L349" t="inlineStr">
        <is>
          <t>외부감사대상</t>
        </is>
      </c>
      <c r="M349" s="6" t="inlineStr">
        <is>
          <t>1980-05-03</t>
        </is>
      </c>
      <c r="N349" t="inlineStr">
        <is>
          <t>KRI:10C1112900</t>
        </is>
      </c>
      <c r="O349" t="inlineStr">
        <is>
          <t>기타 증류주 및 합성주 제조업</t>
        </is>
      </c>
      <c r="P349" t="inlineStr">
        <is>
          <t>위스키,합성주,맥주 제조</t>
        </is>
      </c>
      <c r="Q349" t="inlineStr">
        <is>
          <t>경기 이천시 대월면 초지리 165-2번지</t>
        </is>
      </c>
      <c r="R349" t="inlineStr">
        <is>
          <t>경기 이천시 대월면 대월로932번길 63</t>
        </is>
      </c>
    </row>
    <row r="350" ht="19.2" customHeight="1" s="1">
      <c r="A350" t="inlineStr">
        <is>
          <t>NICE:311014</t>
        </is>
      </c>
      <c r="B350" t="inlineStr">
        <is>
          <t>빅솔</t>
        </is>
      </c>
      <c r="C350" t="inlineStr">
        <is>
          <t>김태훈/정소연</t>
        </is>
      </c>
      <c r="D350" t="inlineStr">
        <is>
          <t>031-492-1541</t>
        </is>
      </c>
      <c r="E350" t="inlineStr">
        <is>
          <t>031-468-1503</t>
        </is>
      </c>
      <c r="F350" s="3">
        <f>HYPERLINK("http://www.vixxol.com", "http://www.vixxol.com")</f>
        <v/>
      </c>
      <c r="G350" t="inlineStr">
        <is>
          <t>1238102673</t>
        </is>
      </c>
      <c r="H350" t="inlineStr">
        <is>
          <t>1341110002935</t>
        </is>
      </c>
      <c r="I350" t="inlineStr">
        <is>
          <t>대상아님</t>
        </is>
      </c>
      <c r="J350" t="inlineStr">
        <is>
          <t>일반법인</t>
        </is>
      </c>
      <c r="K350" t="inlineStr">
        <is>
          <t>중소기업</t>
        </is>
      </c>
      <c r="L350" t="inlineStr">
        <is>
          <t>외부감사대상</t>
        </is>
      </c>
      <c r="M350" s="6" t="inlineStr">
        <is>
          <t>1976-05-26</t>
        </is>
      </c>
      <c r="N350" t="inlineStr">
        <is>
          <t>KRI:10G4632900</t>
        </is>
      </c>
      <c r="O350" t="inlineStr">
        <is>
          <t>기타 가공식품 도매업</t>
        </is>
      </c>
      <c r="P350" t="inlineStr">
        <is>
          <t>식품첨가물 도소매,전자상거래,제조/의약품,동물약품,화공약품 제조/부동산 임대</t>
        </is>
      </c>
      <c r="Q350" t="inlineStr">
        <is>
          <t>경기 군포시 산본동 18-11번지 삼성아이티타워 지식산업센터 3층 6층 7층</t>
        </is>
      </c>
      <c r="R350" t="inlineStr">
        <is>
          <t>경기 군포시 엘에스로 196, 3층 6층 7층 (산본동,삼성아이티타워 지식산업센터)</t>
        </is>
      </c>
    </row>
    <row r="351" ht="19.2" customHeight="1" s="1">
      <c r="A351" t="inlineStr">
        <is>
          <t>NICE:311472</t>
        </is>
      </c>
      <c r="B351" t="inlineStr">
        <is>
          <t>한국코카콜라</t>
        </is>
      </c>
      <c r="C351" t="inlineStr">
        <is>
          <t>이준엽</t>
        </is>
      </c>
      <c r="D351" t="inlineStr">
        <is>
          <t>031-450-5900</t>
        </is>
      </c>
      <c r="E351" t="inlineStr">
        <is>
          <t>031-455-3243</t>
        </is>
      </c>
      <c r="F351" s="3">
        <f>HYPERLINK("http://www.coca-cola.com", "http://www.coca-cola.com")</f>
        <v/>
      </c>
      <c r="G351" t="inlineStr">
        <is>
          <t>1388102807</t>
        </is>
      </c>
      <c r="H351" t="inlineStr">
        <is>
          <t>1352140000279</t>
        </is>
      </c>
      <c r="I351" t="inlineStr">
        <is>
          <t>대상아님</t>
        </is>
      </c>
      <c r="J351" t="inlineStr">
        <is>
          <t>일반법인</t>
        </is>
      </c>
      <c r="K351" t="inlineStr">
        <is>
          <t>중견기업</t>
        </is>
      </c>
      <c r="L351" t="inlineStr">
        <is>
          <t>외부감사대상</t>
        </is>
      </c>
      <c r="M351" s="6" t="inlineStr">
        <is>
          <t>1974-01-29</t>
        </is>
      </c>
      <c r="N351" t="inlineStr">
        <is>
          <t>KRI:10C1120900</t>
        </is>
      </c>
      <c r="O351" t="inlineStr">
        <is>
          <t>기타 비알코올 음료 제조업</t>
        </is>
      </c>
      <c r="P351" t="inlineStr">
        <is>
          <t>청량음료(코카콜라,환타),기호음료원제 제조,도매</t>
        </is>
      </c>
      <c r="Q351" t="inlineStr">
        <is>
          <t>경기 의왕시 고천동 289-1번지</t>
        </is>
      </c>
      <c r="R351" t="inlineStr">
        <is>
          <t>경기 의왕시 고천공업로 5</t>
        </is>
      </c>
    </row>
    <row r="352" ht="19.2" customHeight="1" s="1">
      <c r="A352" t="inlineStr">
        <is>
          <t>NICE:311880</t>
        </is>
      </c>
      <c r="B352" t="inlineStr">
        <is>
          <t>선양소주</t>
        </is>
      </c>
      <c r="C352" t="inlineStr">
        <is>
          <t>김규식/조웅래</t>
        </is>
      </c>
      <c r="D352" t="inlineStr">
        <is>
          <t>042-580-1881</t>
        </is>
      </c>
      <c r="E352" t="inlineStr">
        <is>
          <t>042-537-2062</t>
        </is>
      </c>
      <c r="F352" s="3">
        <f>HYPERLINK("http://www.mackisscompany.co.kr", "http://www.mackisscompany.co.kr")</f>
        <v/>
      </c>
      <c r="G352" t="inlineStr">
        <is>
          <t>3148100723</t>
        </is>
      </c>
      <c r="H352" t="inlineStr">
        <is>
          <t>1601110005200</t>
        </is>
      </c>
      <c r="I352" t="inlineStr">
        <is>
          <t>대상아님</t>
        </is>
      </c>
      <c r="J352" t="inlineStr">
        <is>
          <t>일반법인</t>
        </is>
      </c>
      <c r="K352" t="inlineStr">
        <is>
          <t>중소기업</t>
        </is>
      </c>
      <c r="L352" t="inlineStr">
        <is>
          <t>외부감사대상</t>
        </is>
      </c>
      <c r="M352" s="6" t="inlineStr">
        <is>
          <t>1973-08-21</t>
        </is>
      </c>
      <c r="N352" t="inlineStr">
        <is>
          <t>KRI:10C1112200</t>
        </is>
      </c>
      <c r="O352" t="inlineStr">
        <is>
          <t>소주 제조업</t>
        </is>
      </c>
      <c r="P352" t="inlineStr">
        <is>
          <t>소주 제조/부동산 임대/콘텐츠 제작,기술,산업디자인,환경디자인,시각디자인 개발,첨단공연,전시,과학전시관 운영</t>
        </is>
      </c>
      <c r="Q352" t="inlineStr">
        <is>
          <t>대전 서구 오동 276번지</t>
        </is>
      </c>
      <c r="R352" t="inlineStr">
        <is>
          <t>대전 서구 영골길 158</t>
        </is>
      </c>
    </row>
    <row r="353" ht="19.2" customHeight="1" s="1">
      <c r="A353" t="inlineStr">
        <is>
          <t>NICE:312193</t>
        </is>
      </c>
      <c r="B353" t="inlineStr">
        <is>
          <t>동화청과</t>
        </is>
      </c>
      <c r="C353" t="inlineStr">
        <is>
          <t>홍성호</t>
        </is>
      </c>
      <c r="D353" t="inlineStr">
        <is>
          <t>02-3435-7000</t>
        </is>
      </c>
      <c r="E353" t="inlineStr">
        <is>
          <t>02-3435-7009</t>
        </is>
      </c>
      <c r="F353" s="3">
        <f>HYPERLINK("http://www.donghwafp.com", "http://www.donghwafp.com")</f>
        <v/>
      </c>
      <c r="G353" t="inlineStr">
        <is>
          <t>2158103383</t>
        </is>
      </c>
      <c r="H353" t="inlineStr">
        <is>
          <t>1101110215528</t>
        </is>
      </c>
      <c r="I353" t="inlineStr">
        <is>
          <t>대상아님</t>
        </is>
      </c>
      <c r="J353" t="inlineStr">
        <is>
          <t>일반법인</t>
        </is>
      </c>
      <c r="K353" t="inlineStr">
        <is>
          <t>중견기업</t>
        </is>
      </c>
      <c r="L353" t="inlineStr">
        <is>
          <t>외부감사대상</t>
        </is>
      </c>
      <c r="M353" s="6" t="inlineStr">
        <is>
          <t>1977-06-25</t>
        </is>
      </c>
      <c r="N353" t="inlineStr">
        <is>
          <t>KRI:10G4610200</t>
        </is>
      </c>
      <c r="O353" t="inlineStr">
        <is>
          <t>음ㆍ식료품 및 담배 중개업</t>
        </is>
      </c>
      <c r="P353" t="inlineStr">
        <is>
          <t>농수산물(과일,채소류) 수탁매매,저장</t>
        </is>
      </c>
      <c r="Q353" t="inlineStr">
        <is>
          <t>서울 송파구 가락동 600번지</t>
        </is>
      </c>
      <c r="R353" t="inlineStr">
        <is>
          <t>서울 송파구 양재대로 932</t>
        </is>
      </c>
    </row>
    <row r="354" ht="19.2" customHeight="1" s="1">
      <c r="A354" t="inlineStr">
        <is>
          <t>NICE:320560</t>
        </is>
      </c>
      <c r="B354" t="inlineStr">
        <is>
          <t>금강</t>
        </is>
      </c>
      <c r="C354" t="inlineStr">
        <is>
          <t>신기은/이종문</t>
        </is>
      </c>
      <c r="D354" t="inlineStr">
        <is>
          <t>1644-9247</t>
        </is>
      </c>
      <c r="E354" t="inlineStr">
        <is>
          <t>02-3489-5967</t>
        </is>
      </c>
      <c r="F354" s="3">
        <f>HYPERLINK("http://www.kumkang.com", "http://www.kumkang.com")</f>
        <v/>
      </c>
      <c r="G354" t="inlineStr">
        <is>
          <t>1228104585</t>
        </is>
      </c>
      <c r="H354" t="inlineStr">
        <is>
          <t>1201110018053</t>
        </is>
      </c>
      <c r="I354" t="inlineStr">
        <is>
          <t>대상아님</t>
        </is>
      </c>
      <c r="J354" t="inlineStr">
        <is>
          <t>일반법인</t>
        </is>
      </c>
      <c r="K354" t="inlineStr">
        <is>
          <t>중견기업</t>
        </is>
      </c>
      <c r="L354" t="inlineStr">
        <is>
          <t>외부감사대상</t>
        </is>
      </c>
      <c r="M354" s="6" t="inlineStr">
        <is>
          <t>1973-03-22</t>
        </is>
      </c>
      <c r="N354" t="inlineStr">
        <is>
          <t>KRI:10C1521100</t>
        </is>
      </c>
      <c r="O354" t="inlineStr">
        <is>
          <t>구두류 제조업</t>
        </is>
      </c>
      <c r="P354" t="inlineStr">
        <is>
          <t>고급신발,의류,잡화 제조/신용카드발행관리</t>
        </is>
      </c>
      <c r="Q354" t="inlineStr">
        <is>
          <t>세종 전동면 노장리 404-2번지</t>
        </is>
      </c>
      <c r="R354" t="inlineStr">
        <is>
          <t>세종 전동면 노장공단길 59</t>
        </is>
      </c>
    </row>
    <row r="355" ht="19.2" customHeight="1" s="1">
      <c r="A355" t="inlineStr">
        <is>
          <t>NICE:322377</t>
        </is>
      </c>
      <c r="B355" t="inlineStr">
        <is>
          <t>송월</t>
        </is>
      </c>
      <c r="C355" t="inlineStr">
        <is>
          <t>박병대</t>
        </is>
      </c>
      <c r="D355" t="inlineStr">
        <is>
          <t>055-911-1000</t>
        </is>
      </c>
      <c r="E355" t="inlineStr">
        <is>
          <t>055-911-0990</t>
        </is>
      </c>
      <c r="F355" s="3">
        <f>HYPERLINK("http://www.songwol.com", "http://www.songwol.com")</f>
        <v/>
      </c>
      <c r="G355" t="inlineStr">
        <is>
          <t>6078117714</t>
        </is>
      </c>
      <c r="H355" t="inlineStr">
        <is>
          <t>1801110021799</t>
        </is>
      </c>
      <c r="I355" t="inlineStr">
        <is>
          <t>대상아님</t>
        </is>
      </c>
      <c r="J355" t="inlineStr">
        <is>
          <t>일반법인</t>
        </is>
      </c>
      <c r="K355" t="inlineStr">
        <is>
          <t>중소기업</t>
        </is>
      </c>
      <c r="L355" t="inlineStr">
        <is>
          <t>외부감사대상</t>
        </is>
      </c>
      <c r="M355" s="6" t="inlineStr">
        <is>
          <t>1949-10-15</t>
        </is>
      </c>
      <c r="N355" t="inlineStr">
        <is>
          <t>KRI:10C1399900</t>
        </is>
      </c>
      <c r="O355" t="inlineStr">
        <is>
          <t>그 외 기타 분류 안된 섬유제품 제조업</t>
        </is>
      </c>
      <c r="P355" t="inlineStr">
        <is>
          <t>직물제품,염색,타올 제조/섬유제품,우산 도소매/부동산 임대/산업용기계 임대,임가공</t>
        </is>
      </c>
      <c r="Q355" t="inlineStr">
        <is>
          <t>경남 양산시 유산동 250번지</t>
        </is>
      </c>
      <c r="R355" t="inlineStr">
        <is>
          <t>경남 양산시 유산공단7길 45</t>
        </is>
      </c>
    </row>
    <row r="356" ht="19.2" customHeight="1" s="1">
      <c r="A356" t="inlineStr">
        <is>
          <t>NICE:322970</t>
        </is>
      </c>
      <c r="B356" t="inlineStr">
        <is>
          <t>재능유통</t>
        </is>
      </c>
      <c r="C356" t="inlineStr">
        <is>
          <t>이헌우</t>
        </is>
      </c>
      <c r="D356" t="inlineStr">
        <is>
          <t>02-2028-5000</t>
        </is>
      </c>
      <c r="E356" t="inlineStr">
        <is>
          <t>02-2028-5011</t>
        </is>
      </c>
      <c r="F356" s="3">
        <f>HYPERLINK("http://www.jeiplatz.com", "http://www.jeiplatz.com")</f>
        <v/>
      </c>
      <c r="G356" t="inlineStr">
        <is>
          <t>1198104070</t>
        </is>
      </c>
      <c r="H356" t="inlineStr">
        <is>
          <t>1101110149363</t>
        </is>
      </c>
      <c r="I356" t="inlineStr">
        <is>
          <t>대상아님</t>
        </is>
      </c>
      <c r="J356" t="inlineStr">
        <is>
          <t>일반법인</t>
        </is>
      </c>
      <c r="K356" t="inlineStr">
        <is>
          <t>중소기업</t>
        </is>
      </c>
      <c r="L356" t="inlineStr">
        <is>
          <t>외부감사대상</t>
        </is>
      </c>
      <c r="M356" s="6" t="inlineStr">
        <is>
          <t>1973-07-19</t>
        </is>
      </c>
      <c r="N356" t="inlineStr">
        <is>
          <t>KRI:10L6811200</t>
        </is>
      </c>
      <c r="O356" t="inlineStr">
        <is>
          <t>비주거용 건물 임대업</t>
        </is>
      </c>
      <c r="P356" t="inlineStr">
        <is>
          <t>부동산 임대/지류 운송,보관,도매/생활용품 도매</t>
        </is>
      </c>
      <c r="Q356" t="inlineStr">
        <is>
          <t>서울 금천구 가산동 459-11번지</t>
        </is>
      </c>
      <c r="R356" t="inlineStr">
        <is>
          <t>서울 금천구 가산디지털1로 186</t>
        </is>
      </c>
    </row>
    <row r="357" ht="19.2" customHeight="1" s="1">
      <c r="A357" t="inlineStr">
        <is>
          <t>NICE:327638</t>
        </is>
      </c>
      <c r="B357" t="inlineStr">
        <is>
          <t>삼호산업</t>
        </is>
      </c>
      <c r="C357" t="inlineStr">
        <is>
          <t>박연구</t>
        </is>
      </c>
      <c r="D357" t="inlineStr">
        <is>
          <t>051-550-1101</t>
        </is>
      </c>
      <c r="E357" t="inlineStr">
        <is>
          <t>051-531-0254</t>
        </is>
      </c>
      <c r="F357" s="3">
        <f>HYPERLINK("http://www.esamho.com", "http://www.esamho.com")</f>
        <v/>
      </c>
      <c r="G357" t="inlineStr">
        <is>
          <t>6188109567</t>
        </is>
      </c>
      <c r="H357" t="inlineStr">
        <is>
          <t>1801110103042</t>
        </is>
      </c>
      <c r="I357" t="inlineStr">
        <is>
          <t>대상아님</t>
        </is>
      </c>
      <c r="J357" t="inlineStr">
        <is>
          <t>일반법인</t>
        </is>
      </c>
      <c r="K357" t="inlineStr">
        <is>
          <t>중견기업</t>
        </is>
      </c>
      <c r="L357" t="inlineStr">
        <is>
          <t>외부감사대상</t>
        </is>
      </c>
      <c r="M357" s="6" t="inlineStr">
        <is>
          <t>1990-08-01</t>
        </is>
      </c>
      <c r="N357" t="inlineStr">
        <is>
          <t>KRI:10G4642000</t>
        </is>
      </c>
      <c r="O357" t="inlineStr">
        <is>
          <t>신발 도매업</t>
        </is>
      </c>
      <c r="P357" t="inlineStr">
        <is>
          <t>신발 도소매,무역(수출),제조</t>
        </is>
      </c>
      <c r="Q357" t="inlineStr">
        <is>
          <t>부산 해운대구 반여동 1486-40번지</t>
        </is>
      </c>
      <c r="R357" t="inlineStr">
        <is>
          <t>부산 해운대구 해운대로 35</t>
        </is>
      </c>
    </row>
    <row r="358" ht="19.2" customHeight="1" s="1">
      <c r="A358" t="inlineStr">
        <is>
          <t>NICE:341304</t>
        </is>
      </c>
      <c r="B358" t="inlineStr">
        <is>
          <t>서울신문사</t>
        </is>
      </c>
      <c r="C358" t="inlineStr">
        <is>
          <t>김성수</t>
        </is>
      </c>
      <c r="D358" t="inlineStr">
        <is>
          <t>02-2000-9000</t>
        </is>
      </c>
      <c r="E358" t="inlineStr">
        <is>
          <t>02-2000-9068</t>
        </is>
      </c>
      <c r="F358" s="3">
        <f>HYPERLINK("http://www.seoul.co.kr", "http://www.seoul.co.kr")</f>
        <v/>
      </c>
      <c r="G358" t="inlineStr">
        <is>
          <t>1048124680</t>
        </is>
      </c>
      <c r="H358" t="inlineStr">
        <is>
          <t>1101110013493</t>
        </is>
      </c>
      <c r="I358" t="inlineStr">
        <is>
          <t>대상아님</t>
        </is>
      </c>
      <c r="J358" t="inlineStr">
        <is>
          <t>일반법인</t>
        </is>
      </c>
      <c r="K358" t="inlineStr">
        <is>
          <t>대기업</t>
        </is>
      </c>
      <c r="L358" t="inlineStr">
        <is>
          <t>외부감사대상</t>
        </is>
      </c>
      <c r="M358" s="6" t="inlineStr">
        <is>
          <t>1938-04-28</t>
        </is>
      </c>
      <c r="N358" t="inlineStr">
        <is>
          <t>KRI:10J5812100</t>
        </is>
      </c>
      <c r="O358" t="inlineStr">
        <is>
          <t>신문 발행업</t>
        </is>
      </c>
      <c r="P358" t="inlineStr">
        <is>
          <t>신문 발행,광고</t>
        </is>
      </c>
      <c r="Q358" t="inlineStr">
        <is>
          <t>서울 중구 태평로1가 25번지</t>
        </is>
      </c>
      <c r="R358" t="inlineStr">
        <is>
          <t>서울 중구 세종대로 124</t>
        </is>
      </c>
    </row>
    <row r="359" ht="19.2" customHeight="1" s="1">
      <c r="A359" t="inlineStr">
        <is>
          <t>NICE:353647</t>
        </is>
      </c>
      <c r="B359" t="inlineStr">
        <is>
          <t>크리버코리아</t>
        </is>
      </c>
      <c r="C359" t="inlineStr">
        <is>
          <t>남경아</t>
        </is>
      </c>
      <c r="D359" t="inlineStr">
        <is>
          <t>02-782-2121</t>
        </is>
      </c>
      <c r="E359" t="inlineStr">
        <is>
          <t>0704-275-1169</t>
        </is>
      </c>
      <c r="F359" s="3">
        <f>HYPERLINK("http://www.klueber.co.kr", "http://www.klueber.co.kr")</f>
        <v/>
      </c>
      <c r="G359" t="inlineStr">
        <is>
          <t>1168160224</t>
        </is>
      </c>
      <c r="H359" t="inlineStr">
        <is>
          <t>1101110403941</t>
        </is>
      </c>
      <c r="I359" t="inlineStr">
        <is>
          <t>대상아님</t>
        </is>
      </c>
      <c r="J359" t="inlineStr">
        <is>
          <t>일반법인</t>
        </is>
      </c>
      <c r="K359" t="inlineStr">
        <is>
          <t>중소기업</t>
        </is>
      </c>
      <c r="L359" t="inlineStr">
        <is>
          <t>외부감사대상</t>
        </is>
      </c>
      <c r="M359" s="6" t="inlineStr">
        <is>
          <t>1979-12-26</t>
        </is>
      </c>
      <c r="N359" t="inlineStr">
        <is>
          <t>KRI:10C1922100</t>
        </is>
      </c>
      <c r="O359" t="inlineStr">
        <is>
          <t>윤활유 및 그리스 제조업</t>
        </is>
      </c>
      <c r="P359" t="inlineStr">
        <is>
          <t>특수윤활유(그리스,오일),화공약품 제조/무역</t>
        </is>
      </c>
      <c r="Q359" t="inlineStr">
        <is>
          <t>서울 마포구 도화동 565번지 에스엔유장학빌딩 17층</t>
        </is>
      </c>
      <c r="R359" t="inlineStr">
        <is>
          <t>서울 마포구 새창로 7, 17층 (도화동,에스엔유장학빌딩)</t>
        </is>
      </c>
    </row>
    <row r="360" ht="19.2" customHeight="1" s="1">
      <c r="A360" t="inlineStr">
        <is>
          <t>NICE:353787</t>
        </is>
      </c>
      <c r="B360" t="inlineStr">
        <is>
          <t>금호폴리켐</t>
        </is>
      </c>
      <c r="C360" t="inlineStr">
        <is>
          <t>김선규</t>
        </is>
      </c>
      <c r="D360" t="inlineStr">
        <is>
          <t>02-6961-1114</t>
        </is>
      </c>
      <c r="E360" t="inlineStr">
        <is>
          <t>02-6961-3882</t>
        </is>
      </c>
      <c r="F360" s="3">
        <f>HYPERLINK("http://www.polychem.co.kr", "http://www.polychem.co.kr")</f>
        <v/>
      </c>
      <c r="G360" t="inlineStr">
        <is>
          <t>1048134515</t>
        </is>
      </c>
      <c r="H360" t="inlineStr">
        <is>
          <t>1101110400533</t>
        </is>
      </c>
      <c r="I360" t="inlineStr">
        <is>
          <t>대상아님</t>
        </is>
      </c>
      <c r="J360" t="inlineStr">
        <is>
          <t>일반법인</t>
        </is>
      </c>
      <c r="K360" t="inlineStr">
        <is>
          <t>중견기업</t>
        </is>
      </c>
      <c r="L360" t="inlineStr">
        <is>
          <t>외부감사대상</t>
        </is>
      </c>
      <c r="M360" s="6" t="inlineStr">
        <is>
          <t>1985-06-05</t>
        </is>
      </c>
      <c r="N360" t="inlineStr">
        <is>
          <t>KRI:10C2020100</t>
        </is>
      </c>
      <c r="O360" t="inlineStr">
        <is>
          <t>합성고무 제조업</t>
        </is>
      </c>
      <c r="P360" t="inlineStr">
        <is>
          <t>이피고무,합성고무,수지제품 제조,도매,수출입</t>
        </is>
      </c>
      <c r="Q360" t="inlineStr">
        <is>
          <t>서울 중구 수표동 99번지</t>
        </is>
      </c>
      <c r="R360" t="inlineStr">
        <is>
          <t>서울 중구 청계천로 100</t>
        </is>
      </c>
    </row>
    <row r="361" ht="19.2" customHeight="1" s="1">
      <c r="A361" t="inlineStr">
        <is>
          <t>NICE:354880</t>
        </is>
      </c>
      <c r="B361" t="inlineStr">
        <is>
          <t>니프코코리아</t>
        </is>
      </c>
      <c r="C361" t="inlineStr">
        <is>
          <t>사공한</t>
        </is>
      </c>
      <c r="D361" t="inlineStr">
        <is>
          <t>041-640-0100</t>
        </is>
      </c>
      <c r="E361" t="inlineStr">
        <is>
          <t>041-640-0198-9</t>
        </is>
      </c>
      <c r="F361" s="3">
        <f>HYPERLINK("http://www.nifco.co.kr", "http://www.nifco.co.kr")</f>
        <v/>
      </c>
      <c r="G361" t="inlineStr">
        <is>
          <t>2118144306</t>
        </is>
      </c>
      <c r="H361" t="inlineStr">
        <is>
          <t>1753110001322</t>
        </is>
      </c>
      <c r="I361" t="inlineStr">
        <is>
          <t>대상아님</t>
        </is>
      </c>
      <c r="J361" t="inlineStr">
        <is>
          <t>일반법인</t>
        </is>
      </c>
      <c r="K361" t="inlineStr">
        <is>
          <t>중견기업</t>
        </is>
      </c>
      <c r="L361" t="inlineStr">
        <is>
          <t>외부감사대상</t>
        </is>
      </c>
      <c r="M361" s="6" t="inlineStr">
        <is>
          <t>1985-01-31</t>
        </is>
      </c>
      <c r="N361" t="inlineStr">
        <is>
          <t>KRI:10C2224100</t>
        </is>
      </c>
      <c r="O361" t="inlineStr">
        <is>
          <t>운송장비 조립용 플라스틱제품 제조업</t>
        </is>
      </c>
      <c r="P361" t="inlineStr">
        <is>
          <t>엔지니어링프라스틱제품 제조/건설,토목공사용 기계장비 임대/소프트웨어제작,공급,유지보수</t>
        </is>
      </c>
      <c r="Q361" t="inlineStr">
        <is>
          <t>충남 아산시 둔포면 석곡리 1508번지</t>
        </is>
      </c>
      <c r="R361" t="inlineStr">
        <is>
          <t>충남 아산시 둔포면 아산밸리남로 146</t>
        </is>
      </c>
    </row>
    <row r="362" ht="19.2" customHeight="1" s="1">
      <c r="A362" t="inlineStr">
        <is>
          <t>NICE:355070</t>
        </is>
      </c>
      <c r="B362" t="inlineStr">
        <is>
          <t>한주</t>
        </is>
      </c>
      <c r="C362" t="inlineStr">
        <is>
          <t>임중규</t>
        </is>
      </c>
      <c r="D362" t="inlineStr">
        <is>
          <t>052-270-5201</t>
        </is>
      </c>
      <c r="E362" t="inlineStr">
        <is>
          <t>052-270-5205</t>
        </is>
      </c>
      <c r="F362" s="3">
        <f>HYPERLINK("http://www.hanjucorp.co.kr", "http://www.hanjucorp.co.kr")</f>
        <v/>
      </c>
      <c r="G362" t="inlineStr">
        <is>
          <t>6108104501</t>
        </is>
      </c>
      <c r="H362" t="inlineStr">
        <is>
          <t>1812110007663</t>
        </is>
      </c>
      <c r="I362" t="inlineStr">
        <is>
          <t>대상아님</t>
        </is>
      </c>
      <c r="J362" t="inlineStr">
        <is>
          <t>일반법인</t>
        </is>
      </c>
      <c r="K362" t="inlineStr">
        <is>
          <t>중견기업</t>
        </is>
      </c>
      <c r="L362" t="inlineStr">
        <is>
          <t>외부감사대상</t>
        </is>
      </c>
      <c r="M362" s="6" t="inlineStr">
        <is>
          <t>1987-03-17</t>
        </is>
      </c>
      <c r="N362" t="inlineStr">
        <is>
          <t>KRI:10D3530000</t>
        </is>
      </c>
      <c r="O362" t="inlineStr">
        <is>
          <t>증기, 냉ㆍ온수 및 공기조절 공급업</t>
        </is>
      </c>
      <c r="P362" t="inlineStr">
        <is>
          <t>증기,전기,공업용수 공급/정제염 제조</t>
        </is>
      </c>
      <c r="Q362" t="inlineStr">
        <is>
          <t>울산 남구 부곡동 625번지</t>
        </is>
      </c>
      <c r="R362" t="inlineStr">
        <is>
          <t>울산 남구 사평로 60</t>
        </is>
      </c>
    </row>
    <row r="363" ht="19.2" customHeight="1" s="1">
      <c r="A363" t="inlineStr">
        <is>
          <t>NICE:355682</t>
        </is>
      </c>
      <c r="B363" t="inlineStr">
        <is>
          <t>아이씨이아이우방</t>
        </is>
      </c>
      <c r="C363" t="inlineStr">
        <is>
          <t>이정수/이찬우</t>
        </is>
      </c>
      <c r="D363" t="inlineStr">
        <is>
          <t>055-370-8800</t>
        </is>
      </c>
      <c r="E363" t="inlineStr">
        <is>
          <t>055-370-8899</t>
        </is>
      </c>
      <c r="F363" s="3">
        <f>HYPERLINK("http://icei.co.kr", "http://icei.co.kr")</f>
        <v/>
      </c>
      <c r="G363" t="inlineStr">
        <is>
          <t>6218100107</t>
        </is>
      </c>
      <c r="H363" t="inlineStr">
        <is>
          <t>1845110001153</t>
        </is>
      </c>
      <c r="I363" t="inlineStr">
        <is>
          <t>대상아님</t>
        </is>
      </c>
      <c r="J363" t="inlineStr">
        <is>
          <t>일반법인</t>
        </is>
      </c>
      <c r="K363" t="inlineStr">
        <is>
          <t>중소기업</t>
        </is>
      </c>
      <c r="L363" t="inlineStr">
        <is>
          <t>외부감사대상</t>
        </is>
      </c>
      <c r="M363" s="6" t="inlineStr">
        <is>
          <t>1984-07-07</t>
        </is>
      </c>
      <c r="N363" t="inlineStr">
        <is>
          <t>KRI:10C2049900</t>
        </is>
      </c>
      <c r="O363" t="inlineStr">
        <is>
          <t>그 외 기타 분류 안된 화학제품 제조업</t>
        </is>
      </c>
      <c r="P363" t="inlineStr">
        <is>
          <t>방모제,소모유제 제조,도소매/염색조제 제조/의류,제관용도료 도소매,무역/배관화학세정공사</t>
        </is>
      </c>
      <c r="Q363" t="inlineStr">
        <is>
          <t>경남 양산시 유산동 196-6번지</t>
        </is>
      </c>
      <c r="R363" t="inlineStr">
        <is>
          <t>경남 양산시 유산공단4길 28</t>
        </is>
      </c>
    </row>
    <row r="364" ht="19.2" customHeight="1" s="1">
      <c r="A364" t="inlineStr">
        <is>
          <t>NICE:356034</t>
        </is>
      </c>
      <c r="B364" t="inlineStr">
        <is>
          <t>헨켈코리아</t>
        </is>
      </c>
      <c r="C364" t="inlineStr">
        <is>
          <t>김영미/장호준</t>
        </is>
      </c>
      <c r="D364" t="inlineStr">
        <is>
          <t>041-553-0948</t>
        </is>
      </c>
      <c r="E364" t="inlineStr">
        <is>
          <t>041-553-0695</t>
        </is>
      </c>
      <c r="F364" s="3">
        <f>HYPERLINK("http://henkel.co.kr", "http://henkel.co.kr")</f>
        <v/>
      </c>
      <c r="G364" t="inlineStr">
        <is>
          <t>3128103699</t>
        </is>
      </c>
      <c r="H364" t="inlineStr">
        <is>
          <t>1615140001568</t>
        </is>
      </c>
      <c r="I364" t="inlineStr">
        <is>
          <t>대상아님</t>
        </is>
      </c>
      <c r="J364" t="inlineStr">
        <is>
          <t>일반법인</t>
        </is>
      </c>
      <c r="K364" t="inlineStr">
        <is>
          <t>중견기업</t>
        </is>
      </c>
      <c r="L364" t="inlineStr">
        <is>
          <t>외부감사대상</t>
        </is>
      </c>
      <c r="M364" s="6" t="inlineStr">
        <is>
          <t>1985-05-02</t>
        </is>
      </c>
      <c r="N364" t="inlineStr">
        <is>
          <t>KRI:10C2049300</t>
        </is>
      </c>
      <c r="O364" t="inlineStr">
        <is>
          <t>접착제 및 젤라틴 제조업</t>
        </is>
      </c>
      <c r="P364" t="inlineStr">
        <is>
          <t>접착제(반도체용,자동차용,산업용),정밀고분자복합수지,젤라틴 제조,도매</t>
        </is>
      </c>
      <c r="Q364" t="inlineStr">
        <is>
          <t>충남 천안시 동남구 성남면 용원리 258-6번지</t>
        </is>
      </c>
      <c r="R364" t="inlineStr">
        <is>
          <t>충남 천안시 동남구 성남면 성남로 292</t>
        </is>
      </c>
    </row>
    <row r="365" ht="19.2" customHeight="1" s="1">
      <c r="A365" t="inlineStr">
        <is>
          <t>NICE:356468</t>
        </is>
      </c>
      <c r="B365" t="inlineStr">
        <is>
          <t>금호미쓰이화학</t>
        </is>
      </c>
      <c r="C365" t="inlineStr">
        <is>
          <t>박찬구/타시로시게키</t>
        </is>
      </c>
      <c r="D365" t="inlineStr">
        <is>
          <t>02-6961-3795</t>
        </is>
      </c>
      <c r="E365" t="inlineStr">
        <is>
          <t>02-6961-3779</t>
        </is>
      </c>
      <c r="F365" s="3">
        <f>HYPERLINK("http://www.kmci.co.kr", "http://www.kmci.co.kr")</f>
        <v/>
      </c>
      <c r="G365" t="inlineStr">
        <is>
          <t>1028131282</t>
        </is>
      </c>
      <c r="H365" t="inlineStr">
        <is>
          <t>1101110612980</t>
        </is>
      </c>
      <c r="I365" t="inlineStr">
        <is>
          <t>대상아님</t>
        </is>
      </c>
      <c r="J365" t="inlineStr">
        <is>
          <t>일반법인</t>
        </is>
      </c>
      <c r="K365" t="inlineStr">
        <is>
          <t>중견기업</t>
        </is>
      </c>
      <c r="L365" t="inlineStr">
        <is>
          <t>외부감사대상</t>
        </is>
      </c>
      <c r="M365" s="6" t="inlineStr">
        <is>
          <t>1989-03-02</t>
        </is>
      </c>
      <c r="N365" t="inlineStr">
        <is>
          <t>KRI:10C2011100</t>
        </is>
      </c>
      <c r="O365" t="inlineStr">
        <is>
          <t>석유화학계 기초 화학물질 제조업</t>
        </is>
      </c>
      <c r="P365" t="inlineStr">
        <is>
          <t>MDI(석유화학제품) 제조,도소매</t>
        </is>
      </c>
      <c r="Q365" t="inlineStr">
        <is>
          <t>서울 중구 수표동 99번지</t>
        </is>
      </c>
      <c r="R365" t="inlineStr">
        <is>
          <t>서울 중구 청계천로 100</t>
        </is>
      </c>
    </row>
    <row r="366" ht="19.2" customHeight="1" s="1">
      <c r="A366" t="inlineStr">
        <is>
          <t>NICE:356565</t>
        </is>
      </c>
      <c r="B366" t="inlineStr">
        <is>
          <t>에이치에이코리아</t>
        </is>
      </c>
      <c r="C366" t="inlineStr">
        <is>
          <t>배기호</t>
        </is>
      </c>
      <c r="D366" t="inlineStr">
        <is>
          <t>031-364-0410</t>
        </is>
      </c>
      <c r="E366" t="inlineStr">
        <is>
          <t>031-499-1249</t>
        </is>
      </c>
      <c r="F366" s="3">
        <f>HYPERLINK("http://www.hakorea.co.kr", "http://www.hakorea.co.kr")</f>
        <v/>
      </c>
      <c r="G366" t="inlineStr">
        <is>
          <t>1338125673</t>
        </is>
      </c>
      <c r="H366" t="inlineStr">
        <is>
          <t>1201110054867</t>
        </is>
      </c>
      <c r="I366" t="inlineStr">
        <is>
          <t>대상아님</t>
        </is>
      </c>
      <c r="J366" t="inlineStr">
        <is>
          <t>일반법인</t>
        </is>
      </c>
      <c r="K366" t="inlineStr">
        <is>
          <t>중견기업</t>
        </is>
      </c>
      <c r="L366" t="inlineStr">
        <is>
          <t>외부감사대상</t>
        </is>
      </c>
      <c r="M366" s="6" t="inlineStr">
        <is>
          <t>1989-11-30</t>
        </is>
      </c>
      <c r="N366" t="inlineStr">
        <is>
          <t>KRI:10C2049900</t>
        </is>
      </c>
      <c r="O366" t="inlineStr">
        <is>
          <t>그 외 기타 분류 안된 화학제품 제조업</t>
        </is>
      </c>
      <c r="P366" t="inlineStr">
        <is>
          <t>주물용,마찰재용,지석연마용 점결제 제조,도매</t>
        </is>
      </c>
      <c r="Q366" t="inlineStr">
        <is>
          <t>경기 시흥시 정왕동 1237-4번지</t>
        </is>
      </c>
      <c r="R366" t="inlineStr">
        <is>
          <t>경기 시흥시 경제로 45</t>
        </is>
      </c>
    </row>
    <row r="367" ht="19.2" customHeight="1" s="1">
      <c r="A367" t="inlineStr">
        <is>
          <t>NICE:356778</t>
        </is>
      </c>
      <c r="B367" t="inlineStr">
        <is>
          <t>엘엑스엠엠에이</t>
        </is>
      </c>
      <c r="C367" t="inlineStr">
        <is>
          <t>박종일/카타오카신야</t>
        </is>
      </c>
      <c r="D367" t="inlineStr">
        <is>
          <t>061-688-2600</t>
        </is>
      </c>
      <c r="E367" t="inlineStr">
        <is>
          <t>061-688-2565</t>
        </is>
      </c>
      <c r="F367" s="3">
        <f>HYPERLINK("http://www.lxmma.com", "http://www.lxmma.com")</f>
        <v/>
      </c>
      <c r="G367" t="inlineStr">
        <is>
          <t>4178105600</t>
        </is>
      </c>
      <c r="H367" t="inlineStr">
        <is>
          <t>2062110001805</t>
        </is>
      </c>
      <c r="I367" t="inlineStr">
        <is>
          <t>대상아님</t>
        </is>
      </c>
      <c r="J367" t="inlineStr">
        <is>
          <t>일반법인</t>
        </is>
      </c>
      <c r="K367" t="inlineStr">
        <is>
          <t>대기업</t>
        </is>
      </c>
      <c r="L367" t="inlineStr">
        <is>
          <t>외부감사대상</t>
        </is>
      </c>
      <c r="M367" s="6" t="inlineStr">
        <is>
          <t>1991-03-28</t>
        </is>
      </c>
      <c r="N367" t="inlineStr">
        <is>
          <t>KRI:10C2011900</t>
        </is>
      </c>
      <c r="O367" t="inlineStr">
        <is>
          <t>석탄화학계 화합물 및 기타 기초 유기 화학물질 제조업</t>
        </is>
      </c>
      <c r="P367" t="inlineStr">
        <is>
          <t>메틸매타크릴레이트(MMA,유기화학제품),이소브틸렌 제조,도소매</t>
        </is>
      </c>
      <c r="Q367" t="inlineStr">
        <is>
          <t>전남 여수시 중흥동 759번지</t>
        </is>
      </c>
      <c r="R367" t="inlineStr">
        <is>
          <t>전남 여수시 여수산단4로 58</t>
        </is>
      </c>
    </row>
    <row r="368" ht="19.2" customHeight="1" s="1">
      <c r="A368" t="inlineStr">
        <is>
          <t>NICE:356794</t>
        </is>
      </c>
      <c r="B368" t="inlineStr">
        <is>
          <t>조광요턴</t>
        </is>
      </c>
      <c r="C368" t="inlineStr">
        <is>
          <t>마틴트레인입센/홍민규</t>
        </is>
      </c>
      <c r="D368" t="inlineStr">
        <is>
          <t>051-797-6000</t>
        </is>
      </c>
      <c r="E368" t="inlineStr">
        <is>
          <t>051-711-7735</t>
        </is>
      </c>
      <c r="F368" s="3">
        <f>HYPERLINK("http://www.jotun.co.kr", "http://www.jotun.co.kr")</f>
        <v/>
      </c>
      <c r="G368" t="inlineStr">
        <is>
          <t>6218104573</t>
        </is>
      </c>
      <c r="H368" t="inlineStr">
        <is>
          <t>1845110003430</t>
        </is>
      </c>
      <c r="I368" t="inlineStr">
        <is>
          <t>대상아님</t>
        </is>
      </c>
      <c r="J368" t="inlineStr">
        <is>
          <t>일반법인</t>
        </is>
      </c>
      <c r="K368" t="inlineStr">
        <is>
          <t>중견기업</t>
        </is>
      </c>
      <c r="L368" t="inlineStr">
        <is>
          <t>외부감사대상</t>
        </is>
      </c>
      <c r="M368" s="6" t="inlineStr">
        <is>
          <t>1988-03-24</t>
        </is>
      </c>
      <c r="N368" t="inlineStr">
        <is>
          <t>KRI:10C2041100</t>
        </is>
      </c>
      <c r="O368" t="inlineStr">
        <is>
          <t>일반용 도료 및 관련제품 제조업</t>
        </is>
      </c>
      <c r="P368" t="inlineStr">
        <is>
          <t>보호피막페인트,부식방지재료,유성도료,수지도료 제조,도소매/기술 제공</t>
        </is>
      </c>
      <c r="Q368" t="inlineStr">
        <is>
          <t>부산 강서구 지사동 1205번지</t>
        </is>
      </c>
      <c r="R368" t="inlineStr">
        <is>
          <t>부산 강서구 과학산단1로 96</t>
        </is>
      </c>
    </row>
    <row r="369" ht="19.2" customHeight="1" s="1">
      <c r="A369" t="inlineStr">
        <is>
          <t>NICE:358349</t>
        </is>
      </c>
      <c r="B369" t="inlineStr">
        <is>
          <t>에스피엘</t>
        </is>
      </c>
      <c r="C369" t="inlineStr">
        <is>
          <t>허상오</t>
        </is>
      </c>
      <c r="D369" t="inlineStr">
        <is>
          <t>031-533-4800</t>
        </is>
      </c>
      <c r="E369" t="inlineStr">
        <is>
          <t>031-533-1430</t>
        </is>
      </c>
      <c r="F369" s="3">
        <f>HYPERLINK("http://www.ispl.co.kr", "http://www.ispl.co.kr")</f>
        <v/>
      </c>
      <c r="G369" t="inlineStr">
        <is>
          <t>1278198282</t>
        </is>
      </c>
      <c r="H369" t="inlineStr">
        <is>
          <t>2844110043114</t>
        </is>
      </c>
      <c r="I369" t="inlineStr">
        <is>
          <t>대상아님</t>
        </is>
      </c>
      <c r="J369" t="inlineStr">
        <is>
          <t>일반법인</t>
        </is>
      </c>
      <c r="K369" t="inlineStr">
        <is>
          <t>중소기업</t>
        </is>
      </c>
      <c r="L369" t="inlineStr">
        <is>
          <t>외부감사대상</t>
        </is>
      </c>
      <c r="M369" s="6" t="inlineStr">
        <is>
          <t>1987-05-25</t>
        </is>
      </c>
      <c r="N369" t="inlineStr">
        <is>
          <t>KRI:10C2721900</t>
        </is>
      </c>
      <c r="O369" t="inlineStr">
        <is>
          <t>기타 측정, 시험, 항해, 제어 및 정밀기기 제조업</t>
        </is>
      </c>
      <c r="P369" t="inlineStr">
        <is>
          <t>생명과학기자재 제조</t>
        </is>
      </c>
      <c r="Q369" t="inlineStr">
        <is>
          <t>경기 포천시 내촌면 음현리 807번지</t>
        </is>
      </c>
      <c r="R369" t="inlineStr">
        <is>
          <t>경기 포천시 내촌면 금강로2047번길 48</t>
        </is>
      </c>
    </row>
    <row r="370" ht="19.2" customHeight="1" s="1">
      <c r="A370" t="inlineStr">
        <is>
          <t>NICE:358452</t>
        </is>
      </c>
      <c r="B370" t="inlineStr">
        <is>
          <t>한성중공업</t>
        </is>
      </c>
      <c r="C370" t="inlineStr">
        <is>
          <t>권오을</t>
        </is>
      </c>
      <c r="D370" t="inlineStr">
        <is>
          <t>054-285-7003</t>
        </is>
      </c>
      <c r="E370" t="inlineStr">
        <is>
          <t>054-285-8316</t>
        </is>
      </c>
      <c r="F370" s="3">
        <f>HYPERLINK("http://www.hansung-hi.com", "http://www.hansung-hi.com")</f>
        <v/>
      </c>
      <c r="G370" t="inlineStr">
        <is>
          <t>5068111800</t>
        </is>
      </c>
      <c r="H370" t="inlineStr">
        <is>
          <t>1746110014172</t>
        </is>
      </c>
      <c r="I370" t="inlineStr">
        <is>
          <t>대상아님</t>
        </is>
      </c>
      <c r="J370" t="inlineStr">
        <is>
          <t>일반법인</t>
        </is>
      </c>
      <c r="K370" t="inlineStr">
        <is>
          <t>중소기업</t>
        </is>
      </c>
      <c r="L370" t="inlineStr">
        <is>
          <t>외부감사대상</t>
        </is>
      </c>
      <c r="M370" s="6" t="inlineStr">
        <is>
          <t>1989-06-01</t>
        </is>
      </c>
      <c r="N370" t="inlineStr">
        <is>
          <t>KRI:10C2922300</t>
        </is>
      </c>
      <c r="O370" t="inlineStr">
        <is>
          <t>금속 절삭기계 제조업</t>
        </is>
      </c>
      <c r="P370" t="inlineStr">
        <is>
          <t>금속절삭가공기계,코일리프트,공장자동화기계,물류취급장비,기계부품,철구조물 제조/기계설비공사</t>
        </is>
      </c>
      <c r="Q370" t="inlineStr">
        <is>
          <t>경북 포항시 남구 연일읍 오천리 101번지</t>
        </is>
      </c>
      <c r="R370" t="inlineStr">
        <is>
          <t>경북 포항시 남구 연일읍 동문로76번길 51</t>
        </is>
      </c>
    </row>
    <row r="371" ht="19.2" customHeight="1" s="1">
      <c r="A371" t="inlineStr">
        <is>
          <t>NICE:360368</t>
        </is>
      </c>
      <c r="B371" t="inlineStr">
        <is>
          <t>디어포스</t>
        </is>
      </c>
      <c r="C371" t="inlineStr">
        <is>
          <t>윤호철</t>
        </is>
      </c>
      <c r="D371" t="inlineStr">
        <is>
          <t>032-580-4100</t>
        </is>
      </c>
      <c r="E371" t="inlineStr">
        <is>
          <t>032-580-4198</t>
        </is>
      </c>
      <c r="F371" s="3">
        <f>HYPERLINK("http://www.deerfos.com", "http://www.deerfos.com")</f>
        <v/>
      </c>
      <c r="G371" t="inlineStr">
        <is>
          <t>1378107570</t>
        </is>
      </c>
      <c r="H371" t="inlineStr">
        <is>
          <t>1201110016156</t>
        </is>
      </c>
      <c r="I371" t="inlineStr">
        <is>
          <t>대상아님</t>
        </is>
      </c>
      <c r="J371" t="inlineStr">
        <is>
          <t>일반법인</t>
        </is>
      </c>
      <c r="K371" t="inlineStr">
        <is>
          <t>중견기업</t>
        </is>
      </c>
      <c r="L371" t="inlineStr">
        <is>
          <t>외부감사대상</t>
        </is>
      </c>
      <c r="M371" s="6" t="inlineStr">
        <is>
          <t>1963-04-23</t>
        </is>
      </c>
      <c r="N371" t="inlineStr">
        <is>
          <t>KRI:10C2399200</t>
        </is>
      </c>
      <c r="O371" t="inlineStr">
        <is>
          <t>연마재 제조업</t>
        </is>
      </c>
      <c r="P371" t="inlineStr">
        <is>
          <t>연마지,연마포,연마공구,연마재료 제조,판매,수출/플라스틱가공/부동산 임대</t>
        </is>
      </c>
      <c r="Q371" t="inlineStr">
        <is>
          <t>인천 서구 가좌동 290번지</t>
        </is>
      </c>
      <c r="R371" t="inlineStr">
        <is>
          <t>인천 서구 가좌로83번길 52</t>
        </is>
      </c>
    </row>
    <row r="372">
      <c r="A372" t="inlineStr">
        <is>
          <t>NICE:360520</t>
        </is>
      </c>
      <c r="B372" t="inlineStr">
        <is>
          <t>청림실업</t>
        </is>
      </c>
      <c r="C372" t="inlineStr">
        <is>
          <t>손우환/손주섭</t>
        </is>
      </c>
      <c r="D372" t="inlineStr">
        <is>
          <t>02-2212-2968</t>
        </is>
      </c>
      <c r="E372" t="inlineStr">
        <is>
          <t>02-2212-5102</t>
        </is>
      </c>
      <c r="G372" t="inlineStr">
        <is>
          <t>2048126353</t>
        </is>
      </c>
      <c r="H372" t="inlineStr">
        <is>
          <t>1101110158364</t>
        </is>
      </c>
      <c r="I372" t="inlineStr">
        <is>
          <t>대상아님</t>
        </is>
      </c>
      <c r="J372" t="inlineStr">
        <is>
          <t>일반법인</t>
        </is>
      </c>
      <c r="K372" t="inlineStr">
        <is>
          <t>중소기업</t>
        </is>
      </c>
      <c r="L372" t="inlineStr">
        <is>
          <t>외부감사대상</t>
        </is>
      </c>
      <c r="M372" s="6" t="inlineStr">
        <is>
          <t>1974-01-14</t>
        </is>
      </c>
      <c r="N372" t="inlineStr">
        <is>
          <t>KRI:10B0711000</t>
        </is>
      </c>
      <c r="O372" t="inlineStr">
        <is>
          <t>석회석 및 점토 광업</t>
        </is>
      </c>
      <c r="P372" t="inlineStr">
        <is>
          <t>석고,석회석 광업,도소매/비금속광물 제조/무역(광물자원)/부동산 임대/무형재산권 임대</t>
        </is>
      </c>
      <c r="Q372" t="inlineStr">
        <is>
          <t>서울 송파구 삼전동 180-2번지 8층</t>
        </is>
      </c>
      <c r="R372" t="inlineStr">
        <is>
          <t>서울 송파구 백제고분로 266, 8층</t>
        </is>
      </c>
    </row>
    <row r="373" ht="19.2" customHeight="1" s="1">
      <c r="A373" t="inlineStr">
        <is>
          <t>NICE:361216</t>
        </is>
      </c>
      <c r="B373" t="inlineStr">
        <is>
          <t>영신쿼츠</t>
        </is>
      </c>
      <c r="C373" t="inlineStr">
        <is>
          <t>랄프슈나이더/이정섭</t>
        </is>
      </c>
      <c r="D373" t="inlineStr">
        <is>
          <t>043-535-2338</t>
        </is>
      </c>
      <c r="E373" t="inlineStr">
        <is>
          <t>043-535-2337</t>
        </is>
      </c>
      <c r="F373" s="3">
        <f>HYPERLINK("http://www.ysq.co.kr", "http://www.ysq.co.kr")</f>
        <v/>
      </c>
      <c r="G373" t="inlineStr">
        <is>
          <t>1048125433</t>
        </is>
      </c>
      <c r="H373" t="inlineStr">
        <is>
          <t>1101110391716</t>
        </is>
      </c>
      <c r="I373" t="inlineStr">
        <is>
          <t>대상아님</t>
        </is>
      </c>
      <c r="J373" t="inlineStr">
        <is>
          <t>일반법인</t>
        </is>
      </c>
      <c r="K373" t="inlineStr">
        <is>
          <t>중견기업</t>
        </is>
      </c>
      <c r="L373" t="inlineStr">
        <is>
          <t>외부감사대상</t>
        </is>
      </c>
      <c r="M373" s="6" t="inlineStr">
        <is>
          <t>1985-02-05</t>
        </is>
      </c>
      <c r="N373" t="inlineStr">
        <is>
          <t>KRI:10C2312900</t>
        </is>
      </c>
      <c r="O373" t="inlineStr">
        <is>
          <t>기타 산업용 유리제품 제조업</t>
        </is>
      </c>
      <c r="P373" t="inlineStr">
        <is>
          <t>석영유리제품 제조,도소매</t>
        </is>
      </c>
      <c r="Q373" t="inlineStr">
        <is>
          <t>충북 진천군 광혜원면 회죽리 149-3번지</t>
        </is>
      </c>
      <c r="R373" t="inlineStr">
        <is>
          <t>충북 진천군 광혜원면 용소1길 9-2</t>
        </is>
      </c>
    </row>
    <row r="374" ht="19.2" customHeight="1" s="1">
      <c r="A374" t="inlineStr">
        <is>
          <t>NICE:362140</t>
        </is>
      </c>
      <c r="B374" t="inlineStr">
        <is>
          <t>연합유리</t>
        </is>
      </c>
      <c r="C374" t="inlineStr">
        <is>
          <t>이호찬</t>
        </is>
      </c>
      <c r="D374" t="inlineStr">
        <is>
          <t>031-692-9980</t>
        </is>
      </c>
      <c r="E374" t="inlineStr">
        <is>
          <t>031-692-9976</t>
        </is>
      </c>
      <c r="F374" s="3">
        <f>HYPERLINK("http://www.yeonhap.co.kr", "http://www.yeonhap.co.kr")</f>
        <v/>
      </c>
      <c r="G374" t="inlineStr">
        <is>
          <t>1248122497</t>
        </is>
      </c>
      <c r="H374" t="inlineStr">
        <is>
          <t>1101110217251</t>
        </is>
      </c>
      <c r="I374" t="inlineStr">
        <is>
          <t>대상아님</t>
        </is>
      </c>
      <c r="J374" t="inlineStr">
        <is>
          <t>일반법인</t>
        </is>
      </c>
      <c r="K374" t="inlineStr">
        <is>
          <t>중소기업</t>
        </is>
      </c>
      <c r="L374" t="inlineStr">
        <is>
          <t>외부감사대상</t>
        </is>
      </c>
      <c r="M374" s="6" t="inlineStr">
        <is>
          <t>1970-04-15</t>
        </is>
      </c>
      <c r="N374" t="inlineStr">
        <is>
          <t>KRI:10C2319200</t>
        </is>
      </c>
      <c r="O374" t="inlineStr">
        <is>
          <t>포장용 유리용기 제조업</t>
        </is>
      </c>
      <c r="P374" t="inlineStr">
        <is>
          <t>유리제품(포장용유리용기,가정용유리재,바이알,앰플,보온용기) 제조/보온병,보온도시락 도소매,전자상거래/부동산 임대</t>
        </is>
      </c>
      <c r="Q374" t="inlineStr">
        <is>
          <t>경기 안성시 원곡면 내가천리 282-4번지</t>
        </is>
      </c>
      <c r="R374" t="inlineStr">
        <is>
          <t>경기 안성시 원곡면 청원로 1785-15</t>
        </is>
      </c>
    </row>
    <row r="375" ht="19.2" customHeight="1" s="1">
      <c r="A375" t="inlineStr">
        <is>
          <t>NICE:362379</t>
        </is>
      </c>
      <c r="B375" t="inlineStr">
        <is>
          <t>팔마</t>
        </is>
      </c>
      <c r="C375" t="inlineStr">
        <is>
          <t>김병균/육진호/육경우</t>
        </is>
      </c>
      <c r="D375" t="inlineStr">
        <is>
          <t>063-262-6801-3</t>
        </is>
      </c>
      <c r="E375" t="inlineStr">
        <is>
          <t>063-262-6804</t>
        </is>
      </c>
      <c r="F375" s="3">
        <f>HYPERLINK("http://www.palmas.co.kr", "http://www.palmas.co.kr")</f>
        <v/>
      </c>
      <c r="G375" t="inlineStr">
        <is>
          <t>4028106174</t>
        </is>
      </c>
      <c r="H375" t="inlineStr">
        <is>
          <t>2101110005598</t>
        </is>
      </c>
      <c r="I375" t="inlineStr">
        <is>
          <t>대상아님</t>
        </is>
      </c>
      <c r="J375" t="inlineStr">
        <is>
          <t>일반법인</t>
        </is>
      </c>
      <c r="K375" t="inlineStr">
        <is>
          <t>중소기업</t>
        </is>
      </c>
      <c r="L375" t="inlineStr">
        <is>
          <t>외부감사대상</t>
        </is>
      </c>
      <c r="M375" s="6" t="inlineStr">
        <is>
          <t>1986-08-12</t>
        </is>
      </c>
      <c r="N375" t="inlineStr">
        <is>
          <t>KRI:10C2332500</t>
        </is>
      </c>
      <c r="O375" t="inlineStr">
        <is>
          <t>콘크리트 관 및 기타 구조용 콘크리트 제품 제조업</t>
        </is>
      </c>
      <c r="P375" t="inlineStr">
        <is>
          <t>콘크리트 관,제품,레미콘 제조</t>
        </is>
      </c>
      <c r="Q375" t="inlineStr">
        <is>
          <t>전북 완주군 봉동읍 장구리 43-1번지</t>
        </is>
      </c>
      <c r="R375" t="inlineStr">
        <is>
          <t>전북 완주군 봉동읍 봉동로 678-74</t>
        </is>
      </c>
    </row>
    <row r="376" ht="19.2" customHeight="1" s="1">
      <c r="A376" t="inlineStr">
        <is>
          <t>NICE:364253</t>
        </is>
      </c>
      <c r="B376" t="inlineStr">
        <is>
          <t>피앤피시큐어</t>
        </is>
      </c>
      <c r="C376" t="inlineStr">
        <is>
          <t>박천오</t>
        </is>
      </c>
      <c r="D376" t="inlineStr">
        <is>
          <t>1670-9295</t>
        </is>
      </c>
      <c r="E376" t="inlineStr">
        <is>
          <t>02-6988-1299</t>
        </is>
      </c>
      <c r="F376" s="3">
        <f>HYPERLINK("http://www.pnpsecure.com", "http://www.pnpsecure.com")</f>
        <v/>
      </c>
      <c r="G376" t="inlineStr">
        <is>
          <t>1078644093</t>
        </is>
      </c>
      <c r="H376" t="inlineStr">
        <is>
          <t>1101112925612</t>
        </is>
      </c>
      <c r="I376" t="inlineStr">
        <is>
          <t>대상아님</t>
        </is>
      </c>
      <c r="J376" t="inlineStr">
        <is>
          <t>일반법인</t>
        </is>
      </c>
      <c r="K376" t="inlineStr">
        <is>
          <t>중소기업</t>
        </is>
      </c>
      <c r="L376" t="inlineStr">
        <is>
          <t>외부감사대상</t>
        </is>
      </c>
      <c r="M376" s="6" t="inlineStr">
        <is>
          <t>2003-12-30</t>
        </is>
      </c>
      <c r="N376" t="inlineStr">
        <is>
          <t>KRI:10J5822200</t>
        </is>
      </c>
      <c r="O376" t="inlineStr">
        <is>
          <t>응용 소프트웨어 개발 및 공급업</t>
        </is>
      </c>
      <c r="P376" t="inlineStr">
        <is>
          <t>소프트웨어 개발,공급/컴퓨터 제조,수출</t>
        </is>
      </c>
      <c r="Q376" t="inlineStr">
        <is>
          <t>서울 강서구 마곡동 755-7번지 피앤피스테이션</t>
        </is>
      </c>
      <c r="R376" t="inlineStr">
        <is>
          <t>서울 강서구 마곡서로 182 (마곡동,피앤피스테이션)</t>
        </is>
      </c>
    </row>
    <row r="377" ht="19.2" customHeight="1" s="1">
      <c r="A377" t="inlineStr">
        <is>
          <t>NICE:364521</t>
        </is>
      </c>
      <c r="B377" t="inlineStr">
        <is>
          <t>인터켐코리아</t>
        </is>
      </c>
      <c r="C377" t="inlineStr">
        <is>
          <t>이주천</t>
        </is>
      </c>
      <c r="D377" t="inlineStr">
        <is>
          <t>031-458-1300</t>
        </is>
      </c>
      <c r="E377" t="inlineStr">
        <is>
          <t>031-458-5322</t>
        </is>
      </c>
      <c r="F377" s="3">
        <f>HYPERLINK("http://www.intercem.co.kr", "http://www.intercem.co.kr")</f>
        <v/>
      </c>
      <c r="G377" t="inlineStr">
        <is>
          <t>1238198733</t>
        </is>
      </c>
      <c r="H377" t="inlineStr">
        <is>
          <t>1341110119631</t>
        </is>
      </c>
      <c r="I377" t="inlineStr">
        <is>
          <t>대상아님</t>
        </is>
      </c>
      <c r="J377" t="inlineStr">
        <is>
          <t>일반법인</t>
        </is>
      </c>
      <c r="K377" t="inlineStr">
        <is>
          <t>중소기업</t>
        </is>
      </c>
      <c r="L377" t="inlineStr">
        <is>
          <t>외부감사대상</t>
        </is>
      </c>
      <c r="M377" s="6" t="inlineStr">
        <is>
          <t>2004-07-01</t>
        </is>
      </c>
      <c r="N377" t="inlineStr">
        <is>
          <t>KRI:10C2812100</t>
        </is>
      </c>
      <c r="O377" t="inlineStr">
        <is>
          <t>전기회로 개폐, 보호장치 제조업</t>
        </is>
      </c>
      <c r="P377" t="inlineStr">
        <is>
          <t>전기,전자,정밀기계부품,반도체장비 제조,도소매/오퍼</t>
        </is>
      </c>
      <c r="Q377" t="inlineStr">
        <is>
          <t>경기 군포시 당정동 352-5번지 501호</t>
        </is>
      </c>
      <c r="R377" t="inlineStr">
        <is>
          <t>경기 군포시 산본로 95, 501호</t>
        </is>
      </c>
    </row>
    <row r="378" ht="19.2" customHeight="1" s="1">
      <c r="A378" t="inlineStr">
        <is>
          <t>NICE:367256</t>
        </is>
      </c>
      <c r="B378" t="inlineStr">
        <is>
          <t>평화이엔지</t>
        </is>
      </c>
      <c r="C378" t="inlineStr">
        <is>
          <t>김주영/한동학</t>
        </is>
      </c>
      <c r="D378" t="inlineStr">
        <is>
          <t>053-610-6200</t>
        </is>
      </c>
      <c r="E378" t="inlineStr">
        <is>
          <t>053-615-5458</t>
        </is>
      </c>
      <c r="F378" s="3">
        <f>HYPERLINK("http://www.ph.co.kr", "http://www.ph.co.kr")</f>
        <v/>
      </c>
      <c r="G378" t="inlineStr">
        <is>
          <t>5148152933</t>
        </is>
      </c>
      <c r="H378" t="inlineStr">
        <is>
          <t>1701110274613</t>
        </is>
      </c>
      <c r="I378" t="inlineStr">
        <is>
          <t>대상아님</t>
        </is>
      </c>
      <c r="J378" t="inlineStr">
        <is>
          <t>일반법인</t>
        </is>
      </c>
      <c r="K378" t="inlineStr">
        <is>
          <t>중소기업</t>
        </is>
      </c>
      <c r="L378" t="inlineStr">
        <is>
          <t>외부감사대상</t>
        </is>
      </c>
      <c r="M378" s="6" t="inlineStr">
        <is>
          <t>2004-10-14</t>
        </is>
      </c>
      <c r="N378" t="inlineStr">
        <is>
          <t>KRI:10C2929400</t>
        </is>
      </c>
      <c r="O378" t="inlineStr">
        <is>
          <t>주형 및 금형 제조업</t>
        </is>
      </c>
      <c r="P378" t="inlineStr">
        <is>
          <t>금형,각종가공기계치공구 제조</t>
        </is>
      </c>
      <c r="Q378" t="inlineStr">
        <is>
          <t>대구 달성군 논공읍 본리리 29-108번지</t>
        </is>
      </c>
      <c r="R378" t="inlineStr">
        <is>
          <t>대구 달성군 논공읍 논공로 511</t>
        </is>
      </c>
    </row>
    <row r="379" ht="19.2" customHeight="1" s="1">
      <c r="A379" t="inlineStr">
        <is>
          <t>NICE:367472</t>
        </is>
      </c>
      <c r="B379" t="inlineStr">
        <is>
          <t>세주인터내셔날유한책임회사</t>
        </is>
      </c>
      <c r="C379" t="inlineStr">
        <is>
          <t>강창호</t>
        </is>
      </c>
      <c r="D379" t="inlineStr">
        <is>
          <t>051-465-7587</t>
        </is>
      </c>
      <c r="E379" t="inlineStr">
        <is>
          <t>051-465-7561</t>
        </is>
      </c>
      <c r="F379" s="3">
        <f>HYPERLINK("http://www.sejoo.com", "http://www.sejoo.com")</f>
        <v/>
      </c>
      <c r="G379" t="inlineStr">
        <is>
          <t>6178125400</t>
        </is>
      </c>
      <c r="H379" t="inlineStr">
        <is>
          <t>1801150001793</t>
        </is>
      </c>
      <c r="I379" t="inlineStr">
        <is>
          <t>대상아님</t>
        </is>
      </c>
      <c r="J379" t="inlineStr">
        <is>
          <t>일반법인</t>
        </is>
      </c>
      <c r="K379" t="inlineStr">
        <is>
          <t>중소기업</t>
        </is>
      </c>
      <c r="L379" t="inlineStr">
        <is>
          <t>외부감사비대상</t>
        </is>
      </c>
      <c r="M379" s="6" t="inlineStr">
        <is>
          <t>1999-10-23</t>
        </is>
      </c>
      <c r="N379" t="inlineStr">
        <is>
          <t>KRI:10H5299200</t>
        </is>
      </c>
      <c r="O379" t="inlineStr">
        <is>
          <t>화물운송 중개, 대리 및 관련 서비스업</t>
        </is>
      </c>
      <c r="P379" t="inlineStr">
        <is>
          <t>복합운송주선</t>
        </is>
      </c>
      <c r="Q379" t="inlineStr">
        <is>
          <t>부산 해운대구 재송동 1208-2번지 센텀스카이비즈 A동 1405호</t>
        </is>
      </c>
      <c r="R379" t="inlineStr">
        <is>
          <t>부산 해운대구 센텀중앙로 97, A동 1405호 (재송동,센텀스카이비즈)</t>
        </is>
      </c>
    </row>
    <row r="380" ht="19.2" customHeight="1" s="1">
      <c r="A380" t="inlineStr">
        <is>
          <t>NICE:369388</t>
        </is>
      </c>
      <c r="B380" t="inlineStr">
        <is>
          <t>규람타워렌탈</t>
        </is>
      </c>
      <c r="C380" t="inlineStr">
        <is>
          <t>노성호/안승규</t>
        </is>
      </c>
      <c r="D380" t="inlineStr">
        <is>
          <t>031-479-5817</t>
        </is>
      </c>
      <c r="E380" t="inlineStr">
        <is>
          <t>031-479-5819</t>
        </is>
      </c>
      <c r="F380" s="3">
        <f>HYPERLINK("http://www.gyooramtower.co.kr", "http://www.gyooramtower.co.kr")</f>
        <v/>
      </c>
      <c r="G380" t="inlineStr">
        <is>
          <t>1238195513</t>
        </is>
      </c>
      <c r="H380" t="inlineStr">
        <is>
          <t>1341110114764</t>
        </is>
      </c>
      <c r="I380" t="inlineStr">
        <is>
          <t>대상아님</t>
        </is>
      </c>
      <c r="J380" t="inlineStr">
        <is>
          <t>일반법인</t>
        </is>
      </c>
      <c r="K380" t="inlineStr">
        <is>
          <t>중소기업</t>
        </is>
      </c>
      <c r="L380" t="inlineStr">
        <is>
          <t>외부감사대상</t>
        </is>
      </c>
      <c r="M380" s="6" t="inlineStr">
        <is>
          <t>1996-12-01</t>
        </is>
      </c>
      <c r="N380" t="inlineStr">
        <is>
          <t>KRI:10N7631000</t>
        </is>
      </c>
      <c r="O380" t="inlineStr">
        <is>
          <t>건설 및 토목공사용 기계ㆍ장비 임대업</t>
        </is>
      </c>
      <c r="P380" t="inlineStr">
        <is>
          <t>타워크레인 임대,설치,해체/무선통신</t>
        </is>
      </c>
      <c r="Q380" t="inlineStr">
        <is>
          <t>경기 안양시 동안구 호계동 555-9번지 국제유통단지 업무지원 나동 311호,312호</t>
        </is>
      </c>
      <c r="R380" t="inlineStr">
        <is>
          <t>경기 안양시 동안구 엘에스로 92, 업무지원 나동 311호,312호 (호계동,국제유통단지)</t>
        </is>
      </c>
    </row>
    <row r="381" ht="19.2" customHeight="1" s="1">
      <c r="A381" t="inlineStr">
        <is>
          <t>NICE:369994</t>
        </is>
      </c>
      <c r="B381" t="inlineStr">
        <is>
          <t>희성피엠텍</t>
        </is>
      </c>
      <c r="C381" t="inlineStr">
        <is>
          <t>정경오</t>
        </is>
      </c>
      <c r="D381" t="inlineStr">
        <is>
          <t>041-360-7400</t>
        </is>
      </c>
      <c r="E381" t="inlineStr">
        <is>
          <t>041-360-7500</t>
        </is>
      </c>
      <c r="F381" s="3">
        <f>HYPERLINK("http://www.hspmtech.com", "http://www.hspmtech.com")</f>
        <v/>
      </c>
      <c r="G381" t="inlineStr">
        <is>
          <t>1348617356</t>
        </is>
      </c>
      <c r="H381" t="inlineStr">
        <is>
          <t>1314110159311</t>
        </is>
      </c>
      <c r="I381" t="inlineStr">
        <is>
          <t>대상아님</t>
        </is>
      </c>
      <c r="J381" t="inlineStr">
        <is>
          <t>일반법인</t>
        </is>
      </c>
      <c r="K381" t="inlineStr">
        <is>
          <t>중견기업</t>
        </is>
      </c>
      <c r="L381" t="inlineStr">
        <is>
          <t>외부감사대상</t>
        </is>
      </c>
      <c r="M381" s="6" t="inlineStr">
        <is>
          <t>2004-09-09</t>
        </is>
      </c>
      <c r="N381" t="inlineStr">
        <is>
          <t>KRI:10C2421900</t>
        </is>
      </c>
      <c r="O381" t="inlineStr">
        <is>
          <t>기타 비철금속 제련, 정련 및 합금 제조업</t>
        </is>
      </c>
      <c r="P381" t="inlineStr">
        <is>
          <t>폐촉매 회수정제(백금족 귀금속,팔라듐,로듐),재활용품재생,재생용금속가공,PGM화합물 제조</t>
        </is>
      </c>
      <c r="Q381" t="inlineStr">
        <is>
          <t>충남 당진시 송악읍 부곡리 563-18번지</t>
        </is>
      </c>
      <c r="R381" t="inlineStr">
        <is>
          <t>충남 당진시 송악읍 부곡공단4길 28-76</t>
        </is>
      </c>
    </row>
    <row r="382">
      <c r="A382" t="inlineStr">
        <is>
          <t>NICE:370044</t>
        </is>
      </c>
      <c r="B382" t="inlineStr">
        <is>
          <t>금오종합건설</t>
        </is>
      </c>
      <c r="C382" t="inlineStr">
        <is>
          <t>윤주형/윤태용</t>
        </is>
      </c>
      <c r="D382" t="inlineStr">
        <is>
          <t>051-3348-6101</t>
        </is>
      </c>
      <c r="E382" t="inlineStr">
        <is>
          <t>051-334-8613</t>
        </is>
      </c>
      <c r="G382" t="inlineStr">
        <is>
          <t>6178137186</t>
        </is>
      </c>
      <c r="H382" t="inlineStr">
        <is>
          <t>1801110389402</t>
        </is>
      </c>
      <c r="I382" t="inlineStr">
        <is>
          <t>대상아님</t>
        </is>
      </c>
      <c r="J382" t="inlineStr">
        <is>
          <t>일반법인</t>
        </is>
      </c>
      <c r="K382" t="inlineStr">
        <is>
          <t>중소기업</t>
        </is>
      </c>
      <c r="L382" t="inlineStr">
        <is>
          <t>외부감사대상</t>
        </is>
      </c>
      <c r="M382" s="6" t="inlineStr">
        <is>
          <t>2001-12-26</t>
        </is>
      </c>
      <c r="N382" t="inlineStr">
        <is>
          <t>KRI:10F4111000</t>
        </is>
      </c>
      <c r="O382" t="inlineStr">
        <is>
          <t>주거용 건물 건설업</t>
        </is>
      </c>
      <c r="P382" t="inlineStr">
        <is>
          <t>주택공사,건축공사,토목공사/주택공급,부동산 임대</t>
        </is>
      </c>
      <c r="Q382" t="inlineStr">
        <is>
          <t>부산 북구 덕천동 396-4번지 이수빌딩 10층</t>
        </is>
      </c>
      <c r="R382" t="inlineStr">
        <is>
          <t>부산 북구 기찰로 12, 10층 (덕천동,이수빌딩)</t>
        </is>
      </c>
    </row>
    <row r="383" ht="19.2" customHeight="1" s="1">
      <c r="A383" t="inlineStr">
        <is>
          <t>NICE:370199</t>
        </is>
      </c>
      <c r="B383" t="inlineStr">
        <is>
          <t>메가젠임플란트</t>
        </is>
      </c>
      <c r="C383" t="inlineStr">
        <is>
          <t>박광범</t>
        </is>
      </c>
      <c r="D383" t="inlineStr">
        <is>
          <t>053-222-2820</t>
        </is>
      </c>
      <c r="E383" t="inlineStr">
        <is>
          <t>053-857-5432</t>
        </is>
      </c>
      <c r="F383" s="3">
        <f>HYPERLINK("http://www.imegagen.com", "http://www.imegagen.com")</f>
        <v/>
      </c>
      <c r="G383" t="inlineStr">
        <is>
          <t>5048143999</t>
        </is>
      </c>
      <c r="H383" t="inlineStr">
        <is>
          <t>1701110213231</t>
        </is>
      </c>
      <c r="I383" t="inlineStr">
        <is>
          <t>제3시장</t>
        </is>
      </c>
      <c r="J383" t="inlineStr">
        <is>
          <t>일반법인</t>
        </is>
      </c>
      <c r="K383" t="inlineStr">
        <is>
          <t>중견기업</t>
        </is>
      </c>
      <c r="L383" t="inlineStr">
        <is>
          <t>외부감사대상</t>
        </is>
      </c>
      <c r="M383" s="6" t="inlineStr">
        <is>
          <t>2002-01-03</t>
        </is>
      </c>
      <c r="N383" t="inlineStr">
        <is>
          <t>KRI:10C2719100</t>
        </is>
      </c>
      <c r="O383" t="inlineStr">
        <is>
          <t>치과용 기기 제조업</t>
        </is>
      </c>
      <c r="P383" t="inlineStr">
        <is>
          <t>치과용기기,금속파스너,나사제품 제조/무역/부동산 임대</t>
        </is>
      </c>
      <c r="Q383" t="inlineStr">
        <is>
          <t>대구 달성군 다사읍 세천리 1668-3번지</t>
        </is>
      </c>
      <c r="R383" t="inlineStr">
        <is>
          <t>대구 달성군 다사읍 세천로7길 45</t>
        </is>
      </c>
    </row>
    <row r="384" ht="19.2" customHeight="1" s="1">
      <c r="A384" t="inlineStr">
        <is>
          <t>NICE:370342</t>
        </is>
      </c>
      <c r="B384" t="inlineStr">
        <is>
          <t>하이퓨리티</t>
        </is>
      </c>
      <c r="C384" t="inlineStr">
        <is>
          <t>박희성</t>
        </is>
      </c>
      <c r="D384" t="inlineStr">
        <is>
          <t>02-422-1118</t>
        </is>
      </c>
      <c r="E384" t="inlineStr">
        <is>
          <t>02-422-1181</t>
        </is>
      </c>
      <c r="F384" s="3">
        <f>HYPERLINK("http://www.hipurity.com", "http://www.hipurity.com")</f>
        <v/>
      </c>
      <c r="G384" t="inlineStr">
        <is>
          <t>2158657055</t>
        </is>
      </c>
      <c r="H384" t="inlineStr">
        <is>
          <t>1101113014315</t>
        </is>
      </c>
      <c r="I384" t="inlineStr">
        <is>
          <t>대상아님</t>
        </is>
      </c>
      <c r="J384" t="inlineStr">
        <is>
          <t>일반법인</t>
        </is>
      </c>
      <c r="K384" t="inlineStr">
        <is>
          <t>중소기업</t>
        </is>
      </c>
      <c r="L384" t="inlineStr">
        <is>
          <t>외부감사대상</t>
        </is>
      </c>
      <c r="M384" s="6" t="inlineStr">
        <is>
          <t>2004-05-18</t>
        </is>
      </c>
      <c r="N384" t="inlineStr">
        <is>
          <t>KRI:10C2612900</t>
        </is>
      </c>
      <c r="O384" t="inlineStr">
        <is>
          <t>기타 반도체소자 제조업</t>
        </is>
      </c>
      <c r="P384" t="inlineStr">
        <is>
          <t>반도체분석시스템 제조/전기용기계장비,관련기자재,가스분석기 도소매,무역/부동산 임대,일반기계,장비 수리</t>
        </is>
      </c>
      <c r="Q384" t="inlineStr">
        <is>
          <t>경기 용인시 처인구 남사읍 북리 590-2번지</t>
        </is>
      </c>
      <c r="R384" t="inlineStr">
        <is>
          <t>경기 용인시 처인구 남사읍 경기동로 175-28</t>
        </is>
      </c>
    </row>
    <row r="385" ht="19.2" customHeight="1" s="1">
      <c r="A385" t="inlineStr">
        <is>
          <t>NICE:371107</t>
        </is>
      </c>
      <c r="B385" t="inlineStr">
        <is>
          <t>마산아이포트</t>
        </is>
      </c>
      <c r="C385" t="inlineStr">
        <is>
          <t>우상범</t>
        </is>
      </c>
      <c r="D385" t="inlineStr">
        <is>
          <t>055-240-4600</t>
        </is>
      </c>
      <c r="E385" t="inlineStr">
        <is>
          <t>055-240-4601</t>
        </is>
      </c>
      <c r="F385" s="3">
        <f>HYPERLINK("http://www.mgnp.co.kr/", "http://www.mgnp.co.kr/")</f>
        <v/>
      </c>
      <c r="G385" t="inlineStr">
        <is>
          <t>6088156006</t>
        </is>
      </c>
      <c r="H385" t="inlineStr">
        <is>
          <t>1901110054102</t>
        </is>
      </c>
      <c r="I385" t="inlineStr">
        <is>
          <t>대상아님</t>
        </is>
      </c>
      <c r="J385" t="inlineStr">
        <is>
          <t>일반법인</t>
        </is>
      </c>
      <c r="K385" t="inlineStr">
        <is>
          <t>중소기업</t>
        </is>
      </c>
      <c r="L385" t="inlineStr">
        <is>
          <t>외부감사대상</t>
        </is>
      </c>
      <c r="M385" s="6" t="inlineStr">
        <is>
          <t>2004-05-25</t>
        </is>
      </c>
      <c r="N385" t="inlineStr">
        <is>
          <t>KRI:10H5294200</t>
        </is>
      </c>
      <c r="O385" t="inlineStr">
        <is>
          <t>수상 화물 취급업</t>
        </is>
      </c>
      <c r="P385" t="inlineStr">
        <is>
          <t>수상화물 취급,부대,계량 증명/부동산 전대</t>
        </is>
      </c>
      <c r="Q385" t="inlineStr">
        <is>
          <t>경남 창원시 마산합포구 가포동 612번지</t>
        </is>
      </c>
      <c r="R385" t="inlineStr">
        <is>
          <t>경남 창원시 마산합포구 드림베이대로 201</t>
        </is>
      </c>
    </row>
    <row r="386" ht="19.2" customHeight="1" s="1">
      <c r="A386" t="inlineStr">
        <is>
          <t>NICE:371130</t>
        </is>
      </c>
      <c r="B386" t="inlineStr">
        <is>
          <t>세일엘앤아이</t>
        </is>
      </c>
      <c r="C386" t="inlineStr">
        <is>
          <t>권민수</t>
        </is>
      </c>
      <c r="D386" t="inlineStr">
        <is>
          <t>031-698-3950</t>
        </is>
      </c>
      <c r="E386" t="inlineStr">
        <is>
          <t>031-698-3960</t>
        </is>
      </c>
      <c r="F386" s="3">
        <f>HYPERLINK("http://www.seilsteel.com", "http://www.seilsteel.com")</f>
        <v/>
      </c>
      <c r="G386" t="inlineStr">
        <is>
          <t>1198106971</t>
        </is>
      </c>
      <c r="H386" t="inlineStr">
        <is>
          <t>1101110089816</t>
        </is>
      </c>
      <c r="I386" t="inlineStr">
        <is>
          <t>대상아님</t>
        </is>
      </c>
      <c r="J386" t="inlineStr">
        <is>
          <t>일반법인</t>
        </is>
      </c>
      <c r="K386" t="inlineStr">
        <is>
          <t>중소기업</t>
        </is>
      </c>
      <c r="L386" t="inlineStr">
        <is>
          <t>외부감사대상</t>
        </is>
      </c>
      <c r="M386" s="6" t="inlineStr">
        <is>
          <t>1971-02-11</t>
        </is>
      </c>
      <c r="N386" t="inlineStr">
        <is>
          <t>KRI:10H5210100</t>
        </is>
      </c>
      <c r="O386" t="inlineStr">
        <is>
          <t>일반 창고업</t>
        </is>
      </c>
      <c r="P386" t="inlineStr">
        <is>
          <t>창고보관/아연도강판,자동차차체용부품,자동차부품,금속캔,포장용기 제조/칼라강판 도매/부동산 임대/용역 파견</t>
        </is>
      </c>
      <c r="Q386" t="inlineStr">
        <is>
          <t>경기 성남시 분당구 삼평동 678번지 삼환하이펙스 A동 711호</t>
        </is>
      </c>
      <c r="R386" t="inlineStr">
        <is>
          <t>경기 성남시 분당구 판교역로 240, A동 711호 (삼평동,삼환하이펙스)</t>
        </is>
      </c>
    </row>
    <row r="387">
      <c r="A387" t="inlineStr">
        <is>
          <t>NICE:372282</t>
        </is>
      </c>
      <c r="B387" t="inlineStr">
        <is>
          <t>엔피에스</t>
        </is>
      </c>
      <c r="C387" t="inlineStr">
        <is>
          <t>민성기</t>
        </is>
      </c>
      <c r="D387" t="inlineStr">
        <is>
          <t>041-740-3600</t>
        </is>
      </c>
      <c r="E387" t="inlineStr">
        <is>
          <t>041-741-9600</t>
        </is>
      </c>
      <c r="G387" t="inlineStr">
        <is>
          <t>3128164721</t>
        </is>
      </c>
      <c r="H387" t="inlineStr">
        <is>
          <t>1615110059703</t>
        </is>
      </c>
      <c r="I387" t="inlineStr">
        <is>
          <t>대상아님</t>
        </is>
      </c>
      <c r="J387" t="inlineStr">
        <is>
          <t>일반법인</t>
        </is>
      </c>
      <c r="K387" t="inlineStr">
        <is>
          <t>중소기업</t>
        </is>
      </c>
      <c r="L387" t="inlineStr">
        <is>
          <t>외부감사대상</t>
        </is>
      </c>
      <c r="M387" s="6" t="inlineStr">
        <is>
          <t>2003-09-22</t>
        </is>
      </c>
      <c r="N387" t="inlineStr">
        <is>
          <t>KRI:10C2592300</t>
        </is>
      </c>
      <c r="O387" t="inlineStr">
        <is>
          <t>도장 및 기타 피막처리업</t>
        </is>
      </c>
      <c r="P387" t="inlineStr">
        <is>
          <t>반도체 표면처리,제조/연구개발용역</t>
        </is>
      </c>
      <c r="Q387" t="inlineStr">
        <is>
          <t>충남 논산시 은진면 시묘리 778번지</t>
        </is>
      </c>
      <c r="R387" t="inlineStr">
        <is>
          <t>충남 논산시 은진면 동산산업단지로 101-6</t>
        </is>
      </c>
    </row>
    <row r="388" ht="19.2" customHeight="1" s="1">
      <c r="A388" t="inlineStr">
        <is>
          <t>NICE:372378</t>
        </is>
      </c>
      <c r="B388" t="inlineStr">
        <is>
          <t>마린글로리</t>
        </is>
      </c>
      <c r="C388" t="inlineStr">
        <is>
          <t>조성종</t>
        </is>
      </c>
      <c r="D388" t="inlineStr">
        <is>
          <t>061-683-0691-4</t>
        </is>
      </c>
      <c r="E388" t="inlineStr">
        <is>
          <t>061-686-5900</t>
        </is>
      </c>
      <c r="F388" s="3">
        <f>HYPERLINK("http://www.marineglory.co.kr", "http://www.marineglory.co.kr")</f>
        <v/>
      </c>
      <c r="G388" t="inlineStr">
        <is>
          <t>4178126833</t>
        </is>
      </c>
      <c r="H388" t="inlineStr">
        <is>
          <t>2062110024568</t>
        </is>
      </c>
      <c r="I388" t="inlineStr">
        <is>
          <t>대상아님</t>
        </is>
      </c>
      <c r="J388" t="inlineStr">
        <is>
          <t>일반법인</t>
        </is>
      </c>
      <c r="K388" t="inlineStr">
        <is>
          <t>중소기업</t>
        </is>
      </c>
      <c r="L388" t="inlineStr">
        <is>
          <t>외부감사대상</t>
        </is>
      </c>
      <c r="M388" s="6" t="inlineStr">
        <is>
          <t>2002-12-06</t>
        </is>
      </c>
      <c r="N388" t="inlineStr">
        <is>
          <t>KRI:10H5294200</t>
        </is>
      </c>
      <c r="O388" t="inlineStr">
        <is>
          <t>수상 화물 취급업</t>
        </is>
      </c>
      <c r="P388" t="inlineStr">
        <is>
          <t>화물 취급/기계 정비,보수/건설기계 대여/수출,수출 주선</t>
        </is>
      </c>
      <c r="Q388" t="inlineStr">
        <is>
          <t>전남 여수시 웅천동 1728-4번지</t>
        </is>
      </c>
      <c r="R388" t="inlineStr">
        <is>
          <t>전남 여수시 신월로 112</t>
        </is>
      </c>
    </row>
    <row r="389">
      <c r="A389" t="inlineStr">
        <is>
          <t>NICE:372439</t>
        </is>
      </c>
      <c r="B389" t="inlineStr">
        <is>
          <t>동아알루미늄</t>
        </is>
      </c>
      <c r="C389" t="inlineStr">
        <is>
          <t>라제건</t>
        </is>
      </c>
      <c r="D389" t="inlineStr">
        <is>
          <t>032-577-8080</t>
        </is>
      </c>
      <c r="E389" t="inlineStr">
        <is>
          <t>032-578-3285</t>
        </is>
      </c>
      <c r="G389" t="inlineStr">
        <is>
          <t>1378101839</t>
        </is>
      </c>
      <c r="H389" t="inlineStr">
        <is>
          <t>1201110046236</t>
        </is>
      </c>
      <c r="I389" t="inlineStr">
        <is>
          <t>대상아님</t>
        </is>
      </c>
      <c r="J389" t="inlineStr">
        <is>
          <t>일반법인</t>
        </is>
      </c>
      <c r="K389" t="inlineStr">
        <is>
          <t>중소기업</t>
        </is>
      </c>
      <c r="L389" t="inlineStr">
        <is>
          <t>외부감사대상</t>
        </is>
      </c>
      <c r="M389" s="6" t="inlineStr">
        <is>
          <t>1988-07-07</t>
        </is>
      </c>
      <c r="N389" t="inlineStr">
        <is>
          <t>KRI:10C2422200</t>
        </is>
      </c>
      <c r="O389" t="inlineStr">
        <is>
          <t>알루미늄 압연, 압출 및 연신제품 제조업</t>
        </is>
      </c>
      <c r="P389" t="inlineStr">
        <is>
          <t>알미늄제품 제조,도매,무역/태양광발전</t>
        </is>
      </c>
      <c r="Q389" t="inlineStr">
        <is>
          <t>인천 서구 가좌동 542-3번지</t>
        </is>
      </c>
      <c r="R389" t="inlineStr">
        <is>
          <t>인천 서구 가재울로 54</t>
        </is>
      </c>
    </row>
    <row r="390" ht="19.2" customHeight="1" s="1">
      <c r="A390" t="inlineStr">
        <is>
          <t>NICE:372540</t>
        </is>
      </c>
      <c r="B390" t="inlineStr">
        <is>
          <t>폴라리스쉬핑</t>
        </is>
      </c>
      <c r="C390" t="inlineStr">
        <is>
          <t>한희승</t>
        </is>
      </c>
      <c r="D390" t="inlineStr">
        <is>
          <t>02-2003-1000</t>
        </is>
      </c>
      <c r="E390" t="inlineStr">
        <is>
          <t>02-2003-1001</t>
        </is>
      </c>
      <c r="F390" s="3">
        <f>HYPERLINK("http://www.polaris-shipping.com", "http://www.polaris-shipping.com")</f>
        <v/>
      </c>
      <c r="G390" t="inlineStr">
        <is>
          <t>1018606994</t>
        </is>
      </c>
      <c r="H390" t="inlineStr">
        <is>
          <t>1101113047754</t>
        </is>
      </c>
      <c r="I390" t="inlineStr">
        <is>
          <t>대상아님</t>
        </is>
      </c>
      <c r="J390" t="inlineStr">
        <is>
          <t>일반법인</t>
        </is>
      </c>
      <c r="K390" t="inlineStr">
        <is>
          <t>중견기업</t>
        </is>
      </c>
      <c r="L390" t="inlineStr">
        <is>
          <t>외부감사대상</t>
        </is>
      </c>
      <c r="M390" s="6" t="inlineStr">
        <is>
          <t>2004-07-12</t>
        </is>
      </c>
      <c r="N390" t="inlineStr">
        <is>
          <t>KRI:10H5011200</t>
        </is>
      </c>
      <c r="O390" t="inlineStr">
        <is>
          <t>외항 화물 운송업</t>
        </is>
      </c>
      <c r="P390" t="inlineStr">
        <is>
          <t>외항화물 운송,해상 운송,용선/선박 관리</t>
        </is>
      </c>
      <c r="Q390" t="inlineStr">
        <is>
          <t>서울 종로구 공평동 100번지 한국스탠다드차타드은행빌딩 20층</t>
        </is>
      </c>
      <c r="R390" t="inlineStr">
        <is>
          <t>서울 종로구 종로 47, 20층 (공평동,한국스탠다드차타드은행빌딩)</t>
        </is>
      </c>
    </row>
    <row r="391" ht="19.2" customHeight="1" s="1">
      <c r="A391" t="inlineStr">
        <is>
          <t>NICE:373363</t>
        </is>
      </c>
      <c r="B391" t="inlineStr">
        <is>
          <t>이안알앤씨</t>
        </is>
      </c>
      <c r="C391" t="inlineStr">
        <is>
          <t>이인홍/허용</t>
        </is>
      </c>
      <c r="D391" t="inlineStr">
        <is>
          <t>02-3482-5785</t>
        </is>
      </c>
      <c r="E391" t="inlineStr">
        <is>
          <t>02-3482-5799</t>
        </is>
      </c>
      <c r="F391" s="3">
        <f>HYPERLINK("http://www.eanrnc.com", "http://www.eanrnc.com")</f>
        <v/>
      </c>
      <c r="G391" t="inlineStr">
        <is>
          <t>1148638721</t>
        </is>
      </c>
      <c r="H391" t="inlineStr">
        <is>
          <t>1101113074377</t>
        </is>
      </c>
      <c r="I391" t="inlineStr">
        <is>
          <t>대상아님</t>
        </is>
      </c>
      <c r="J391" t="inlineStr">
        <is>
          <t>일반법인</t>
        </is>
      </c>
      <c r="K391" t="inlineStr">
        <is>
          <t>중견기업</t>
        </is>
      </c>
      <c r="L391" t="inlineStr">
        <is>
          <t>외부감사대상</t>
        </is>
      </c>
      <c r="M391" s="6" t="inlineStr">
        <is>
          <t>2004-08-26</t>
        </is>
      </c>
      <c r="N391" t="inlineStr">
        <is>
          <t>KRI:10F4122000</t>
        </is>
      </c>
      <c r="O391" t="inlineStr">
        <is>
          <t>토목시설물 건설업</t>
        </is>
      </c>
      <c r="P391" t="inlineStr">
        <is>
          <t>토목공사,건축공사,주택신축공사,해외공사,실내장식공사,전문소방시설공사,전기공사,주택공사/부동산 개발</t>
        </is>
      </c>
      <c r="Q391" t="inlineStr">
        <is>
          <t>서울 강남구 논현동 237-11번지 파크랜드빌딩 10층</t>
        </is>
      </c>
      <c r="R391" t="inlineStr">
        <is>
          <t>서울 강남구 언주로 601, 10층 (논현동,파크랜드빌딩)</t>
        </is>
      </c>
    </row>
    <row r="392" ht="19.2" customHeight="1" s="1">
      <c r="A392" t="inlineStr">
        <is>
          <t>NICE:375106</t>
        </is>
      </c>
      <c r="B392" t="inlineStr">
        <is>
          <t>인천종합에너지</t>
        </is>
      </c>
      <c r="C392" t="inlineStr">
        <is>
          <t>전태현</t>
        </is>
      </c>
      <c r="D392" t="inlineStr">
        <is>
          <t>1577-1079</t>
        </is>
      </c>
      <c r="E392" t="inlineStr">
        <is>
          <t>032-850-6101</t>
        </is>
      </c>
      <c r="F392" s="3">
        <f>HYPERLINK("http://www.e-inteco.co.kr", "http://www.e-inteco.co.kr")</f>
        <v/>
      </c>
      <c r="G392" t="inlineStr">
        <is>
          <t>1318185471</t>
        </is>
      </c>
      <c r="H392" t="inlineStr">
        <is>
          <t>1201110348096</t>
        </is>
      </c>
      <c r="I392" t="inlineStr">
        <is>
          <t>대상아님</t>
        </is>
      </c>
      <c r="J392" t="inlineStr">
        <is>
          <t>일반법인</t>
        </is>
      </c>
      <c r="K392" t="inlineStr">
        <is>
          <t>대기업</t>
        </is>
      </c>
      <c r="L392" t="inlineStr">
        <is>
          <t>외부감사대상</t>
        </is>
      </c>
      <c r="M392" s="6" t="inlineStr">
        <is>
          <t>2004-06-10</t>
        </is>
      </c>
      <c r="N392" t="inlineStr">
        <is>
          <t>KRI:10D3530000</t>
        </is>
      </c>
      <c r="O392" t="inlineStr">
        <is>
          <t>증기, 냉ㆍ온수 및 공기조절 공급업</t>
        </is>
      </c>
      <c r="P392" t="inlineStr">
        <is>
          <t>증기,온수 공급,발전,전기</t>
        </is>
      </c>
      <c r="Q392" t="inlineStr">
        <is>
          <t>인천 연수구 송도동 13-4번지</t>
        </is>
      </c>
      <c r="R392" t="inlineStr">
        <is>
          <t>인천 연수구 아카데미로51번길 37</t>
        </is>
      </c>
    </row>
    <row r="393" ht="19.2" customHeight="1" s="1">
      <c r="A393" t="inlineStr">
        <is>
          <t>NICE:375517</t>
        </is>
      </c>
      <c r="B393" t="inlineStr">
        <is>
          <t>이오에스</t>
        </is>
      </c>
      <c r="C393" t="inlineStr">
        <is>
          <t>김미경/정채호</t>
        </is>
      </c>
      <c r="D393" t="inlineStr">
        <is>
          <t>032-816-5566</t>
        </is>
      </c>
      <c r="E393" t="inlineStr">
        <is>
          <t>032-816-5466</t>
        </is>
      </c>
      <c r="F393" s="3">
        <f>HYPERLINK("http://www.eos.co.kr", "http://www.eos.co.kr")</f>
        <v/>
      </c>
      <c r="G393" t="inlineStr">
        <is>
          <t>1318183605</t>
        </is>
      </c>
      <c r="H393" t="inlineStr">
        <is>
          <t>1201110338740</t>
        </is>
      </c>
      <c r="I393" t="inlineStr">
        <is>
          <t>대상아님</t>
        </is>
      </c>
      <c r="J393" t="inlineStr">
        <is>
          <t>일반법인</t>
        </is>
      </c>
      <c r="K393" t="inlineStr">
        <is>
          <t>중소기업</t>
        </is>
      </c>
      <c r="L393" t="inlineStr">
        <is>
          <t>외부감사대상</t>
        </is>
      </c>
      <c r="M393" s="6" t="inlineStr">
        <is>
          <t>2004-02-18</t>
        </is>
      </c>
      <c r="N393" t="inlineStr">
        <is>
          <t>KRI:10C2622100</t>
        </is>
      </c>
      <c r="O393" t="inlineStr">
        <is>
          <t>인쇄회로기판용 적층판 제조업</t>
        </is>
      </c>
      <c r="P393" t="inlineStr">
        <is>
          <t>인쇄회로기판,전자부품 제조,도소매/전자상거래/부동산 임대/응용소프트웨어 개발,공급</t>
        </is>
      </c>
      <c r="Q393" t="inlineStr">
        <is>
          <t>인천 남동구 고잔동 628-12번지</t>
        </is>
      </c>
      <c r="R393" t="inlineStr">
        <is>
          <t>인천 남동구 남동대로215번길 103</t>
        </is>
      </c>
    </row>
    <row r="394" ht="19.2" customHeight="1" s="1">
      <c r="A394" t="inlineStr">
        <is>
          <t>NICE:376093</t>
        </is>
      </c>
      <c r="B394" t="inlineStr">
        <is>
          <t>삼영캐스코</t>
        </is>
      </c>
      <c r="C394" t="inlineStr">
        <is>
          <t>전대진</t>
        </is>
      </c>
      <c r="D394" t="inlineStr">
        <is>
          <t>063-570-6050</t>
        </is>
      </c>
      <c r="E394" t="inlineStr">
        <is>
          <t>063-570-6199</t>
        </is>
      </c>
      <c r="F394" s="3">
        <f>HYPERLINK("http://www.casco-f.com", "http://www.casco-f.com")</f>
        <v/>
      </c>
      <c r="G394" t="inlineStr">
        <is>
          <t>4028166319</t>
        </is>
      </c>
      <c r="H394" t="inlineStr">
        <is>
          <t>2101110047938</t>
        </is>
      </c>
      <c r="I394" t="inlineStr">
        <is>
          <t>대상아님</t>
        </is>
      </c>
      <c r="J394" t="inlineStr">
        <is>
          <t>일반법인</t>
        </is>
      </c>
      <c r="K394" t="inlineStr">
        <is>
          <t>중소기업</t>
        </is>
      </c>
      <c r="L394" t="inlineStr">
        <is>
          <t>외부감사대상</t>
        </is>
      </c>
      <c r="M394" s="6" t="inlineStr">
        <is>
          <t>2005-06-13</t>
        </is>
      </c>
      <c r="N394" t="inlineStr">
        <is>
          <t>KRI:10C2431100</t>
        </is>
      </c>
      <c r="O394" t="inlineStr">
        <is>
          <t>선철주물 주조업</t>
        </is>
      </c>
      <c r="P394" t="inlineStr">
        <is>
          <t>주철품(선박엔진부품,사출기) 제조,판매/부동산 임대</t>
        </is>
      </c>
      <c r="Q394" t="inlineStr">
        <is>
          <t>전북 정읍시 북면 태곡리 938-2번지</t>
        </is>
      </c>
      <c r="R394" t="inlineStr">
        <is>
          <t>전북 정읍시 북면 3산단1길 24</t>
        </is>
      </c>
    </row>
    <row r="395" ht="19.2" customHeight="1" s="1">
      <c r="A395" t="inlineStr">
        <is>
          <t>NICE:376149</t>
        </is>
      </c>
      <c r="B395" t="inlineStr">
        <is>
          <t>한국펀드파트너스</t>
        </is>
      </c>
      <c r="C395" t="inlineStr">
        <is>
          <t>김영수</t>
        </is>
      </c>
      <c r="D395" t="inlineStr">
        <is>
          <t>02-769-7800</t>
        </is>
      </c>
      <c r="E395" t="inlineStr">
        <is>
          <t>02-786-7711</t>
        </is>
      </c>
      <c r="F395" s="3">
        <f>HYPERLINK("http://www.korfp.com", "http://www.korfp.com")</f>
        <v/>
      </c>
      <c r="G395" t="inlineStr">
        <is>
          <t>2118647536</t>
        </is>
      </c>
      <c r="H395" t="inlineStr">
        <is>
          <t>1101111610470</t>
        </is>
      </c>
      <c r="I395" t="inlineStr">
        <is>
          <t>대상아님</t>
        </is>
      </c>
      <c r="J395" t="inlineStr">
        <is>
          <t>일반법인</t>
        </is>
      </c>
      <c r="K395" t="inlineStr">
        <is>
          <t>중소기업</t>
        </is>
      </c>
      <c r="L395" t="inlineStr">
        <is>
          <t>외부감사대상</t>
        </is>
      </c>
      <c r="M395" s="6" t="inlineStr">
        <is>
          <t>1998-11-20</t>
        </is>
      </c>
      <c r="N395" t="inlineStr">
        <is>
          <t>KRI:10K6420100</t>
        </is>
      </c>
      <c r="O395" t="inlineStr">
        <is>
          <t>신탁업 및 집합투자업</t>
        </is>
      </c>
      <c r="P395" t="inlineStr">
        <is>
          <t>자산운용/소프트웨어 개발,판매</t>
        </is>
      </c>
      <c r="Q395" t="inlineStr">
        <is>
          <t>서울 영등포구 여의도동 22번지 44층</t>
        </is>
      </c>
      <c r="R395" t="inlineStr">
        <is>
          <t>서울 영등포구 여의대로 108, 44층</t>
        </is>
      </c>
    </row>
    <row r="396">
      <c r="A396" t="inlineStr">
        <is>
          <t>NICE:376535</t>
        </is>
      </c>
      <c r="B396" t="inlineStr">
        <is>
          <t>와이에스피전자</t>
        </is>
      </c>
      <c r="C396" t="inlineStr">
        <is>
          <t>전학수</t>
        </is>
      </c>
      <c r="D396" t="inlineStr">
        <is>
          <t>031-883-7095</t>
        </is>
      </c>
      <c r="E396" t="inlineStr">
        <is>
          <t>031-883-7098</t>
        </is>
      </c>
      <c r="G396" t="inlineStr">
        <is>
          <t>1268176169</t>
        </is>
      </c>
      <c r="H396" t="inlineStr">
        <is>
          <t>1312110018412</t>
        </is>
      </c>
      <c r="I396" t="inlineStr">
        <is>
          <t>대상아님</t>
        </is>
      </c>
      <c r="J396" t="inlineStr">
        <is>
          <t>일반법인</t>
        </is>
      </c>
      <c r="K396" t="inlineStr">
        <is>
          <t>중소기업</t>
        </is>
      </c>
      <c r="L396" t="inlineStr">
        <is>
          <t>외부감사대상</t>
        </is>
      </c>
      <c r="M396" s="6" t="inlineStr">
        <is>
          <t>2001-05-01</t>
        </is>
      </c>
      <c r="N396" t="inlineStr">
        <is>
          <t>KRI:10C2652100</t>
        </is>
      </c>
      <c r="O396" t="inlineStr">
        <is>
          <t>라디오, 녹음 및 재생 기기 제조업</t>
        </is>
      </c>
      <c r="P396" t="inlineStr">
        <is>
          <t>전자제품(자동차오디오),부품 제조,가공/무역/부동산 임대</t>
        </is>
      </c>
      <c r="Q396" t="inlineStr">
        <is>
          <t>경기 여주시 가남읍 삼군리 358-3번지</t>
        </is>
      </c>
      <c r="R396" t="inlineStr">
        <is>
          <t>경기 여주시 가남읍 가남로 34</t>
        </is>
      </c>
    </row>
    <row r="397" ht="19.2" customHeight="1" s="1">
      <c r="A397" t="inlineStr">
        <is>
          <t>NICE:379012</t>
        </is>
      </c>
      <c r="B397" t="inlineStr">
        <is>
          <t>에릭슨코리아파트너스</t>
        </is>
      </c>
      <c r="C397" t="inlineStr">
        <is>
          <t>허행만/시벨톰파즈피오라니</t>
        </is>
      </c>
      <c r="D397" t="inlineStr">
        <is>
          <t>02-2016-1588</t>
        </is>
      </c>
      <c r="E397" t="inlineStr">
        <is>
          <t>02-2016-1850</t>
        </is>
      </c>
      <c r="F397" s="3">
        <f>HYPERLINK("http://www.ericssonlg.co.kr", "http://www.ericssonlg.co.kr")</f>
        <v/>
      </c>
      <c r="G397" t="inlineStr">
        <is>
          <t>2208717654</t>
        </is>
      </c>
      <c r="H397" t="inlineStr">
        <is>
          <t>1101113322669</t>
        </is>
      </c>
      <c r="I397" t="inlineStr">
        <is>
          <t>대상아님</t>
        </is>
      </c>
      <c r="J397" t="inlineStr">
        <is>
          <t>일반법인</t>
        </is>
      </c>
      <c r="K397" t="inlineStr">
        <is>
          <t>중견기업</t>
        </is>
      </c>
      <c r="L397" t="inlineStr">
        <is>
          <t>외부감사대상</t>
        </is>
      </c>
      <c r="M397" s="6" t="inlineStr">
        <is>
          <t>2005-10-13</t>
        </is>
      </c>
      <c r="N397" t="inlineStr">
        <is>
          <t>KRI:10G4652200</t>
        </is>
      </c>
      <c r="O397" t="inlineStr">
        <is>
          <t>통신ㆍ방송장비 및 부품 도매업</t>
        </is>
      </c>
      <c r="P397" t="inlineStr">
        <is>
          <t>통신장비,전기전자,전자교환기,키폰 도매,제조/연구,개발,전기전자,통신 엔지니어링</t>
        </is>
      </c>
      <c r="Q397" t="inlineStr">
        <is>
          <t>서울 강남구 역삼동 825-2번지 메리츠타워 13층</t>
        </is>
      </c>
      <c r="R397" t="inlineStr">
        <is>
          <t>서울 강남구 강남대로 382, 13층 (역삼동,메리츠타워)</t>
        </is>
      </c>
    </row>
    <row r="398">
      <c r="A398" t="inlineStr">
        <is>
          <t>NICE:379034</t>
        </is>
      </c>
      <c r="B398" t="inlineStr">
        <is>
          <t>건화기업</t>
        </is>
      </c>
      <c r="C398" t="inlineStr">
        <is>
          <t>이수우</t>
        </is>
      </c>
      <c r="D398" t="inlineStr">
        <is>
          <t>055-264-3400</t>
        </is>
      </c>
      <c r="E398" t="inlineStr">
        <is>
          <t>055-264-2084</t>
        </is>
      </c>
      <c r="G398" t="inlineStr">
        <is>
          <t>6098116176</t>
        </is>
      </c>
      <c r="H398" t="inlineStr">
        <is>
          <t>1942110012287</t>
        </is>
      </c>
      <c r="I398" t="inlineStr">
        <is>
          <t>대상아님</t>
        </is>
      </c>
      <c r="J398" t="inlineStr">
        <is>
          <t>일반법인</t>
        </is>
      </c>
      <c r="K398" t="inlineStr">
        <is>
          <t>중견기업</t>
        </is>
      </c>
      <c r="L398" t="inlineStr">
        <is>
          <t>외부감사대상</t>
        </is>
      </c>
      <c r="M398" s="6" t="inlineStr">
        <is>
          <t>1993-02-05</t>
        </is>
      </c>
      <c r="N398" t="inlineStr">
        <is>
          <t>KRI:10G4679100</t>
        </is>
      </c>
      <c r="O398" t="inlineStr">
        <is>
          <t>재생용 재료 수집 및 판매업</t>
        </is>
      </c>
      <c r="P398" t="inlineStr">
        <is>
          <t>고철,재류의 절단가공 판매</t>
        </is>
      </c>
      <c r="Q398" t="inlineStr">
        <is>
          <t>경남 창원시 성산구 신촌동 66-14번지</t>
        </is>
      </c>
      <c r="R398" t="inlineStr">
        <is>
          <t>경남 창원시 성산구 적현로 144</t>
        </is>
      </c>
    </row>
    <row r="399" ht="19.2" customHeight="1" s="1">
      <c r="A399" t="inlineStr">
        <is>
          <t>NICE:380165</t>
        </is>
      </c>
      <c r="B399" t="inlineStr">
        <is>
          <t>히타치하이테크코리아</t>
        </is>
      </c>
      <c r="C399" t="inlineStr">
        <is>
          <t>마츠오카에이지</t>
        </is>
      </c>
      <c r="D399" t="inlineStr">
        <is>
          <t>031-725-4201</t>
        </is>
      </c>
      <c r="E399" t="inlineStr">
        <is>
          <t>031-725-4209</t>
        </is>
      </c>
      <c r="F399" s="3">
        <f>HYPERLINK("http://www.hitachi-hightech.com/kr/?version=ko", "http://www.hitachi-hightech.com/kr/?version=ko")</f>
        <v/>
      </c>
      <c r="G399" t="inlineStr">
        <is>
          <t>1018613592</t>
        </is>
      </c>
      <c r="H399" t="inlineStr">
        <is>
          <t>1101113194018</t>
        </is>
      </c>
      <c r="I399" t="inlineStr">
        <is>
          <t>대상아님</t>
        </is>
      </c>
      <c r="J399" t="inlineStr">
        <is>
          <t>일반법인</t>
        </is>
      </c>
      <c r="K399" t="inlineStr">
        <is>
          <t>중소기업</t>
        </is>
      </c>
      <c r="L399" t="inlineStr">
        <is>
          <t>외부감사대상</t>
        </is>
      </c>
      <c r="M399" s="6" t="inlineStr">
        <is>
          <t>2005-03-24</t>
        </is>
      </c>
      <c r="N399" t="inlineStr">
        <is>
          <t>KRI:10G4680000</t>
        </is>
      </c>
      <c r="O399" t="inlineStr">
        <is>
          <t>상품 종합 도매업</t>
        </is>
      </c>
      <c r="P399" t="inlineStr">
        <is>
          <t>무역(어플리케이션,관련부품,반도체제조장치,계측기부품 상품연쇄화)</t>
        </is>
      </c>
      <c r="Q399" t="inlineStr">
        <is>
          <t>경기 성남시 분당구 백현동 541번지 오피스에이치 9층</t>
        </is>
      </c>
      <c r="R399" t="inlineStr">
        <is>
          <t>경기 성남시 분당구 판교역로146번길 20, 9층 (백현동,오피스에이치)</t>
        </is>
      </c>
    </row>
    <row r="400" ht="19.2" customHeight="1" s="1">
      <c r="A400" t="inlineStr">
        <is>
          <t>NICE:380225</t>
        </is>
      </c>
      <c r="B400" t="inlineStr">
        <is>
          <t>지피씨</t>
        </is>
      </c>
      <c r="C400" t="inlineStr">
        <is>
          <t>우석근</t>
        </is>
      </c>
      <c r="D400" t="inlineStr">
        <is>
          <t>055-343-9870</t>
        </is>
      </c>
      <c r="E400" t="inlineStr">
        <is>
          <t>055-343-9875</t>
        </is>
      </c>
      <c r="F400" s="3">
        <f>HYPERLINK("http://www.gpckorea.com", "http://www.gpckorea.com")</f>
        <v/>
      </c>
      <c r="G400" t="inlineStr">
        <is>
          <t>6098155029</t>
        </is>
      </c>
      <c r="H400" t="inlineStr">
        <is>
          <t>1942110056764</t>
        </is>
      </c>
      <c r="I400" t="inlineStr">
        <is>
          <t>대상아님</t>
        </is>
      </c>
      <c r="J400" t="inlineStr">
        <is>
          <t>일반법인</t>
        </is>
      </c>
      <c r="K400" t="inlineStr">
        <is>
          <t>중소기업</t>
        </is>
      </c>
      <c r="L400" t="inlineStr">
        <is>
          <t>외부감사대상</t>
        </is>
      </c>
      <c r="M400" s="6" t="inlineStr">
        <is>
          <t>2002-08-13</t>
        </is>
      </c>
      <c r="N400" t="inlineStr">
        <is>
          <t>KRI:10C3111400</t>
        </is>
      </c>
      <c r="O400" t="inlineStr">
        <is>
          <t>선박 구성 부분품 제조업</t>
        </is>
      </c>
      <c r="P400" t="inlineStr">
        <is>
          <t>조선기자재 제조,무역</t>
        </is>
      </c>
      <c r="Q400" t="inlineStr">
        <is>
          <t>경남 김해시 진례면 고모리 1568-8번지</t>
        </is>
      </c>
      <c r="R400" t="inlineStr">
        <is>
          <t>경남 김해시 진례면 테크노밸리1로 164</t>
        </is>
      </c>
    </row>
    <row r="401" ht="19.2" customHeight="1" s="1">
      <c r="A401" t="inlineStr">
        <is>
          <t>NICE:380971</t>
        </is>
      </c>
      <c r="B401" t="inlineStr">
        <is>
          <t>한국호야전자</t>
        </is>
      </c>
      <c r="C401" t="inlineStr">
        <is>
          <t>김인</t>
        </is>
      </c>
      <c r="D401" t="inlineStr">
        <is>
          <t>031-683-9400</t>
        </is>
      </c>
      <c r="E401" t="inlineStr">
        <is>
          <t>031-686-6793</t>
        </is>
      </c>
      <c r="F401" s="3">
        <f>HYPERLINK("http://www.hoyakorea.co.kr", "http://www.hoyakorea.co.kr")</f>
        <v/>
      </c>
      <c r="G401" t="inlineStr">
        <is>
          <t>1258154371</t>
        </is>
      </c>
      <c r="H401" t="inlineStr">
        <is>
          <t>1313110055404</t>
        </is>
      </c>
      <c r="I401" t="inlineStr">
        <is>
          <t>대상아님</t>
        </is>
      </c>
      <c r="J401" t="inlineStr">
        <is>
          <t>일반법인</t>
        </is>
      </c>
      <c r="K401" t="inlineStr">
        <is>
          <t>중견기업</t>
        </is>
      </c>
      <c r="L401" t="inlineStr">
        <is>
          <t>외부감사대상</t>
        </is>
      </c>
      <c r="M401" s="6" t="inlineStr">
        <is>
          <t>2007-09-09</t>
        </is>
      </c>
      <c r="N401" t="inlineStr">
        <is>
          <t>KRI:10C2621100</t>
        </is>
      </c>
      <c r="O401" t="inlineStr">
        <is>
          <t>액정 표시장치 제조업</t>
        </is>
      </c>
      <c r="P401" t="inlineStr">
        <is>
          <t>LCD공정부품(포토마스크) 제조</t>
        </is>
      </c>
      <c r="Q401" t="inlineStr">
        <is>
          <t>경기 평택시 청북읍 현곡리 463-3번지</t>
        </is>
      </c>
      <c r="R401" t="inlineStr">
        <is>
          <t>경기 평택시 청북읍 현곡산단로 55</t>
        </is>
      </c>
    </row>
    <row r="402" ht="19.2" customHeight="1" s="1">
      <c r="A402" t="inlineStr">
        <is>
          <t>NICE:381489</t>
        </is>
      </c>
      <c r="B402" t="inlineStr">
        <is>
          <t>케이조선</t>
        </is>
      </c>
      <c r="C402" t="inlineStr">
        <is>
          <t>김찬</t>
        </is>
      </c>
      <c r="D402" t="inlineStr">
        <is>
          <t>055-548-1122</t>
        </is>
      </c>
      <c r="E402" t="inlineStr">
        <is>
          <t>055-546-4322</t>
        </is>
      </c>
      <c r="F402" s="3">
        <f>HYPERLINK("http://www.kshipbuilding.com", "http://www.kshipbuilding.com")</f>
        <v/>
      </c>
      <c r="G402" t="inlineStr">
        <is>
          <t>1208168604</t>
        </is>
      </c>
      <c r="H402" t="inlineStr">
        <is>
          <t>1801110002814</t>
        </is>
      </c>
      <c r="I402" t="inlineStr">
        <is>
          <t>제3시장</t>
        </is>
      </c>
      <c r="J402" t="inlineStr">
        <is>
          <t>일반법인</t>
        </is>
      </c>
      <c r="K402" t="inlineStr">
        <is>
          <t>중견기업</t>
        </is>
      </c>
      <c r="L402" t="inlineStr">
        <is>
          <t>외부감사대상</t>
        </is>
      </c>
      <c r="M402" s="6" t="inlineStr">
        <is>
          <t>1967-04-10</t>
        </is>
      </c>
      <c r="N402" t="inlineStr">
        <is>
          <t>KRI:10C3111100</t>
        </is>
      </c>
      <c r="O402" t="inlineStr">
        <is>
          <t>강선 건조업</t>
        </is>
      </c>
      <c r="P402" t="inlineStr">
        <is>
          <t>선박 제조,해양플랜트설계,제작,시공/토목공사,전기공사</t>
        </is>
      </c>
      <c r="Q402" t="inlineStr">
        <is>
          <t>경남 창원시 진해구 원포동 100번지</t>
        </is>
      </c>
      <c r="R402" t="inlineStr">
        <is>
          <t>경남 창원시 진해구 명제로 60</t>
        </is>
      </c>
    </row>
    <row r="403" ht="19.2" customHeight="1" s="1">
      <c r="A403" t="inlineStr">
        <is>
          <t>NICE:382306</t>
        </is>
      </c>
      <c r="B403" t="inlineStr">
        <is>
          <t>에프알엘코리아</t>
        </is>
      </c>
      <c r="C403" t="inlineStr">
        <is>
          <t>쿠와하라타카오/최우제</t>
        </is>
      </c>
      <c r="D403" t="inlineStr">
        <is>
          <t>080-722-3300</t>
        </is>
      </c>
      <c r="E403" t="inlineStr">
        <is>
          <t>02-3213-7960</t>
        </is>
      </c>
      <c r="F403" s="3">
        <f>HYPERLINK("http://www.uniqlo.com", "http://www.uniqlo.com")</f>
        <v/>
      </c>
      <c r="G403" t="inlineStr">
        <is>
          <t>1048191189</t>
        </is>
      </c>
      <c r="H403" t="inlineStr">
        <is>
          <t>1101113133298</t>
        </is>
      </c>
      <c r="I403" t="inlineStr">
        <is>
          <t>대상아님</t>
        </is>
      </c>
      <c r="J403" t="inlineStr">
        <is>
          <t>일반법인</t>
        </is>
      </c>
      <c r="K403" t="inlineStr">
        <is>
          <t>대기업</t>
        </is>
      </c>
      <c r="L403" t="inlineStr">
        <is>
          <t>외부감사대상</t>
        </is>
      </c>
      <c r="M403" s="6" t="inlineStr">
        <is>
          <t>2004-12-16</t>
        </is>
      </c>
      <c r="N403" t="inlineStr">
        <is>
          <t>KRI:10G4641300</t>
        </is>
      </c>
      <c r="O403" t="inlineStr">
        <is>
          <t>남녀용 겉옷 및 셔츠 도매업</t>
        </is>
      </c>
      <c r="P403" t="inlineStr">
        <is>
          <t>셔츠,외의,가죽,모피,의복악세사리,가발,여행용품 도소매</t>
        </is>
      </c>
      <c r="Q403" t="inlineStr">
        <is>
          <t>서울 송파구 신천동 29번지 롯데월드타워 24층</t>
        </is>
      </c>
      <c r="R403" t="inlineStr">
        <is>
          <t>서울 송파구 올림픽로 300, 24층 (신천동,롯데월드타워)</t>
        </is>
      </c>
    </row>
    <row r="404" ht="19.2" customHeight="1" s="1">
      <c r="A404" t="inlineStr">
        <is>
          <t>NICE:382781</t>
        </is>
      </c>
      <c r="B404" t="inlineStr">
        <is>
          <t>한국항공대학교산학협력단</t>
        </is>
      </c>
      <c r="C404" t="inlineStr">
        <is>
          <t>오현웅</t>
        </is>
      </c>
      <c r="D404" t="inlineStr">
        <is>
          <t>02-300-0491</t>
        </is>
      </c>
      <c r="E404" t="inlineStr">
        <is>
          <t>02-300-0495</t>
        </is>
      </c>
      <c r="F404" s="3">
        <f>HYPERLINK("http://www.hau.ac.kr", "http://www.hau.ac.kr")</f>
        <v/>
      </c>
      <c r="G404" t="inlineStr">
        <is>
          <t>1288208698</t>
        </is>
      </c>
      <c r="H404" t="inlineStr">
        <is>
          <t>2848710002174</t>
        </is>
      </c>
      <c r="I404" t="inlineStr">
        <is>
          <t>대상아님</t>
        </is>
      </c>
      <c r="J404" t="inlineStr">
        <is>
          <t>비영리법인</t>
        </is>
      </c>
      <c r="K404" t="inlineStr">
        <is>
          <t>대상아님</t>
        </is>
      </c>
      <c r="L404" t="inlineStr">
        <is>
          <t>외부감사비대상</t>
        </is>
      </c>
      <c r="M404" s="6" t="inlineStr">
        <is>
          <t>2004-02-17</t>
        </is>
      </c>
      <c r="N404" t="inlineStr">
        <is>
          <t>KRI:10M7012900</t>
        </is>
      </c>
      <c r="O404" t="inlineStr">
        <is>
          <t>기타 공학 연구개발업</t>
        </is>
      </c>
      <c r="P404" t="inlineStr">
        <is>
          <t>산학협력단(연구및개발용역),전대</t>
        </is>
      </c>
      <c r="Q404" t="inlineStr">
        <is>
          <t>경기 고양시 덕양구 화전동 646-6번지 한국항공대학교</t>
        </is>
      </c>
      <c r="R404" t="inlineStr">
        <is>
          <t>경기 고양시 덕양구 항공대학로 76 (화전동,한국항공대학교)</t>
        </is>
      </c>
    </row>
    <row r="405" ht="19.2" customHeight="1" s="1">
      <c r="A405" t="inlineStr">
        <is>
          <t>NICE:383310</t>
        </is>
      </c>
      <c r="B405" t="inlineStr">
        <is>
          <t>한얼싸이언스</t>
        </is>
      </c>
      <c r="C405" t="inlineStr">
        <is>
          <t>심봉섭</t>
        </is>
      </c>
      <c r="D405" t="inlineStr">
        <is>
          <t>031-627-9999</t>
        </is>
      </c>
      <c r="E405" t="inlineStr">
        <is>
          <t>031-627-9998</t>
        </is>
      </c>
      <c r="F405" s="3">
        <f>HYPERLINK("http://www.hescience.co.kr", "http://www.hescience.co.kr")</f>
        <v/>
      </c>
      <c r="G405" t="inlineStr">
        <is>
          <t>1148624834</t>
        </is>
      </c>
      <c r="H405" t="inlineStr">
        <is>
          <t>1101112692873</t>
        </is>
      </c>
      <c r="I405" t="inlineStr">
        <is>
          <t>대상아님</t>
        </is>
      </c>
      <c r="J405" t="inlineStr">
        <is>
          <t>일반법인</t>
        </is>
      </c>
      <c r="K405" t="inlineStr">
        <is>
          <t>중소기업</t>
        </is>
      </c>
      <c r="L405" t="inlineStr">
        <is>
          <t>외부감사대상</t>
        </is>
      </c>
      <c r="M405" s="6" t="inlineStr">
        <is>
          <t>2003-01-13</t>
        </is>
      </c>
      <c r="N405" t="inlineStr">
        <is>
          <t>KRI:10C2032100</t>
        </is>
      </c>
      <c r="O405" t="inlineStr">
        <is>
          <t>화학 살균ㆍ살충제 및 농업용 약제 제조업</t>
        </is>
      </c>
      <c r="P405" t="inlineStr">
        <is>
          <t>농약,비료 제조,도소매</t>
        </is>
      </c>
      <c r="Q405" t="inlineStr">
        <is>
          <t>강원 태백시 철암동 447번지</t>
        </is>
      </c>
      <c r="R405" t="inlineStr">
        <is>
          <t>강원 태백시 철암공단길 16-15</t>
        </is>
      </c>
    </row>
    <row r="406">
      <c r="A406" t="inlineStr">
        <is>
          <t>NICE:383916</t>
        </is>
      </c>
      <c r="B406" t="inlineStr">
        <is>
          <t>명신해운</t>
        </is>
      </c>
      <c r="C406" t="inlineStr">
        <is>
          <t>이홍주</t>
        </is>
      </c>
      <c r="D406" t="inlineStr">
        <is>
          <t>052-256-9701</t>
        </is>
      </c>
      <c r="E406" t="inlineStr">
        <is>
          <t>052-256-9703</t>
        </is>
      </c>
      <c r="G406" t="inlineStr">
        <is>
          <t>6108166661</t>
        </is>
      </c>
      <c r="H406" t="inlineStr">
        <is>
          <t>2301110096311</t>
        </is>
      </c>
      <c r="I406" t="inlineStr">
        <is>
          <t>대상아님</t>
        </is>
      </c>
      <c r="J406" t="inlineStr">
        <is>
          <t>일반법인</t>
        </is>
      </c>
      <c r="K406" t="inlineStr">
        <is>
          <t>중소기업</t>
        </is>
      </c>
      <c r="L406" t="inlineStr">
        <is>
          <t>외부감사대상</t>
        </is>
      </c>
      <c r="M406" s="6" t="inlineStr">
        <is>
          <t>2003-06-09</t>
        </is>
      </c>
      <c r="N406" t="inlineStr">
        <is>
          <t>KRI:10H5013000</t>
        </is>
      </c>
      <c r="O406" t="inlineStr">
        <is>
          <t>기타 해상 운송업</t>
        </is>
      </c>
      <c r="P406" t="inlineStr">
        <is>
          <t>해상화물 운송</t>
        </is>
      </c>
      <c r="Q406" t="inlineStr">
        <is>
          <t>울산 남구 장생포동 79번지 2층</t>
        </is>
      </c>
      <c r="R406" t="inlineStr">
        <is>
          <t>울산 남구 장생포고래로197번길 13, 2층</t>
        </is>
      </c>
    </row>
    <row r="407" ht="19.2" customHeight="1" s="1">
      <c r="A407" t="inlineStr">
        <is>
          <t>NICE:384151</t>
        </is>
      </c>
      <c r="B407" t="inlineStr">
        <is>
          <t>청우하이드로</t>
        </is>
      </c>
      <c r="C407" t="inlineStr">
        <is>
          <t>안송준</t>
        </is>
      </c>
      <c r="D407" t="inlineStr">
        <is>
          <t>032-561-0971</t>
        </is>
      </c>
      <c r="E407" t="inlineStr">
        <is>
          <t>032-567-0971</t>
        </is>
      </c>
      <c r="F407" s="3">
        <f>HYPERLINK("http://www.cwhydro.co.kr", "http://www.cwhydro.co.kr")</f>
        <v/>
      </c>
      <c r="G407" t="inlineStr">
        <is>
          <t>1078137317</t>
        </is>
      </c>
      <c r="H407" t="inlineStr">
        <is>
          <t>1101110078728</t>
        </is>
      </c>
      <c r="I407" t="inlineStr">
        <is>
          <t>대상아님</t>
        </is>
      </c>
      <c r="J407" t="inlineStr">
        <is>
          <t>일반법인</t>
        </is>
      </c>
      <c r="K407" t="inlineStr">
        <is>
          <t>중소기업</t>
        </is>
      </c>
      <c r="L407" t="inlineStr">
        <is>
          <t>외부감사대상</t>
        </is>
      </c>
      <c r="M407" s="6" t="inlineStr">
        <is>
          <t>1967-05-16</t>
        </is>
      </c>
      <c r="N407" t="inlineStr">
        <is>
          <t>KRI:10C2913100</t>
        </is>
      </c>
      <c r="O407" t="inlineStr">
        <is>
          <t>액체 펌프 제조업</t>
        </is>
      </c>
      <c r="P407" t="inlineStr">
        <is>
          <t>펌프,가스,오일버너,송풍기,모타 제조/태양광(신재생에너지) 발전/설비공사,상하수도설비공사</t>
        </is>
      </c>
      <c r="Q407" t="inlineStr">
        <is>
          <t>인천 서구 경서동 682-14번지 인천주물공단</t>
        </is>
      </c>
      <c r="R407" t="inlineStr">
        <is>
          <t>인천 서구 호두산로 166, 인천주물공단</t>
        </is>
      </c>
    </row>
    <row r="408" ht="19.2" customHeight="1" s="1">
      <c r="A408" t="inlineStr">
        <is>
          <t>NICE:384228</t>
        </is>
      </c>
      <c r="B408" t="inlineStr">
        <is>
          <t>티앤에스산업</t>
        </is>
      </c>
      <c r="C408" t="inlineStr">
        <is>
          <t>정광표/정태빈</t>
        </is>
      </c>
      <c r="D408" t="inlineStr">
        <is>
          <t>02-3471-3967</t>
        </is>
      </c>
      <c r="E408" t="inlineStr">
        <is>
          <t>02-3471-3965</t>
        </is>
      </c>
      <c r="F408" s="3">
        <f>HYPERLINK("http://www.swfishery.com", "http://www.swfishery.com")</f>
        <v/>
      </c>
      <c r="G408" t="inlineStr">
        <is>
          <t>1058643759</t>
        </is>
      </c>
      <c r="H408" t="inlineStr">
        <is>
          <t>1101112591661</t>
        </is>
      </c>
      <c r="I408" t="inlineStr">
        <is>
          <t>대상아님</t>
        </is>
      </c>
      <c r="J408" t="inlineStr">
        <is>
          <t>일반법인</t>
        </is>
      </c>
      <c r="K408" t="inlineStr">
        <is>
          <t>중소기업</t>
        </is>
      </c>
      <c r="L408" t="inlineStr">
        <is>
          <t>외부감사대상</t>
        </is>
      </c>
      <c r="M408" s="6" t="inlineStr">
        <is>
          <t>2002-08-20</t>
        </is>
      </c>
      <c r="N408" t="inlineStr">
        <is>
          <t>KRI:10A0311100</t>
        </is>
      </c>
      <c r="O408" t="inlineStr">
        <is>
          <t>원양 어업</t>
        </is>
      </c>
      <c r="P408" t="inlineStr">
        <is>
          <t>원양어업/수산물 가공 도소매,무역</t>
        </is>
      </c>
      <c r="Q408" t="inlineStr">
        <is>
          <t>서울 서초구 서초동 1673-2번지 6층</t>
        </is>
      </c>
      <c r="R408" t="inlineStr">
        <is>
          <t>서울 서초구 서초대로 304, 6층</t>
        </is>
      </c>
    </row>
    <row r="409" ht="19.2" customHeight="1" s="1">
      <c r="A409" t="inlineStr">
        <is>
          <t>NICE:384240</t>
        </is>
      </c>
      <c r="B409" t="inlineStr">
        <is>
          <t>에이치에스효성인포메이션시스템</t>
        </is>
      </c>
      <c r="C409" t="inlineStr">
        <is>
          <t>양정규/아드리안리차드존슨</t>
        </is>
      </c>
      <c r="D409" t="inlineStr">
        <is>
          <t>02-510-0300</t>
        </is>
      </c>
      <c r="E409" t="inlineStr">
        <is>
          <t>02-547-9998</t>
        </is>
      </c>
      <c r="F409" s="3">
        <f>HYPERLINK("http://www.his21.co.kr", "http://www.his21.co.kr")</f>
        <v/>
      </c>
      <c r="G409" t="inlineStr">
        <is>
          <t>1208102941</t>
        </is>
      </c>
      <c r="H409" t="inlineStr">
        <is>
          <t>1101110405806</t>
        </is>
      </c>
      <c r="I409" t="inlineStr">
        <is>
          <t>대상아님</t>
        </is>
      </c>
      <c r="J409" t="inlineStr">
        <is>
          <t>일반법인</t>
        </is>
      </c>
      <c r="K409" t="inlineStr">
        <is>
          <t>대기업</t>
        </is>
      </c>
      <c r="L409" t="inlineStr">
        <is>
          <t>외부감사대상</t>
        </is>
      </c>
      <c r="M409" s="6" t="inlineStr">
        <is>
          <t>1985-08-26</t>
        </is>
      </c>
      <c r="N409" t="inlineStr">
        <is>
          <t>KRI:10G4651000</t>
        </is>
      </c>
      <c r="O409" t="inlineStr">
        <is>
          <t>컴퓨터 및 주변장치, 소프트웨어 도매업</t>
        </is>
      </c>
      <c r="P409" t="inlineStr">
        <is>
          <t>컴퓨터,네트워크장비,주변기기,통신장비,방송장비 도소매/소프트웨어 자문,개발,공급</t>
        </is>
      </c>
      <c r="Q409" t="inlineStr">
        <is>
          <t>서울 강남구 청담동 52번지</t>
        </is>
      </c>
      <c r="R409" t="inlineStr">
        <is>
          <t>서울 강남구 도산대로 524</t>
        </is>
      </c>
    </row>
    <row r="410" ht="19.2" customHeight="1" s="1">
      <c r="A410" t="inlineStr">
        <is>
          <t>NICE:384810</t>
        </is>
      </c>
      <c r="B410" t="inlineStr">
        <is>
          <t>대동전자</t>
        </is>
      </c>
      <c r="C410" t="inlineStr">
        <is>
          <t>이관우</t>
        </is>
      </c>
      <c r="D410" t="inlineStr">
        <is>
          <t>02-855-5121-2</t>
        </is>
      </c>
      <c r="E410" t="inlineStr">
        <is>
          <t>02-864-4690</t>
        </is>
      </c>
      <c r="F410" s="3">
        <f>HYPERLINK("http://www.daidong.com", "http://www.daidong.com")</f>
        <v/>
      </c>
      <c r="G410" t="inlineStr">
        <is>
          <t>1198104629</t>
        </is>
      </c>
      <c r="H410" t="inlineStr">
        <is>
          <t>1101110134819</t>
        </is>
      </c>
      <c r="I410" t="inlineStr">
        <is>
          <t>대상아님</t>
        </is>
      </c>
      <c r="J410" t="inlineStr">
        <is>
          <t>일반법인</t>
        </is>
      </c>
      <c r="K410" t="inlineStr">
        <is>
          <t>중소기업</t>
        </is>
      </c>
      <c r="L410" t="inlineStr">
        <is>
          <t>외부감사대상</t>
        </is>
      </c>
      <c r="M410" s="6" t="inlineStr">
        <is>
          <t>1972-10-10</t>
        </is>
      </c>
      <c r="N410" t="inlineStr">
        <is>
          <t>KRI:10C2629900</t>
        </is>
      </c>
      <c r="O410" t="inlineStr">
        <is>
          <t>그 외 기타 전자부품 제조업</t>
        </is>
      </c>
      <c r="P410" t="inlineStr">
        <is>
          <t>통신음향,전자기계기구용 플라스틱제품 제조,도매</t>
        </is>
      </c>
      <c r="Q410" t="inlineStr">
        <is>
          <t>서울 금천구 가산동 327-18번지</t>
        </is>
      </c>
      <c r="R410" t="inlineStr">
        <is>
          <t>서울 금천구 가산디지털1로 33</t>
        </is>
      </c>
    </row>
    <row r="411" ht="19.2" customHeight="1" s="1">
      <c r="A411" t="inlineStr">
        <is>
          <t>NICE:385077</t>
        </is>
      </c>
      <c r="B411" t="inlineStr">
        <is>
          <t>한국스파이렉스사코</t>
        </is>
      </c>
      <c r="C411" t="inlineStr">
        <is>
          <t>김창용/리수아이와</t>
        </is>
      </c>
      <c r="D411" t="inlineStr">
        <is>
          <t>02-3489-3489</t>
        </is>
      </c>
      <c r="E411" t="inlineStr">
        <is>
          <t>02-525-2279</t>
        </is>
      </c>
      <c r="F411" s="3">
        <f>HYPERLINK("http://www.spiraxsarco.com/kr", "http://www.spiraxsarco.com/kr")</f>
        <v/>
      </c>
      <c r="G411" t="inlineStr">
        <is>
          <t>2148144547</t>
        </is>
      </c>
      <c r="H411" t="inlineStr">
        <is>
          <t>1201110009664</t>
        </is>
      </c>
      <c r="I411" t="inlineStr">
        <is>
          <t>대상아님</t>
        </is>
      </c>
      <c r="J411" t="inlineStr">
        <is>
          <t>일반법인</t>
        </is>
      </c>
      <c r="K411" t="inlineStr">
        <is>
          <t>중견기업</t>
        </is>
      </c>
      <c r="L411" t="inlineStr">
        <is>
          <t>외부감사대상</t>
        </is>
      </c>
      <c r="M411" s="6" t="inlineStr">
        <is>
          <t>1978-05-26</t>
        </is>
      </c>
      <c r="N411" t="inlineStr">
        <is>
          <t>KRI:10C2721500</t>
        </is>
      </c>
      <c r="O411" t="inlineStr">
        <is>
          <t>기기용 자동측정 및 제어장치 제조업</t>
        </is>
      </c>
      <c r="P411" t="inlineStr">
        <is>
          <t>스팀트랩,에너지절약기기,감압밸브,펌프 제조/화학제품 도소매,무역/일반서적 출판</t>
        </is>
      </c>
      <c r="Q411" t="inlineStr">
        <is>
          <t>서울 동작구 사당동 1030-7번지</t>
        </is>
      </c>
      <c r="R411" t="inlineStr">
        <is>
          <t>서울 동작구 사당로30길 99</t>
        </is>
      </c>
    </row>
    <row r="412" ht="19.2" customHeight="1" s="1">
      <c r="A412" t="inlineStr">
        <is>
          <t>NICE:385413</t>
        </is>
      </c>
      <c r="B412" t="inlineStr">
        <is>
          <t>프라임방재</t>
        </is>
      </c>
      <c r="C412" t="inlineStr">
        <is>
          <t>김회택</t>
        </is>
      </c>
      <c r="D412" t="inlineStr">
        <is>
          <t>031-631-9469</t>
        </is>
      </c>
      <c r="E412" t="inlineStr">
        <is>
          <t>02-2692-5475</t>
        </is>
      </c>
      <c r="F412" s="3">
        <f>HYPERLINK("http://www.prime-enc.co.kr", "http://www.prime-enc.co.kr")</f>
        <v/>
      </c>
      <c r="G412" t="inlineStr">
        <is>
          <t>1098195477</t>
        </is>
      </c>
      <c r="H412" t="inlineStr">
        <is>
          <t>1101113145475</t>
        </is>
      </c>
      <c r="I412" t="inlineStr">
        <is>
          <t>대상아님</t>
        </is>
      </c>
      <c r="J412" t="inlineStr">
        <is>
          <t>일반법인</t>
        </is>
      </c>
      <c r="K412" t="inlineStr">
        <is>
          <t>중소기업</t>
        </is>
      </c>
      <c r="L412" t="inlineStr">
        <is>
          <t>외부감사대상</t>
        </is>
      </c>
      <c r="M412" s="6" t="inlineStr">
        <is>
          <t>2005-01-06</t>
        </is>
      </c>
      <c r="N412" t="inlineStr">
        <is>
          <t>KRI:10F4220100</t>
        </is>
      </c>
      <c r="O412" t="inlineStr">
        <is>
          <t>배관 및 냉ㆍ난방 공사업</t>
        </is>
      </c>
      <c r="P412" t="inlineStr">
        <is>
          <t>소방시설공사,기계가스설비공사,전기공사,건축공사,시설물유지관리공사,소방시설공사,기계가스설비공사,전기공사/소방시설관리/소방기구 제조</t>
        </is>
      </c>
      <c r="Q412" t="inlineStr">
        <is>
          <t>서울 강서구 가양동 1487번지 가양테크노타운 503호,507호,508호,509호</t>
        </is>
      </c>
      <c r="R412" t="inlineStr">
        <is>
          <t>서울 강서구 허준로 217, 503호,507호,508호,509호 (가양동,가양테크노타운)</t>
        </is>
      </c>
    </row>
    <row r="413" ht="19.2" customHeight="1" s="1">
      <c r="A413" t="inlineStr">
        <is>
          <t>NICE:385816</t>
        </is>
      </c>
      <c r="B413" t="inlineStr">
        <is>
          <t>클라리오스델코</t>
        </is>
      </c>
      <c r="C413" t="inlineStr">
        <is>
          <t>원석준/유소영</t>
        </is>
      </c>
      <c r="D413" t="inlineStr">
        <is>
          <t>054-472-7862</t>
        </is>
      </c>
      <c r="E413" t="inlineStr">
        <is>
          <t>054-472-7868</t>
        </is>
      </c>
      <c r="F413" s="3">
        <f>HYPERLINK("http://www.delkor.com", "http://www.delkor.com")</f>
        <v/>
      </c>
      <c r="G413" t="inlineStr">
        <is>
          <t>5138104520</t>
        </is>
      </c>
      <c r="H413" t="inlineStr">
        <is>
          <t>1760140001983</t>
        </is>
      </c>
      <c r="I413" t="inlineStr">
        <is>
          <t>대상아님</t>
        </is>
      </c>
      <c r="J413" t="inlineStr">
        <is>
          <t>일반법인</t>
        </is>
      </c>
      <c r="K413" t="inlineStr">
        <is>
          <t>중견기업</t>
        </is>
      </c>
      <c r="L413" t="inlineStr">
        <is>
          <t>외부감사대상</t>
        </is>
      </c>
      <c r="M413" s="6" t="inlineStr">
        <is>
          <t>1985-10-22</t>
        </is>
      </c>
      <c r="N413" t="inlineStr">
        <is>
          <t>KRI:10C2820200</t>
        </is>
      </c>
      <c r="O413" t="inlineStr">
        <is>
          <t>축전지 제조업</t>
        </is>
      </c>
      <c r="P413" t="inlineStr">
        <is>
          <t>밧데리(자동차,산업,휴대기기용) 제조,도소매</t>
        </is>
      </c>
      <c r="Q413" t="inlineStr">
        <is>
          <t>경북 구미시 황상동 495번지</t>
        </is>
      </c>
      <c r="R413" t="inlineStr">
        <is>
          <t>경북 구미시 옥계2공단로 13</t>
        </is>
      </c>
    </row>
    <row r="414" ht="19.2" customHeight="1" s="1">
      <c r="A414" t="inlineStr">
        <is>
          <t>NICE:385853</t>
        </is>
      </c>
      <c r="B414" t="inlineStr">
        <is>
          <t>현대드림투어</t>
        </is>
      </c>
      <c r="C414" t="inlineStr">
        <is>
          <t>박종선</t>
        </is>
      </c>
      <c r="D414" t="inlineStr">
        <is>
          <t>02-723-2233</t>
        </is>
      </c>
      <c r="E414" t="inlineStr">
        <is>
          <t>02-3014-2486</t>
        </is>
      </c>
      <c r="F414" s="3">
        <f>HYPERLINK("http://www.hyundaidreamtour.com", "http://www.hyundaidreamtour.com")</f>
        <v/>
      </c>
      <c r="G414" t="inlineStr">
        <is>
          <t>1058690908</t>
        </is>
      </c>
      <c r="H414" t="inlineStr">
        <is>
          <t>1101113434307</t>
        </is>
      </c>
      <c r="I414" t="inlineStr">
        <is>
          <t>대상아님</t>
        </is>
      </c>
      <c r="J414" t="inlineStr">
        <is>
          <t>일반법인</t>
        </is>
      </c>
      <c r="K414" t="inlineStr">
        <is>
          <t>대기업</t>
        </is>
      </c>
      <c r="L414" t="inlineStr">
        <is>
          <t>외부감사대상</t>
        </is>
      </c>
      <c r="M414" s="6" t="inlineStr">
        <is>
          <t>2006-04-05</t>
        </is>
      </c>
      <c r="N414" t="inlineStr">
        <is>
          <t>KRI:10N7521000</t>
        </is>
      </c>
      <c r="O414" t="inlineStr">
        <is>
          <t>여행사업</t>
        </is>
      </c>
      <c r="P414" t="inlineStr">
        <is>
          <t>여행 알선,항공권 판매,국제회의 기획,전시,행사 대행,전시물제작설치,이벤트/전자상거래</t>
        </is>
      </c>
      <c r="Q414" t="inlineStr">
        <is>
          <t>서울 서대문구 충정로3가 470번지 풍산빌딩 8층</t>
        </is>
      </c>
      <c r="R414" t="inlineStr">
        <is>
          <t>서울 서대문구 충정로 23, 8층 (충정로3가,풍산빌딩)</t>
        </is>
      </c>
    </row>
    <row r="415" ht="19.2" customHeight="1" s="1">
      <c r="A415" t="inlineStr">
        <is>
          <t>NICE:386103</t>
        </is>
      </c>
      <c r="B415" t="inlineStr">
        <is>
          <t>동미전기공업</t>
        </is>
      </c>
      <c r="C415" t="inlineStr">
        <is>
          <t>한상욱</t>
        </is>
      </c>
      <c r="D415" t="inlineStr">
        <is>
          <t>031-491-2581</t>
        </is>
      </c>
      <c r="E415" t="inlineStr">
        <is>
          <t>031-491-4537</t>
        </is>
      </c>
      <c r="F415" s="3">
        <f>HYPERLINK("http://www.dongmi.co.kr", "http://www.dongmi.co.kr")</f>
        <v/>
      </c>
      <c r="G415" t="inlineStr">
        <is>
          <t>1348107533</t>
        </is>
      </c>
      <c r="H415" t="inlineStr">
        <is>
          <t>1101110138134</t>
        </is>
      </c>
      <c r="I415" t="inlineStr">
        <is>
          <t>대상아님</t>
        </is>
      </c>
      <c r="J415" t="inlineStr">
        <is>
          <t>일반법인</t>
        </is>
      </c>
      <c r="K415" t="inlineStr">
        <is>
          <t>중소기업</t>
        </is>
      </c>
      <c r="L415" t="inlineStr">
        <is>
          <t>외부감사대상</t>
        </is>
      </c>
      <c r="M415" s="6" t="inlineStr">
        <is>
          <t>1972-12-29</t>
        </is>
      </c>
      <c r="N415" t="inlineStr">
        <is>
          <t>KRI:10C2811200</t>
        </is>
      </c>
      <c r="O415" t="inlineStr">
        <is>
          <t>변압기 제조업</t>
        </is>
      </c>
      <c r="P415" t="inlineStr">
        <is>
          <t>변압기 제조</t>
        </is>
      </c>
      <c r="Q415" t="inlineStr">
        <is>
          <t>경기 화성시 만세구 남양읍 북양리 506-50번지</t>
        </is>
      </c>
      <c r="R415" t="inlineStr">
        <is>
          <t>경기 화성시 만세구 남양읍 주석로175번길 4-19</t>
        </is>
      </c>
    </row>
    <row r="416" ht="19.2" customHeight="1" s="1">
      <c r="A416" t="inlineStr">
        <is>
          <t>NICE:386952</t>
        </is>
      </c>
      <c r="B416" t="inlineStr">
        <is>
          <t>삼공사</t>
        </is>
      </c>
      <c r="C416" t="inlineStr">
        <is>
          <t>정진석</t>
        </is>
      </c>
      <c r="D416" t="inlineStr">
        <is>
          <t>051-200-3040</t>
        </is>
      </c>
      <c r="E416" t="inlineStr">
        <is>
          <t>051-200-3046</t>
        </is>
      </c>
      <c r="F416" s="3">
        <f>HYPERLINK("http://www.sam-gong.co.kr", "http://www.sam-gong.co.kr")</f>
        <v/>
      </c>
      <c r="G416" t="inlineStr">
        <is>
          <t>6038108095</t>
        </is>
      </c>
      <c r="H416" t="inlineStr">
        <is>
          <t>1801110028464</t>
        </is>
      </c>
      <c r="I416" t="inlineStr">
        <is>
          <t>대상아님</t>
        </is>
      </c>
      <c r="J416" t="inlineStr">
        <is>
          <t>일반법인</t>
        </is>
      </c>
      <c r="K416" t="inlineStr">
        <is>
          <t>중견기업</t>
        </is>
      </c>
      <c r="L416" t="inlineStr">
        <is>
          <t>외부감사대상</t>
        </is>
      </c>
      <c r="M416" s="6" t="inlineStr">
        <is>
          <t>1971-01-16</t>
        </is>
      </c>
      <c r="N416" t="inlineStr">
        <is>
          <t>KRI:10C3111400</t>
        </is>
      </c>
      <c r="O416" t="inlineStr">
        <is>
          <t>선박 구성 부분품 제조업</t>
        </is>
      </c>
      <c r="P416" t="inlineStr">
        <is>
          <t>선박의장품,안전유리,산업용기계,철구조물(기계제작) 제조</t>
        </is>
      </c>
      <c r="Q416" t="inlineStr">
        <is>
          <t>부산 강서구 송정동 1464-2번지</t>
        </is>
      </c>
      <c r="R416" t="inlineStr">
        <is>
          <t>부산 강서구 녹산산단17로 135</t>
        </is>
      </c>
    </row>
    <row r="417" ht="19.2" customHeight="1" s="1">
      <c r="A417" t="inlineStr">
        <is>
          <t>NICE:386983</t>
        </is>
      </c>
      <c r="B417" t="inlineStr">
        <is>
          <t>건우메탈</t>
        </is>
      </c>
      <c r="C417" t="inlineStr">
        <is>
          <t>우태구</t>
        </is>
      </c>
      <c r="D417" t="inlineStr">
        <is>
          <t>02-561-6078</t>
        </is>
      </c>
      <c r="E417" t="inlineStr">
        <is>
          <t>02-569-3627</t>
        </is>
      </c>
      <c r="F417" s="3">
        <f>HYPERLINK("http://www.keonwoometals.com", "http://www.keonwoometals.com")</f>
        <v/>
      </c>
      <c r="G417" t="inlineStr">
        <is>
          <t>2158665778</t>
        </is>
      </c>
      <c r="H417" t="inlineStr">
        <is>
          <t>1101113145368</t>
        </is>
      </c>
      <c r="I417" t="inlineStr">
        <is>
          <t>대상아님</t>
        </is>
      </c>
      <c r="J417" t="inlineStr">
        <is>
          <t>일반법인</t>
        </is>
      </c>
      <c r="K417" t="inlineStr">
        <is>
          <t>중소기업</t>
        </is>
      </c>
      <c r="L417" t="inlineStr">
        <is>
          <t>외부감사대상</t>
        </is>
      </c>
      <c r="M417" s="6" t="inlineStr">
        <is>
          <t>1996-12-01</t>
        </is>
      </c>
      <c r="N417" t="inlineStr">
        <is>
          <t>KRI:10G4672100</t>
        </is>
      </c>
      <c r="O417" t="inlineStr">
        <is>
          <t>1차 금속제품 도매업</t>
        </is>
      </c>
      <c r="P417" t="inlineStr">
        <is>
          <t>철강 도매,제조,무역/태양광발전/비주거용건물 임대</t>
        </is>
      </c>
      <c r="Q417" t="inlineStr">
        <is>
          <t>서울 송파구 문정동 644-2번지 현대지식산업센터 C동 1317호, 1318호, 1319호</t>
        </is>
      </c>
      <c r="R417" t="inlineStr">
        <is>
          <t>서울 송파구 법원로11길 7, C동 1317호, 1318호, 1319호 (문정동,현대지식산업센터)</t>
        </is>
      </c>
    </row>
    <row r="418" ht="19.2" customHeight="1" s="1">
      <c r="A418" t="inlineStr">
        <is>
          <t>NICE:387182</t>
        </is>
      </c>
      <c r="B418" t="inlineStr">
        <is>
          <t>한국시설안전연구원</t>
        </is>
      </c>
      <c r="C418" t="inlineStr">
        <is>
          <t>엄경득</t>
        </is>
      </c>
      <c r="D418" t="inlineStr">
        <is>
          <t>02-562-2255</t>
        </is>
      </c>
      <c r="E418" t="inlineStr">
        <is>
          <t>02-562-2235</t>
        </is>
      </c>
      <c r="F418" s="3">
        <f>HYPERLINK("http://www.kisri.co.kr/", "http://www.kisri.co.kr/")</f>
        <v/>
      </c>
      <c r="G418" t="inlineStr">
        <is>
          <t>2208704241</t>
        </is>
      </c>
      <c r="H418" t="inlineStr">
        <is>
          <t>1101113166744</t>
        </is>
      </c>
      <c r="I418" t="inlineStr">
        <is>
          <t>대상아님</t>
        </is>
      </c>
      <c r="J418" t="inlineStr">
        <is>
          <t>일반법인</t>
        </is>
      </c>
      <c r="K418" t="inlineStr">
        <is>
          <t>중소기업</t>
        </is>
      </c>
      <c r="L418" t="inlineStr">
        <is>
          <t>외부감사대상</t>
        </is>
      </c>
      <c r="M418" s="6" t="inlineStr">
        <is>
          <t>2005-02-05</t>
        </is>
      </c>
      <c r="N418" t="inlineStr">
        <is>
          <t>KRI:10M7212100</t>
        </is>
      </c>
      <c r="O418" t="inlineStr">
        <is>
          <t>건물 및 토목 엔지니어링 서비스업</t>
        </is>
      </c>
      <c r="P418" t="inlineStr">
        <is>
          <t>토목,건축 엔지니어링,원자력발전안전성관련구조물 점검,토목,건축,계측기기 개발,공급</t>
        </is>
      </c>
      <c r="Q418" t="inlineStr">
        <is>
          <t>서울 성동구 성수동1가 656-3번지 서울숲포휴 6층</t>
        </is>
      </c>
      <c r="R418" t="inlineStr">
        <is>
          <t>서울 성동구 왕십리로 58, 6층 (성수동1가,서울숲포휴)</t>
        </is>
      </c>
    </row>
    <row r="419" ht="19.2" customHeight="1" s="1">
      <c r="A419" t="inlineStr">
        <is>
          <t>NICE:387371</t>
        </is>
      </c>
      <c r="B419" t="inlineStr">
        <is>
          <t>파카하니핀커넥터</t>
        </is>
      </c>
      <c r="C419" t="inlineStr">
        <is>
          <t>이승훈</t>
        </is>
      </c>
      <c r="D419" t="inlineStr">
        <is>
          <t>055-371-3300</t>
        </is>
      </c>
      <c r="E419" t="inlineStr">
        <is>
          <t>055-389-0111</t>
        </is>
      </c>
      <c r="F419" s="3">
        <f>HYPERLINK("http://www.parker.com", "http://www.parker.com")</f>
        <v/>
      </c>
      <c r="G419" t="inlineStr">
        <is>
          <t>6218105795</t>
        </is>
      </c>
      <c r="H419" t="inlineStr">
        <is>
          <t>1845110001682</t>
        </is>
      </c>
      <c r="I419" t="inlineStr">
        <is>
          <t>대상아님</t>
        </is>
      </c>
      <c r="J419" t="inlineStr">
        <is>
          <t>일반법인</t>
        </is>
      </c>
      <c r="K419" t="inlineStr">
        <is>
          <t>중견기업</t>
        </is>
      </c>
      <c r="L419" t="inlineStr">
        <is>
          <t>외부감사대상</t>
        </is>
      </c>
      <c r="M419" s="6" t="inlineStr">
        <is>
          <t>1986-04-18</t>
        </is>
      </c>
      <c r="N419" t="inlineStr">
        <is>
          <t>KRI:10C2219200</t>
        </is>
      </c>
      <c r="O419" t="inlineStr">
        <is>
          <t>산업용 그 외 비경화 고무제품 제조업</t>
        </is>
      </c>
      <c r="P419" t="inlineStr">
        <is>
          <t>산업용비경화고무제품(유압호스,호스피팅,어셈블리,어댑터,튜브피팅),조선,해양구조물부품 제조</t>
        </is>
      </c>
      <c r="Q419" t="inlineStr">
        <is>
          <t>경남 양산시 유산동 475번지</t>
        </is>
      </c>
      <c r="R419" t="inlineStr">
        <is>
          <t>경남 양산시 유산공단4길 77</t>
        </is>
      </c>
    </row>
    <row r="420" ht="19.2" customHeight="1" s="1">
      <c r="A420" t="inlineStr">
        <is>
          <t>NICE:388114</t>
        </is>
      </c>
      <c r="B420" t="inlineStr">
        <is>
          <t>신신기계</t>
        </is>
      </c>
      <c r="C420" t="inlineStr">
        <is>
          <t>김종혁/박병욱</t>
        </is>
      </c>
      <c r="D420" t="inlineStr">
        <is>
          <t>051-713-0000</t>
        </is>
      </c>
      <c r="E420" t="inlineStr">
        <is>
          <t>051-727-5306</t>
        </is>
      </c>
      <c r="F420" s="3">
        <f>HYPERLINK("http://www.sspump.com", "http://www.sspump.com")</f>
        <v/>
      </c>
      <c r="G420" t="inlineStr">
        <is>
          <t>6218114256</t>
        </is>
      </c>
      <c r="H420" t="inlineStr">
        <is>
          <t>1801110028331</t>
        </is>
      </c>
      <c r="I420" t="inlineStr">
        <is>
          <t>대상아님</t>
        </is>
      </c>
      <c r="J420" t="inlineStr">
        <is>
          <t>일반법인</t>
        </is>
      </c>
      <c r="K420" t="inlineStr">
        <is>
          <t>중소기업</t>
        </is>
      </c>
      <c r="L420" t="inlineStr">
        <is>
          <t>외부감사대상</t>
        </is>
      </c>
      <c r="M420" s="6" t="inlineStr">
        <is>
          <t>1969-12-01</t>
        </is>
      </c>
      <c r="N420" t="inlineStr">
        <is>
          <t>KRI:10C2913100</t>
        </is>
      </c>
      <c r="O420" t="inlineStr">
        <is>
          <t>액체 펌프 제조업</t>
        </is>
      </c>
      <c r="P420" t="inlineStr">
        <is>
          <t>산업용펌프,수중펌프,밸브류,제진기,기중기 제조/건물용기계장비 설치공사,상하수도설비,시설물유지공사</t>
        </is>
      </c>
      <c r="Q420" t="inlineStr">
        <is>
          <t>부산 기장군 정관읍 예림리 940-13번지</t>
        </is>
      </c>
      <c r="R420" t="inlineStr">
        <is>
          <t>부산 기장군 정관읍 농공길 85</t>
        </is>
      </c>
    </row>
    <row r="421" ht="19.2" customHeight="1" s="1">
      <c r="A421" t="inlineStr">
        <is>
          <t>NICE:388313</t>
        </is>
      </c>
      <c r="B421" t="inlineStr">
        <is>
          <t>신도</t>
        </is>
      </c>
      <c r="C421" t="inlineStr">
        <is>
          <t>서호권/서창민/서정민</t>
        </is>
      </c>
      <c r="D421" t="inlineStr">
        <is>
          <t>053-581-6350-2</t>
        </is>
      </c>
      <c r="E421" t="inlineStr">
        <is>
          <t>053-582-6353</t>
        </is>
      </c>
      <c r="F421" s="3">
        <f>HYPERLINK("http://www.sindokorea.com", "http://www.sindokorea.com")</f>
        <v/>
      </c>
      <c r="G421" t="inlineStr">
        <is>
          <t>5038166290</t>
        </is>
      </c>
      <c r="H421" t="inlineStr">
        <is>
          <t>1701110277758</t>
        </is>
      </c>
      <c r="I421" t="inlineStr">
        <is>
          <t>대상아님</t>
        </is>
      </c>
      <c r="J421" t="inlineStr">
        <is>
          <t>일반법인</t>
        </is>
      </c>
      <c r="K421" t="inlineStr">
        <is>
          <t>중소기업</t>
        </is>
      </c>
      <c r="L421" t="inlineStr">
        <is>
          <t>외부감사대상</t>
        </is>
      </c>
      <c r="M421" s="6" t="inlineStr">
        <is>
          <t>2004-12-14</t>
        </is>
      </c>
      <c r="N421" t="inlineStr">
        <is>
          <t>KRI:10C3039900</t>
        </is>
      </c>
      <c r="O421" t="inlineStr">
        <is>
          <t>그 외 자동차용 신품 부품 제조업</t>
        </is>
      </c>
      <c r="P421" t="inlineStr">
        <is>
          <t>자동차부품(슬리브,도어래치,펄핀,샤프트,너트) 제조/부동산 임대</t>
        </is>
      </c>
      <c r="Q421" t="inlineStr">
        <is>
          <t>대구 달성군 구지면 창리 1362번지</t>
        </is>
      </c>
      <c r="R421" t="inlineStr">
        <is>
          <t>대구 달성군 구지면 국가산단대로39길 164</t>
        </is>
      </c>
    </row>
    <row r="422" ht="19.2" customHeight="1" s="1">
      <c r="A422" t="inlineStr">
        <is>
          <t>NICE:389119</t>
        </is>
      </c>
      <c r="B422" t="inlineStr">
        <is>
          <t>케이엘리더스</t>
        </is>
      </c>
      <c r="C422" t="inlineStr">
        <is>
          <t>김현상/석은경</t>
        </is>
      </c>
      <c r="D422" t="inlineStr">
        <is>
          <t>055-350-3000</t>
        </is>
      </c>
      <c r="E422" t="inlineStr">
        <is>
          <t>055-355-7916</t>
        </is>
      </c>
      <c r="F422" s="3">
        <f>HYPERLINK("http://www.leaderscc.co.kr", "http://www.leaderscc.co.kr")</f>
        <v/>
      </c>
      <c r="G422" t="inlineStr">
        <is>
          <t>6158138059</t>
        </is>
      </c>
      <c r="H422" t="inlineStr">
        <is>
          <t>1913110010290</t>
        </is>
      </c>
      <c r="I422" t="inlineStr">
        <is>
          <t>대상아님</t>
        </is>
      </c>
      <c r="J422" t="inlineStr">
        <is>
          <t>일반법인</t>
        </is>
      </c>
      <c r="K422" t="inlineStr">
        <is>
          <t>중소기업</t>
        </is>
      </c>
      <c r="L422" t="inlineStr">
        <is>
          <t>외부감사대상</t>
        </is>
      </c>
      <c r="M422" s="6" t="inlineStr">
        <is>
          <t>2004-05-25</t>
        </is>
      </c>
      <c r="N422" t="inlineStr">
        <is>
          <t>KRI:10R9112100</t>
        </is>
      </c>
      <c r="O422" t="inlineStr">
        <is>
          <t>골프장 운영업</t>
        </is>
      </c>
      <c r="P422" t="inlineStr">
        <is>
          <t>골프장 운영</t>
        </is>
      </c>
      <c r="Q422" t="inlineStr">
        <is>
          <t>경남 밀양시 활성동 22번지</t>
        </is>
      </c>
      <c r="R422" t="inlineStr">
        <is>
          <t>경남 밀양시 활성로 455</t>
        </is>
      </c>
    </row>
    <row r="423" ht="19.2" customHeight="1" s="1">
      <c r="A423" t="inlineStr">
        <is>
          <t>NICE:389226</t>
        </is>
      </c>
      <c r="B423" t="inlineStr">
        <is>
          <t>세방산업</t>
        </is>
      </c>
      <c r="C423" t="inlineStr">
        <is>
          <t>제갈광복</t>
        </is>
      </c>
      <c r="D423" t="inlineStr">
        <is>
          <t>062-951-4271</t>
        </is>
      </c>
      <c r="E423" t="inlineStr">
        <is>
          <t>062-956-1136</t>
        </is>
      </c>
      <c r="F423" s="3">
        <f>HYPERLINK("http://www.sebangind.com", "http://www.sebangind.com")</f>
        <v/>
      </c>
      <c r="G423" t="inlineStr">
        <is>
          <t>1388103349</t>
        </is>
      </c>
      <c r="H423" t="inlineStr">
        <is>
          <t>1341110002612</t>
        </is>
      </c>
      <c r="I423" t="inlineStr">
        <is>
          <t>대상아님</t>
        </is>
      </c>
      <c r="J423" t="inlineStr">
        <is>
          <t>일반법인</t>
        </is>
      </c>
      <c r="K423" t="inlineStr">
        <is>
          <t>중견기업</t>
        </is>
      </c>
      <c r="L423" t="inlineStr">
        <is>
          <t>외부감사대상</t>
        </is>
      </c>
      <c r="M423" s="6" t="inlineStr">
        <is>
          <t>1972-11-24</t>
        </is>
      </c>
      <c r="N423" t="inlineStr">
        <is>
          <t>KRI:10C2820200</t>
        </is>
      </c>
      <c r="O423" t="inlineStr">
        <is>
          <t>축전지 제조업</t>
        </is>
      </c>
      <c r="P423" t="inlineStr">
        <is>
          <t>축전지부품(격리판),반환기기,금형,사출품 제조/부동산 임대</t>
        </is>
      </c>
      <c r="Q423" t="inlineStr">
        <is>
          <t>광주 광산구 하남동 505-1번지</t>
        </is>
      </c>
      <c r="R423" t="inlineStr">
        <is>
          <t>광주 광산구 손재로 236</t>
        </is>
      </c>
    </row>
    <row r="424" ht="19.2" customHeight="1" s="1">
      <c r="A424" t="inlineStr">
        <is>
          <t>NICE:389242</t>
        </is>
      </c>
      <c r="B424" t="inlineStr">
        <is>
          <t>현대성우홀딩스</t>
        </is>
      </c>
      <c r="C424" t="inlineStr">
        <is>
          <t>정몽용</t>
        </is>
      </c>
      <c r="D424" t="inlineStr">
        <is>
          <t>02-2189-5131</t>
        </is>
      </c>
      <c r="E424" t="inlineStr">
        <is>
          <t>02-2189-5207</t>
        </is>
      </c>
      <c r="F424" s="3">
        <f>HYPERLINK("http://www.swa.co.kr", "http://www.swa.co.kr")</f>
        <v/>
      </c>
      <c r="G424" t="inlineStr">
        <is>
          <t>2148124269</t>
        </is>
      </c>
      <c r="H424" t="inlineStr">
        <is>
          <t>1101110529490</t>
        </is>
      </c>
      <c r="I424" t="inlineStr">
        <is>
          <t>대상아님</t>
        </is>
      </c>
      <c r="J424" t="inlineStr">
        <is>
          <t>일반법인</t>
        </is>
      </c>
      <c r="K424" t="inlineStr">
        <is>
          <t>중견기업</t>
        </is>
      </c>
      <c r="L424" t="inlineStr">
        <is>
          <t>외부감사대상</t>
        </is>
      </c>
      <c r="M424" s="6" t="inlineStr">
        <is>
          <t>1987-05-02</t>
        </is>
      </c>
      <c r="N424" t="inlineStr">
        <is>
          <t>KRI:10K6499200</t>
        </is>
      </c>
      <c r="O424" t="inlineStr">
        <is>
          <t>지주회사</t>
        </is>
      </c>
      <c r="P424" t="inlineStr">
        <is>
          <t>회사본부,지주회사,경영 컨설팅/부동산 임대</t>
        </is>
      </c>
      <c r="Q424" t="inlineStr">
        <is>
          <t>서울 강남구 삼성동 107-7번지</t>
        </is>
      </c>
      <c r="R424" t="inlineStr">
        <is>
          <t>서울 강남구 봉은사로 609</t>
        </is>
      </c>
    </row>
    <row r="425" ht="19.2" customHeight="1" s="1">
      <c r="A425" t="inlineStr">
        <is>
          <t>NICE:389987</t>
        </is>
      </c>
      <c r="B425" t="inlineStr">
        <is>
          <t>더오포</t>
        </is>
      </c>
      <c r="C425" t="inlineStr">
        <is>
          <t>손재현/유남종</t>
        </is>
      </c>
      <c r="D425" t="inlineStr">
        <is>
          <t>031-707-5070</t>
        </is>
      </c>
      <c r="E425" t="inlineStr">
        <is>
          <t>031-707-5770</t>
        </is>
      </c>
      <c r="F425" s="3">
        <f>HYPERLINK("http://www.theofour.com", "http://www.theofour.com")</f>
        <v/>
      </c>
      <c r="G425" t="inlineStr">
        <is>
          <t>1298170617</t>
        </is>
      </c>
      <c r="H425" t="inlineStr">
        <is>
          <t>1311110112224</t>
        </is>
      </c>
      <c r="I425" t="inlineStr">
        <is>
          <t>대상아님</t>
        </is>
      </c>
      <c r="J425" t="inlineStr">
        <is>
          <t>일반법인</t>
        </is>
      </c>
      <c r="K425" t="inlineStr">
        <is>
          <t>중소기업</t>
        </is>
      </c>
      <c r="L425" t="inlineStr">
        <is>
          <t>외부감사대상</t>
        </is>
      </c>
      <c r="M425" s="6" t="inlineStr">
        <is>
          <t>2004-03-09</t>
        </is>
      </c>
      <c r="N425" t="inlineStr">
        <is>
          <t>KRI:10F4122400</t>
        </is>
      </c>
      <c r="O425" t="inlineStr">
        <is>
          <t>환경설비 건설업</t>
        </is>
      </c>
      <c r="P425" t="inlineStr">
        <is>
          <t>환경오염방지시설공사/환경기계 제조/중개,환경기술용역/기계장비 도소매/부동산 임대</t>
        </is>
      </c>
      <c r="Q425" t="inlineStr">
        <is>
          <t>경기 성남시 분당구 이매동 77번지 3층</t>
        </is>
      </c>
      <c r="R425" t="inlineStr">
        <is>
          <t>경기 성남시 분당구 방아로16번길 11, 3층</t>
        </is>
      </c>
    </row>
    <row r="426" ht="19.2" customHeight="1" s="1">
      <c r="A426" t="inlineStr">
        <is>
          <t>NICE:390593</t>
        </is>
      </c>
      <c r="B426" t="inlineStr">
        <is>
          <t>제일스포츠센타</t>
        </is>
      </c>
      <c r="C426" t="inlineStr">
        <is>
          <t>아세미쯔히로</t>
        </is>
      </c>
      <c r="D426" t="inlineStr">
        <is>
          <t>031-400-2500</t>
        </is>
      </c>
      <c r="E426" t="inlineStr">
        <is>
          <t>031-416-4001</t>
        </is>
      </c>
      <c r="F426" s="3">
        <f>HYPERLINK("http://www.jaeil-cc.co.kr", "http://www.jaeil-cc.co.kr")</f>
        <v/>
      </c>
      <c r="G426" t="inlineStr">
        <is>
          <t>1348103615</t>
        </is>
      </c>
      <c r="H426" t="inlineStr">
        <is>
          <t>1301110009836</t>
        </is>
      </c>
      <c r="I426" t="inlineStr">
        <is>
          <t>대상아님</t>
        </is>
      </c>
      <c r="J426" t="inlineStr">
        <is>
          <t>일반법인</t>
        </is>
      </c>
      <c r="K426" t="inlineStr">
        <is>
          <t>중소기업</t>
        </is>
      </c>
      <c r="L426" t="inlineStr">
        <is>
          <t>외부감사대상</t>
        </is>
      </c>
      <c r="M426" s="6" t="inlineStr">
        <is>
          <t>1982-11-02</t>
        </is>
      </c>
      <c r="N426" t="inlineStr">
        <is>
          <t>KRI:10R9112100</t>
        </is>
      </c>
      <c r="O426" t="inlineStr">
        <is>
          <t>골프장 운영업</t>
        </is>
      </c>
      <c r="P426" t="inlineStr">
        <is>
          <t>골프장,체육시설 운영</t>
        </is>
      </c>
      <c r="Q426" t="inlineStr">
        <is>
          <t>경기 안산시 상록구 부곡동 587번지</t>
        </is>
      </c>
      <c r="R426" t="inlineStr">
        <is>
          <t>경기 안산시 상록구 태마당로 28</t>
        </is>
      </c>
    </row>
    <row r="427" ht="19.2" customHeight="1" s="1">
      <c r="A427" t="inlineStr">
        <is>
          <t>NICE:390941</t>
        </is>
      </c>
      <c r="B427" t="inlineStr">
        <is>
          <t>태양연마</t>
        </is>
      </c>
      <c r="C427" t="inlineStr">
        <is>
          <t>신석호/신원식</t>
        </is>
      </c>
      <c r="D427" t="inlineStr">
        <is>
          <t>031-495-6065</t>
        </is>
      </c>
      <c r="E427" t="inlineStr">
        <is>
          <t>031-491-7725</t>
        </is>
      </c>
      <c r="F427" s="3">
        <f>HYPERLINK("http://www.sunabrasives.co.kr", "http://www.sunabrasives.co.kr")</f>
        <v/>
      </c>
      <c r="G427" t="inlineStr">
        <is>
          <t>1348110867</t>
        </is>
      </c>
      <c r="H427" t="inlineStr">
        <is>
          <t>1243110021206</t>
        </is>
      </c>
      <c r="I427" t="inlineStr">
        <is>
          <t>대상아님</t>
        </is>
      </c>
      <c r="J427" t="inlineStr">
        <is>
          <t>일반법인</t>
        </is>
      </c>
      <c r="K427" t="inlineStr">
        <is>
          <t>중견기업</t>
        </is>
      </c>
      <c r="L427" t="inlineStr">
        <is>
          <t>외부감사대상</t>
        </is>
      </c>
      <c r="M427" s="6" t="inlineStr">
        <is>
          <t>1970-05-01</t>
        </is>
      </c>
      <c r="N427" t="inlineStr">
        <is>
          <t>KRI:10C2399200</t>
        </is>
      </c>
      <c r="O427" t="inlineStr">
        <is>
          <t>연마재 제조업</t>
        </is>
      </c>
      <c r="P427" t="inlineStr">
        <is>
          <t>연마포,연마지 제조,도소매,수출</t>
        </is>
      </c>
      <c r="Q427" t="inlineStr">
        <is>
          <t>경기 안산시 단원구 성곡동 628-4번지</t>
        </is>
      </c>
      <c r="R427" t="inlineStr">
        <is>
          <t>경기 안산시 단원구 성곡로 26</t>
        </is>
      </c>
    </row>
    <row r="428" ht="19.2" customHeight="1" s="1">
      <c r="A428" t="inlineStr">
        <is>
          <t>NICE:390953</t>
        </is>
      </c>
      <c r="B428" t="inlineStr">
        <is>
          <t>북항아이브리지</t>
        </is>
      </c>
      <c r="C428" t="inlineStr">
        <is>
          <t>박경신</t>
        </is>
      </c>
      <c r="D428" t="inlineStr">
        <is>
          <t>1544-3888</t>
        </is>
      </c>
      <c r="E428" t="inlineStr">
        <is>
          <t>051-631-1944</t>
        </is>
      </c>
      <c r="F428" s="3">
        <f>HYPERLINK("http://www.bukhangbr.com", "http://www.bukhangbr.com")</f>
        <v/>
      </c>
      <c r="G428" t="inlineStr">
        <is>
          <t>6058178302</t>
        </is>
      </c>
      <c r="H428" t="inlineStr">
        <is>
          <t>1801110560979</t>
        </is>
      </c>
      <c r="I428" t="inlineStr">
        <is>
          <t>대상아님</t>
        </is>
      </c>
      <c r="J428" t="inlineStr">
        <is>
          <t>일반법인</t>
        </is>
      </c>
      <c r="K428" t="inlineStr">
        <is>
          <t>대기업</t>
        </is>
      </c>
      <c r="L428" t="inlineStr">
        <is>
          <t>외부감사대상</t>
        </is>
      </c>
      <c r="M428" s="6" t="inlineStr">
        <is>
          <t>2006-07-06</t>
        </is>
      </c>
      <c r="N428" t="inlineStr">
        <is>
          <t>KRI:10H5291400</t>
        </is>
      </c>
      <c r="O428" t="inlineStr">
        <is>
          <t>도로 및 관련시설 운영업</t>
        </is>
      </c>
      <c r="P428" t="inlineStr">
        <is>
          <t>북항대교(부산시해안순환도로) 운영,관리,건설</t>
        </is>
      </c>
      <c r="Q428" t="inlineStr">
        <is>
          <t>부산 남구 감만동 254-16번지</t>
        </is>
      </c>
      <c r="R428" t="inlineStr">
        <is>
          <t>부산 남구 북항로 176</t>
        </is>
      </c>
    </row>
    <row r="429" ht="19.2" customHeight="1" s="1">
      <c r="A429" t="inlineStr">
        <is>
          <t>NICE:391199</t>
        </is>
      </c>
      <c r="B429" t="inlineStr">
        <is>
          <t>고려고속훼리</t>
        </is>
      </c>
      <c r="C429" t="inlineStr">
        <is>
          <t>김승남</t>
        </is>
      </c>
      <c r="D429" t="inlineStr">
        <is>
          <t>032-884-4970</t>
        </is>
      </c>
      <c r="E429" t="inlineStr">
        <is>
          <t>032-881-0075</t>
        </is>
      </c>
      <c r="F429" s="3">
        <f>HYPERLINK("http://www.kefship.com", "http://www.kefship.com")</f>
        <v/>
      </c>
      <c r="G429" t="inlineStr">
        <is>
          <t>1218178411</t>
        </is>
      </c>
      <c r="H429" t="inlineStr">
        <is>
          <t>1912110009659</t>
        </is>
      </c>
      <c r="I429" t="inlineStr">
        <is>
          <t>대상아님</t>
        </is>
      </c>
      <c r="J429" t="inlineStr">
        <is>
          <t>일반법인</t>
        </is>
      </c>
      <c r="K429" t="inlineStr">
        <is>
          <t>중소기업</t>
        </is>
      </c>
      <c r="L429" t="inlineStr">
        <is>
          <t>외부감사대상</t>
        </is>
      </c>
      <c r="M429" s="6" t="inlineStr">
        <is>
          <t>2003-04-11</t>
        </is>
      </c>
      <c r="N429" t="inlineStr">
        <is>
          <t>KRI:10H5012100</t>
        </is>
      </c>
      <c r="O429" t="inlineStr">
        <is>
          <t>내항 여객 운송업</t>
        </is>
      </c>
      <c r="P429" t="inlineStr">
        <is>
          <t>내항운송/선박부품 도매</t>
        </is>
      </c>
      <c r="Q429" t="inlineStr">
        <is>
          <t>인천 중구 중산동 1398번지</t>
        </is>
      </c>
      <c r="R429" t="inlineStr">
        <is>
          <t>인천 중구 운중로107번길 55-19</t>
        </is>
      </c>
    </row>
    <row r="430" ht="19.2" customHeight="1" s="1">
      <c r="A430" t="inlineStr">
        <is>
          <t>NICE:391956</t>
        </is>
      </c>
      <c r="B430" t="inlineStr">
        <is>
          <t>일진에이테크</t>
        </is>
      </c>
      <c r="C430" t="inlineStr">
        <is>
          <t>손의원/전광우</t>
        </is>
      </c>
      <c r="D430" t="inlineStr">
        <is>
          <t>052-260-9300</t>
        </is>
      </c>
      <c r="E430" t="inlineStr">
        <is>
          <t>052-275-0717</t>
        </is>
      </c>
      <c r="F430" s="3">
        <f>HYPERLINK("http://www.iljinat.co.kr", "http://www.iljinat.co.kr")</f>
        <v/>
      </c>
      <c r="G430" t="inlineStr">
        <is>
          <t>6108113882</t>
        </is>
      </c>
      <c r="H430" t="inlineStr">
        <is>
          <t>1812110019428</t>
        </is>
      </c>
      <c r="I430" t="inlineStr">
        <is>
          <t>대상아님</t>
        </is>
      </c>
      <c r="J430" t="inlineStr">
        <is>
          <t>일반법인</t>
        </is>
      </c>
      <c r="K430" t="inlineStr">
        <is>
          <t>중소기업</t>
        </is>
      </c>
      <c r="L430" t="inlineStr">
        <is>
          <t>외부감사대상</t>
        </is>
      </c>
      <c r="M430" s="6" t="inlineStr">
        <is>
          <t>1991-11-18</t>
        </is>
      </c>
      <c r="N430" t="inlineStr">
        <is>
          <t>KRI:10C2926900</t>
        </is>
      </c>
      <c r="O430" t="inlineStr">
        <is>
          <t>기타 섬유, 의복 및 가죽 가공 기계 제조업</t>
        </is>
      </c>
      <c r="P430" t="inlineStr">
        <is>
          <t>원사,섬유 기계,산업기계,부품 제조,판매</t>
        </is>
      </c>
      <c r="Q430" t="inlineStr">
        <is>
          <t>울산 남구 여천동 756-1번지</t>
        </is>
      </c>
      <c r="R430" t="inlineStr">
        <is>
          <t>울산 남구 산업로382번길 49</t>
        </is>
      </c>
    </row>
    <row r="431" ht="19.2" customHeight="1" s="1">
      <c r="A431" t="inlineStr">
        <is>
          <t>NICE:392179</t>
        </is>
      </c>
      <c r="B431" t="inlineStr">
        <is>
          <t>나우이엘</t>
        </is>
      </c>
      <c r="C431" t="inlineStr">
        <is>
          <t>김인호</t>
        </is>
      </c>
      <c r="D431" t="inlineStr">
        <is>
          <t>031-997-4271</t>
        </is>
      </c>
      <c r="E431" t="inlineStr">
        <is>
          <t>0507-0325-6482</t>
        </is>
      </c>
      <c r="F431" s="3">
        <f>HYPERLINK("http://www.nawooel.com", "http://www.nawooel.com")</f>
        <v/>
      </c>
      <c r="G431" t="inlineStr">
        <is>
          <t>1378147140</t>
        </is>
      </c>
      <c r="H431" t="inlineStr">
        <is>
          <t>1244110055287</t>
        </is>
      </c>
      <c r="I431" t="inlineStr">
        <is>
          <t>대상아님</t>
        </is>
      </c>
      <c r="J431" t="inlineStr">
        <is>
          <t>일반법인</t>
        </is>
      </c>
      <c r="K431" t="inlineStr">
        <is>
          <t>중소기업</t>
        </is>
      </c>
      <c r="L431" t="inlineStr">
        <is>
          <t>외부감사대상</t>
        </is>
      </c>
      <c r="M431" s="6" t="inlineStr">
        <is>
          <t>2002-07-11</t>
        </is>
      </c>
      <c r="N431" t="inlineStr">
        <is>
          <t>KRI:10C2512100</t>
        </is>
      </c>
      <c r="O431" t="inlineStr">
        <is>
          <t>산업용 난방보일러 및 방열기 제조업</t>
        </is>
      </c>
      <c r="P431" t="inlineStr">
        <is>
          <t>냉,난방기,전기제품,공기조화기,제습기,전기용품 제조/전기제품,기름난방기 도매,무역,통신판매</t>
        </is>
      </c>
      <c r="Q431" t="inlineStr">
        <is>
          <t>경기 김포시 대곶면 송마리 104-19번지</t>
        </is>
      </c>
      <c r="R431" t="inlineStr">
        <is>
          <t>경기 김포시 대곶면 율생중앙로169번길 76</t>
        </is>
      </c>
    </row>
    <row r="432" ht="19.2" customHeight="1" s="1">
      <c r="A432" t="inlineStr">
        <is>
          <t>NICE:394287</t>
        </is>
      </c>
      <c r="B432" t="inlineStr">
        <is>
          <t>베스컴글로벌</t>
        </is>
      </c>
      <c r="C432" t="inlineStr">
        <is>
          <t>서종욱</t>
        </is>
      </c>
      <c r="D432" t="inlineStr">
        <is>
          <t>02-3415-2255</t>
        </is>
      </c>
      <c r="E432" t="inlineStr">
        <is>
          <t>02-2135-5337</t>
        </is>
      </c>
      <c r="F432" s="3">
        <f>HYPERLINK("http://www.bescomm.com", "http://www.bescomm.com")</f>
        <v/>
      </c>
      <c r="G432" t="inlineStr">
        <is>
          <t>2148646026</t>
        </is>
      </c>
      <c r="H432" t="inlineStr">
        <is>
          <t>1101111852428</t>
        </is>
      </c>
      <c r="I432" t="inlineStr">
        <is>
          <t>대상아님</t>
        </is>
      </c>
      <c r="J432" t="inlineStr">
        <is>
          <t>일반법인</t>
        </is>
      </c>
      <c r="K432" t="inlineStr">
        <is>
          <t>중소기업</t>
        </is>
      </c>
      <c r="L432" t="inlineStr">
        <is>
          <t>외부감사대상</t>
        </is>
      </c>
      <c r="M432" s="6" t="inlineStr">
        <is>
          <t>2000-01-14</t>
        </is>
      </c>
      <c r="N432" t="inlineStr">
        <is>
          <t>KRI:10G4672100</t>
        </is>
      </c>
      <c r="O432" t="inlineStr">
        <is>
          <t>1차 금속제품 도매업</t>
        </is>
      </c>
      <c r="P432" t="inlineStr">
        <is>
          <t>전자부품 도소매,제조</t>
        </is>
      </c>
      <c r="Q432" t="inlineStr">
        <is>
          <t>서울 서초구 서초동 1438-7번지 벰스빌딩 3층</t>
        </is>
      </c>
      <c r="R432" t="inlineStr">
        <is>
          <t>서울 서초구 효령로 358, 3층 (서초동,벰스빌딩)</t>
        </is>
      </c>
    </row>
    <row r="433" ht="19.2" customHeight="1" s="1">
      <c r="A433" t="inlineStr">
        <is>
          <t>NICE:398209</t>
        </is>
      </c>
      <c r="B433" t="inlineStr">
        <is>
          <t>코스모</t>
        </is>
      </c>
      <c r="C433" t="inlineStr">
        <is>
          <t>최욱</t>
        </is>
      </c>
      <c r="D433" t="inlineStr">
        <is>
          <t>051-519-2075</t>
        </is>
      </c>
      <c r="E433" t="inlineStr">
        <is>
          <t>051-582-7176</t>
        </is>
      </c>
      <c r="F433" s="3">
        <f>HYPERLINK("http://www.bn-cosmo.com", "http://www.bn-cosmo.com")</f>
        <v/>
      </c>
      <c r="G433" t="inlineStr">
        <is>
          <t>6218106834</t>
        </is>
      </c>
      <c r="H433" t="inlineStr">
        <is>
          <t>1801110124246</t>
        </is>
      </c>
      <c r="I433" t="inlineStr">
        <is>
          <t>대상아님</t>
        </is>
      </c>
      <c r="J433" t="inlineStr">
        <is>
          <t>일반법인</t>
        </is>
      </c>
      <c r="K433" t="inlineStr">
        <is>
          <t>중소기업</t>
        </is>
      </c>
      <c r="L433" t="inlineStr">
        <is>
          <t>외부감사대상</t>
        </is>
      </c>
      <c r="M433" s="6" t="inlineStr">
        <is>
          <t>1992-03-26</t>
        </is>
      </c>
      <c r="N433" t="inlineStr">
        <is>
          <t>KRI:10C3111400</t>
        </is>
      </c>
      <c r="O433" t="inlineStr">
        <is>
          <t>선박 구성 부분품 제조업</t>
        </is>
      </c>
      <c r="P433" t="inlineStr">
        <is>
          <t>선박용 문,기자재,육상용방화문 제조</t>
        </is>
      </c>
      <c r="Q433" t="inlineStr">
        <is>
          <t>부산 금정구 구서동 84-18번지 비아이피빌딩 내</t>
        </is>
      </c>
      <c r="R433" t="inlineStr">
        <is>
          <t>부산 금정구 중앙대로 1817, 내 (구서동,비아이피빌딩)</t>
        </is>
      </c>
    </row>
    <row r="434" ht="19.2" customHeight="1" s="1">
      <c r="A434" t="inlineStr">
        <is>
          <t>NICE:401290</t>
        </is>
      </c>
      <c r="B434" t="inlineStr">
        <is>
          <t>한국산텐제약</t>
        </is>
      </c>
      <c r="C434" t="inlineStr">
        <is>
          <t>이한웅</t>
        </is>
      </c>
      <c r="D434" t="inlineStr">
        <is>
          <t>02-754-1434</t>
        </is>
      </c>
      <c r="E434" t="inlineStr">
        <is>
          <t>02-754-2929</t>
        </is>
      </c>
      <c r="F434" s="3">
        <f>HYPERLINK("http://www.santen.co.kr", "http://www.santen.co.kr")</f>
        <v/>
      </c>
      <c r="G434" t="inlineStr">
        <is>
          <t>1078186915</t>
        </is>
      </c>
      <c r="H434" t="inlineStr">
        <is>
          <t>1101112024539</t>
        </is>
      </c>
      <c r="I434" t="inlineStr">
        <is>
          <t>대상아님</t>
        </is>
      </c>
      <c r="J434" t="inlineStr">
        <is>
          <t>일반법인</t>
        </is>
      </c>
      <c r="K434" t="inlineStr">
        <is>
          <t>중견기업</t>
        </is>
      </c>
      <c r="L434" t="inlineStr">
        <is>
          <t>외부감사대상</t>
        </is>
      </c>
      <c r="M434" s="6" t="inlineStr">
        <is>
          <t>2000-07-12</t>
        </is>
      </c>
      <c r="N434" t="inlineStr">
        <is>
          <t>KRI:10G4644100</t>
        </is>
      </c>
      <c r="O434" t="inlineStr">
        <is>
          <t>의약품 도매업</t>
        </is>
      </c>
      <c r="P434" t="inlineStr">
        <is>
          <t>의약품 도소매,무역</t>
        </is>
      </c>
      <c r="Q434" t="inlineStr">
        <is>
          <t>서울 강남구 역삼동 679-4번지 에스아이타워 15층</t>
        </is>
      </c>
      <c r="R434" t="inlineStr">
        <is>
          <t>서울 강남구 테헤란로 203, 15층 (역삼동,에스아이타워)</t>
        </is>
      </c>
    </row>
    <row r="435" ht="19.2" customHeight="1" s="1">
      <c r="A435" t="inlineStr">
        <is>
          <t>NICE:401801</t>
        </is>
      </c>
      <c r="B435" t="inlineStr">
        <is>
          <t>흥국산업</t>
        </is>
      </c>
      <c r="C435" t="inlineStr">
        <is>
          <t>고종남</t>
        </is>
      </c>
      <c r="D435" t="inlineStr">
        <is>
          <t>1899-8001</t>
        </is>
      </c>
      <c r="E435" t="inlineStr">
        <is>
          <t>02-427-2840</t>
        </is>
      </c>
      <c r="F435" s="3">
        <f>HYPERLINK("http://www.hkone.co.kr", "http://www.hkone.co.kr")</f>
        <v/>
      </c>
      <c r="G435" t="inlineStr">
        <is>
          <t>1018161162</t>
        </is>
      </c>
      <c r="H435" t="inlineStr">
        <is>
          <t>1101112033853</t>
        </is>
      </c>
      <c r="I435" t="inlineStr">
        <is>
          <t>대상아님</t>
        </is>
      </c>
      <c r="J435" t="inlineStr">
        <is>
          <t>일반법인</t>
        </is>
      </c>
      <c r="K435" t="inlineStr">
        <is>
          <t>중소기업</t>
        </is>
      </c>
      <c r="L435" t="inlineStr">
        <is>
          <t>외부감사대상</t>
        </is>
      </c>
      <c r="M435" s="6" t="inlineStr">
        <is>
          <t>2000-07-25</t>
        </is>
      </c>
      <c r="N435" t="inlineStr">
        <is>
          <t>KRI:10C2332200</t>
        </is>
      </c>
      <c r="O435" t="inlineStr">
        <is>
          <t>레미콘 제조업</t>
        </is>
      </c>
      <c r="P435" t="inlineStr">
        <is>
          <t>레미콘 제조</t>
        </is>
      </c>
      <c r="Q435" t="inlineStr">
        <is>
          <t>경기 하남시 초이동 628번지</t>
        </is>
      </c>
      <c r="R435" t="inlineStr">
        <is>
          <t>경기 하남시 초광산단로 20</t>
        </is>
      </c>
    </row>
    <row r="436">
      <c r="A436" t="inlineStr">
        <is>
          <t>NICE:410505</t>
        </is>
      </c>
      <c r="B436" t="inlineStr">
        <is>
          <t>단암홀딩스</t>
        </is>
      </c>
      <c r="C436" t="inlineStr">
        <is>
          <t>이성혁</t>
        </is>
      </c>
      <c r="D436" t="inlineStr">
        <is>
          <t>02-543-8211</t>
        </is>
      </c>
      <c r="G436" t="inlineStr">
        <is>
          <t>1018167619</t>
        </is>
      </c>
      <c r="H436" t="inlineStr">
        <is>
          <t>1101112170118</t>
        </is>
      </c>
      <c r="I436" t="inlineStr">
        <is>
          <t>대상아님</t>
        </is>
      </c>
      <c r="J436" t="inlineStr">
        <is>
          <t>일반법인</t>
        </is>
      </c>
      <c r="K436" t="inlineStr">
        <is>
          <t>중소기업</t>
        </is>
      </c>
      <c r="L436" t="inlineStr">
        <is>
          <t>외부감사대상</t>
        </is>
      </c>
      <c r="M436" s="6" t="inlineStr">
        <is>
          <t>2001-02-13</t>
        </is>
      </c>
      <c r="N436" t="inlineStr">
        <is>
          <t>KRI:10J6399100</t>
        </is>
      </c>
      <c r="O436" t="inlineStr">
        <is>
          <t>데이터베이스 및 온라인정보 제공업</t>
        </is>
      </c>
      <c r="P436" t="inlineStr">
        <is>
          <t>데이터베이스 구축,인터넷사이트 관리,운영</t>
        </is>
      </c>
      <c r="Q436" t="inlineStr">
        <is>
          <t>서울 강남구 청담동 85-17번지 6층</t>
        </is>
      </c>
      <c r="R436" t="inlineStr">
        <is>
          <t>서울 강남구 선릉로 816, 6층</t>
        </is>
      </c>
    </row>
    <row r="437" ht="19.2" customHeight="1" s="1">
      <c r="A437" t="inlineStr">
        <is>
          <t>NICE:425438</t>
        </is>
      </c>
      <c r="B437" t="inlineStr">
        <is>
          <t>도요보코리아</t>
        </is>
      </c>
      <c r="C437" t="inlineStr">
        <is>
          <t>무코야마유키노부</t>
        </is>
      </c>
      <c r="D437" t="inlineStr">
        <is>
          <t>02-555-6353</t>
        </is>
      </c>
      <c r="E437" t="inlineStr">
        <is>
          <t>02-555-6370</t>
        </is>
      </c>
      <c r="F437" s="3">
        <f>HYPERLINK("http://www.toyobo.co.kr", "http://www.toyobo.co.kr")</f>
        <v/>
      </c>
      <c r="G437" t="inlineStr">
        <is>
          <t>1208630632</t>
        </is>
      </c>
      <c r="H437" t="inlineStr">
        <is>
          <t>1101112399049</t>
        </is>
      </c>
      <c r="I437" t="inlineStr">
        <is>
          <t>대상아님</t>
        </is>
      </c>
      <c r="J437" t="inlineStr">
        <is>
          <t>일반법인</t>
        </is>
      </c>
      <c r="K437" t="inlineStr">
        <is>
          <t>중소기업</t>
        </is>
      </c>
      <c r="L437" t="inlineStr">
        <is>
          <t>외부감사대상</t>
        </is>
      </c>
      <c r="M437" s="6" t="inlineStr">
        <is>
          <t>2001-12-17</t>
        </is>
      </c>
      <c r="N437" t="inlineStr">
        <is>
          <t>KRI:10G4673300</t>
        </is>
      </c>
      <c r="O437" t="inlineStr">
        <is>
          <t>플라스틱물질 및 합성고무 도매업</t>
        </is>
      </c>
      <c r="P437" t="inlineStr">
        <is>
          <t>합성수지,화학공업품,섬유원재료,가공품 도매,무역/합성수지,화학공업품 제조</t>
        </is>
      </c>
      <c r="Q437" t="inlineStr">
        <is>
          <t>서울 강남구 삼성동 159-1번지 트레이드타워 10층 1002호</t>
        </is>
      </c>
      <c r="R437" t="inlineStr">
        <is>
          <t>서울 강남구 영동대로 511, 10층 1002호 (삼성동,트레이드타워)</t>
        </is>
      </c>
    </row>
    <row r="438" ht="19.2" customHeight="1" s="1">
      <c r="A438" t="inlineStr">
        <is>
          <t>NICE:426288</t>
        </is>
      </c>
      <c r="B438" t="inlineStr">
        <is>
          <t>디에스테크노</t>
        </is>
      </c>
      <c r="C438" t="inlineStr">
        <is>
          <t>안병관/안학준</t>
        </is>
      </c>
      <c r="D438" t="inlineStr">
        <is>
          <t>031-8026-0700</t>
        </is>
      </c>
      <c r="E438" t="inlineStr">
        <is>
          <t>031-8026-0707</t>
        </is>
      </c>
      <c r="F438" s="3">
        <f>HYPERLINK("http://www.dstechno.co.kr", "http://www.dstechno.co.kr")</f>
        <v/>
      </c>
      <c r="G438" t="inlineStr">
        <is>
          <t>1268143237</t>
        </is>
      </c>
      <c r="H438" t="inlineStr">
        <is>
          <t>1342110035116</t>
        </is>
      </c>
      <c r="I438" t="inlineStr">
        <is>
          <t>대상아님</t>
        </is>
      </c>
      <c r="J438" t="inlineStr">
        <is>
          <t>일반법인</t>
        </is>
      </c>
      <c r="K438" t="inlineStr">
        <is>
          <t>중소기업</t>
        </is>
      </c>
      <c r="L438" t="inlineStr">
        <is>
          <t>외부감사대상</t>
        </is>
      </c>
      <c r="M438" s="6" t="inlineStr">
        <is>
          <t>1990-05-01</t>
        </is>
      </c>
      <c r="N438" t="inlineStr">
        <is>
          <t>KRI:10C2629900</t>
        </is>
      </c>
      <c r="O438" t="inlineStr">
        <is>
          <t>그 외 기타 전자부품 제조업</t>
        </is>
      </c>
      <c r="P438" t="inlineStr">
        <is>
          <t>전자부품,반도체부품 제조,도소매/무역/부동산 임대</t>
        </is>
      </c>
      <c r="Q438" t="inlineStr">
        <is>
          <t>경기 이천시 마장면 관리 1408번지</t>
        </is>
      </c>
      <c r="R438" t="inlineStr">
        <is>
          <t>경기 이천시 마장면 마도로 70-81</t>
        </is>
      </c>
    </row>
    <row r="439" ht="19.2" customHeight="1" s="1">
      <c r="A439" t="inlineStr">
        <is>
          <t>NICE:428671</t>
        </is>
      </c>
      <c r="B439" t="inlineStr">
        <is>
          <t>움트리</t>
        </is>
      </c>
      <c r="C439" t="inlineStr">
        <is>
          <t>김상희/김우택/오금례</t>
        </is>
      </c>
      <c r="D439" t="inlineStr">
        <is>
          <t>031-531-5670</t>
        </is>
      </c>
      <c r="E439" t="inlineStr">
        <is>
          <t>031-531-5679</t>
        </is>
      </c>
      <c r="F439" s="3">
        <f>HYPERLINK("http://www.woomtree.co.kr", "http://www.woomtree.co.kr")</f>
        <v/>
      </c>
      <c r="G439" t="inlineStr">
        <is>
          <t>1288124779</t>
        </is>
      </c>
      <c r="H439" t="inlineStr">
        <is>
          <t>1159110013434</t>
        </is>
      </c>
      <c r="I439" t="inlineStr">
        <is>
          <t>대상아님</t>
        </is>
      </c>
      <c r="J439" t="inlineStr">
        <is>
          <t>일반법인</t>
        </is>
      </c>
      <c r="K439" t="inlineStr">
        <is>
          <t>중소기업</t>
        </is>
      </c>
      <c r="L439" t="inlineStr">
        <is>
          <t>외부감사대상</t>
        </is>
      </c>
      <c r="M439" s="6" t="inlineStr">
        <is>
          <t>1978-10-01</t>
        </is>
      </c>
      <c r="N439" t="inlineStr">
        <is>
          <t>KRI:10C1074200</t>
        </is>
      </c>
      <c r="O439" t="inlineStr">
        <is>
          <t>천연 및 혼합조제 조미료 제조업</t>
        </is>
      </c>
      <c r="P439" t="inlineStr">
        <is>
          <t>식품(후추,장류) 제조,도매/무역,통신판매</t>
        </is>
      </c>
      <c r="Q439" t="inlineStr">
        <is>
          <t>경기 포천시 창수면 오가리 523번지</t>
        </is>
      </c>
      <c r="R439" t="inlineStr">
        <is>
          <t>경기 포천시 창수면 전영로 1206</t>
        </is>
      </c>
    </row>
    <row r="440" ht="19.2" customHeight="1" s="1">
      <c r="A440" t="inlineStr">
        <is>
          <t>NICE:437891</t>
        </is>
      </c>
      <c r="B440" t="inlineStr">
        <is>
          <t>로자</t>
        </is>
      </c>
      <c r="C440" t="inlineStr">
        <is>
          <t>김이행</t>
        </is>
      </c>
      <c r="D440" t="inlineStr">
        <is>
          <t>053-817-5000</t>
        </is>
      </c>
      <c r="E440" t="inlineStr">
        <is>
          <t>053-817-5454</t>
        </is>
      </c>
      <c r="F440" s="3">
        <f>HYPERLINK("http://www.roser.com", "http://www.roser.com")</f>
        <v/>
      </c>
      <c r="G440" t="inlineStr">
        <is>
          <t>5158122164</t>
        </is>
      </c>
      <c r="H440" t="inlineStr">
        <is>
          <t>1748110030794</t>
        </is>
      </c>
      <c r="I440" t="inlineStr">
        <is>
          <t>대상아님</t>
        </is>
      </c>
      <c r="J440" t="inlineStr">
        <is>
          <t>일반법인</t>
        </is>
      </c>
      <c r="K440" t="inlineStr">
        <is>
          <t>중소기업</t>
        </is>
      </c>
      <c r="L440" t="inlineStr">
        <is>
          <t>외부감사대상</t>
        </is>
      </c>
      <c r="M440" s="6" t="inlineStr">
        <is>
          <t>1985-05-20</t>
        </is>
      </c>
      <c r="N440" t="inlineStr">
        <is>
          <t>KRI:10G4661200</t>
        </is>
      </c>
      <c r="O440" t="inlineStr">
        <is>
          <t>골재, 벽돌 및 시멘트 도매업</t>
        </is>
      </c>
      <c r="P440" t="inlineStr">
        <is>
          <t>건축자재(금속기와),도자기 도소매,제조</t>
        </is>
      </c>
      <c r="Q440" t="inlineStr">
        <is>
          <t>경북 경산시 압량읍 내리 400번지</t>
        </is>
      </c>
      <c r="R440" t="inlineStr">
        <is>
          <t>경북 경산시 압량읍 내리길19길 43</t>
        </is>
      </c>
    </row>
    <row r="441" ht="19.2" customHeight="1" s="1">
      <c r="A441" t="inlineStr">
        <is>
          <t>NICE:440285</t>
        </is>
      </c>
      <c r="B441" t="inlineStr">
        <is>
          <t>조이포라이프</t>
        </is>
      </c>
      <c r="C441" t="inlineStr">
        <is>
          <t>하기호</t>
        </is>
      </c>
      <c r="D441" t="inlineStr">
        <is>
          <t>031-319-0613</t>
        </is>
      </c>
      <c r="E441" t="inlineStr">
        <is>
          <t>031-319-0615</t>
        </is>
      </c>
      <c r="F441" s="3">
        <f>HYPERLINK("http://www.joeyforlife.com", "http://www.joeyforlife.com")</f>
        <v/>
      </c>
      <c r="G441" t="inlineStr">
        <is>
          <t>1208643097</t>
        </is>
      </c>
      <c r="H441" t="inlineStr">
        <is>
          <t>1101112626252</t>
        </is>
      </c>
      <c r="I441" t="inlineStr">
        <is>
          <t>대상아님</t>
        </is>
      </c>
      <c r="J441" t="inlineStr">
        <is>
          <t>일반법인</t>
        </is>
      </c>
      <c r="K441" t="inlineStr">
        <is>
          <t>중소기업</t>
        </is>
      </c>
      <c r="L441" t="inlineStr">
        <is>
          <t>외부감사대상</t>
        </is>
      </c>
      <c r="M441" s="6" t="inlineStr">
        <is>
          <t>2002-10-09</t>
        </is>
      </c>
      <c r="N441" t="inlineStr">
        <is>
          <t>KRI:10C2599300</t>
        </is>
      </c>
      <c r="O441" t="inlineStr">
        <is>
          <t>금속 위생용품 제조업</t>
        </is>
      </c>
      <c r="P441" t="inlineStr">
        <is>
          <t>욕실용품(샤워헤드,부속품) 제조,도소매</t>
        </is>
      </c>
      <c r="Q441" t="inlineStr">
        <is>
          <t>경기 화성시 만세구 장안면 독정리 276-3번지</t>
        </is>
      </c>
      <c r="R441" t="inlineStr">
        <is>
          <t>경기 화성시 만세구 장안면 장안로 480-192</t>
        </is>
      </c>
    </row>
    <row r="442" ht="19.2" customHeight="1" s="1">
      <c r="A442" t="inlineStr">
        <is>
          <t>NICE:443586</t>
        </is>
      </c>
      <c r="B442" t="inlineStr">
        <is>
          <t>레니쇼코리아</t>
        </is>
      </c>
      <c r="C442" t="inlineStr">
        <is>
          <t>앤드류리차드버트리</t>
        </is>
      </c>
      <c r="D442" t="inlineStr">
        <is>
          <t>031-346-2830</t>
        </is>
      </c>
      <c r="E442" t="inlineStr">
        <is>
          <t>031-346-2831</t>
        </is>
      </c>
      <c r="F442" s="3">
        <f>HYPERLINK("http://www.renishaw.co.kr", "http://www.renishaw.co.kr")</f>
        <v/>
      </c>
      <c r="G442" t="inlineStr">
        <is>
          <t>1208646100</t>
        </is>
      </c>
      <c r="H442" t="inlineStr">
        <is>
          <t>1101112676687</t>
        </is>
      </c>
      <c r="I442" t="inlineStr">
        <is>
          <t>대상아님</t>
        </is>
      </c>
      <c r="J442" t="inlineStr">
        <is>
          <t>일반법인</t>
        </is>
      </c>
      <c r="K442" t="inlineStr">
        <is>
          <t>중소기업</t>
        </is>
      </c>
      <c r="L442" t="inlineStr">
        <is>
          <t>외부감사대상</t>
        </is>
      </c>
      <c r="M442" s="6" t="inlineStr">
        <is>
          <t>2002-12-20</t>
        </is>
      </c>
      <c r="N442" t="inlineStr">
        <is>
          <t>KRI:10G4653900</t>
        </is>
      </c>
      <c r="O442" t="inlineStr">
        <is>
          <t>기타 산업용 기계 및 장비 도매업</t>
        </is>
      </c>
      <c r="P442" t="inlineStr">
        <is>
          <t>산업기계장비(품질통제기,계측기,피드백기,눈금측정기,비파괴검사기) 도매/소프트웨어 개발,공급</t>
        </is>
      </c>
      <c r="Q442" t="inlineStr">
        <is>
          <t>경기 안양시 만안구 안양동 199번지 두산 명학 아너비즈타워 지식산업센터 401호-424호</t>
        </is>
      </c>
      <c r="R442" t="inlineStr">
        <is>
          <t>경기 안양시 만안구 전파로44번길 57, 401호-424호 (안양동,두산 명학 아너비즈타워 지식산업센터)</t>
        </is>
      </c>
    </row>
    <row r="443" ht="19.2" customHeight="1" s="1">
      <c r="A443" t="inlineStr">
        <is>
          <t>NICE:444324</t>
        </is>
      </c>
      <c r="B443" t="inlineStr">
        <is>
          <t>박원</t>
        </is>
      </c>
      <c r="C443" t="inlineStr">
        <is>
          <t>김상태/박운규</t>
        </is>
      </c>
      <c r="D443" t="inlineStr">
        <is>
          <t>031-227-0981</t>
        </is>
      </c>
      <c r="E443" t="inlineStr">
        <is>
          <t>043-644-6674</t>
        </is>
      </c>
      <c r="F443" s="3">
        <f>HYPERLINK("http://www.parkwon.co.kr", "http://www.parkwon.co.kr")</f>
        <v/>
      </c>
      <c r="G443" t="inlineStr">
        <is>
          <t>1248126514</t>
        </is>
      </c>
      <c r="H443" t="inlineStr">
        <is>
          <t>1348110021337</t>
        </is>
      </c>
      <c r="I443" t="inlineStr">
        <is>
          <t>대상아님</t>
        </is>
      </c>
      <c r="J443" t="inlineStr">
        <is>
          <t>일반법인</t>
        </is>
      </c>
      <c r="K443" t="inlineStr">
        <is>
          <t>중소기업</t>
        </is>
      </c>
      <c r="L443" t="inlineStr">
        <is>
          <t>외부감사대상</t>
        </is>
      </c>
      <c r="M443" s="6" t="inlineStr">
        <is>
          <t>1974-08-05</t>
        </is>
      </c>
      <c r="N443" t="inlineStr">
        <is>
          <t>KRI:10C2914100</t>
        </is>
      </c>
      <c r="O443" t="inlineStr">
        <is>
          <t>구름베어링 제조업</t>
        </is>
      </c>
      <c r="P443" t="inlineStr">
        <is>
          <t>베어링(강구,캐스타) 제조</t>
        </is>
      </c>
      <c r="Q443" t="inlineStr">
        <is>
          <t>충북 제천시 왕암동 955-1번지</t>
        </is>
      </c>
      <c r="R443" t="inlineStr">
        <is>
          <t>충북 제천시 바이오밸리로 105</t>
        </is>
      </c>
    </row>
    <row r="444" ht="19.2" customHeight="1" s="1">
      <c r="A444" t="inlineStr">
        <is>
          <t>NICE:446368</t>
        </is>
      </c>
      <c r="B444" t="inlineStr">
        <is>
          <t>제이앤에스</t>
        </is>
      </c>
      <c r="C444" t="inlineStr">
        <is>
          <t>김영재</t>
        </is>
      </c>
      <c r="D444" t="inlineStr">
        <is>
          <t>031-627-2363</t>
        </is>
      </c>
      <c r="E444" t="inlineStr">
        <is>
          <t>031-627-2367</t>
        </is>
      </c>
      <c r="F444" s="3">
        <f>HYPERLINK("http://www.jns.co.kr", "http://www.jns.co.kr")</f>
        <v/>
      </c>
      <c r="G444" t="inlineStr">
        <is>
          <t>2128162383</t>
        </is>
      </c>
      <c r="H444" t="inlineStr">
        <is>
          <t>1101112718223</t>
        </is>
      </c>
      <c r="I444" t="inlineStr">
        <is>
          <t>대상아님</t>
        </is>
      </c>
      <c r="J444" t="inlineStr">
        <is>
          <t>일반법인</t>
        </is>
      </c>
      <c r="K444" t="inlineStr">
        <is>
          <t>중소기업</t>
        </is>
      </c>
      <c r="L444" t="inlineStr">
        <is>
          <t>외부감사대상</t>
        </is>
      </c>
      <c r="M444" s="6" t="inlineStr">
        <is>
          <t>2003-02-18</t>
        </is>
      </c>
      <c r="N444" t="inlineStr">
        <is>
          <t>KRI:10C2811900</t>
        </is>
      </c>
      <c r="O444" t="inlineStr">
        <is>
          <t>기타 전기 변환장치 제조업</t>
        </is>
      </c>
      <c r="P444" t="inlineStr">
        <is>
          <t>전원공급기,전기제어장치 제조/소프트웨어 개발,개발연구용역</t>
        </is>
      </c>
      <c r="Q444" t="inlineStr">
        <is>
          <t>경기 용인시 기흥구 영덕동 1029번지 U-TOWER 1006호</t>
        </is>
      </c>
      <c r="R444" t="inlineStr">
        <is>
          <t>경기 용인시 기흥구 흥덕중앙로 120, 1006호 (영덕동,U-TOWER)</t>
        </is>
      </c>
    </row>
    <row r="445" ht="19.2" customHeight="1" s="1">
      <c r="A445" t="inlineStr">
        <is>
          <t>NICE:448274</t>
        </is>
      </c>
      <c r="B445" t="inlineStr">
        <is>
          <t>씨에이치디</t>
        </is>
      </c>
      <c r="C445" t="inlineStr">
        <is>
          <t>서락원</t>
        </is>
      </c>
      <c r="D445" t="inlineStr">
        <is>
          <t>070-4035-8489</t>
        </is>
      </c>
      <c r="E445" t="inlineStr">
        <is>
          <t>031-976-7750</t>
        </is>
      </c>
      <c r="F445" s="3">
        <f>HYPERLINK("http://www.chdmedics.com", "http://www.chdmedics.com")</f>
        <v/>
      </c>
      <c r="G445" t="inlineStr">
        <is>
          <t>1178144722</t>
        </is>
      </c>
      <c r="H445" t="inlineStr">
        <is>
          <t>1101112743973</t>
        </is>
      </c>
      <c r="I445" t="inlineStr">
        <is>
          <t>대상아님</t>
        </is>
      </c>
      <c r="J445" t="inlineStr">
        <is>
          <t>일반법인</t>
        </is>
      </c>
      <c r="K445" t="inlineStr">
        <is>
          <t>중소기업</t>
        </is>
      </c>
      <c r="L445" t="inlineStr">
        <is>
          <t>외부감사대상</t>
        </is>
      </c>
      <c r="M445" s="6" t="inlineStr">
        <is>
          <t>2003-03-24</t>
        </is>
      </c>
      <c r="N445" t="inlineStr">
        <is>
          <t>KRI:10C2042300</t>
        </is>
      </c>
      <c r="O445" t="inlineStr">
        <is>
          <t>화장품 제조업</t>
        </is>
      </c>
      <c r="P445" t="inlineStr">
        <is>
          <t>화장품 제조/반려동물처방식사료,간식,동물의약품,의약외품 제조,도소매</t>
        </is>
      </c>
      <c r="Q445" t="inlineStr">
        <is>
          <t>경기 고양시 일산동구 중산동 1682번지 대방트리플라온비즈니스타워 C동 506호</t>
        </is>
      </c>
      <c r="R445" t="inlineStr">
        <is>
          <t>경기 고양시 일산동구 하늘마을로 158, C동 506호 (중산동,대방트리플라온비즈니스타워)</t>
        </is>
      </c>
    </row>
    <row r="446" ht="19.2" customHeight="1" s="1">
      <c r="A446" t="inlineStr">
        <is>
          <t>NICE:450090</t>
        </is>
      </c>
      <c r="B446" t="inlineStr">
        <is>
          <t>에이치알에스코리아</t>
        </is>
      </c>
      <c r="C446" t="inlineStr">
        <is>
          <t>이상엽/카마가타신</t>
        </is>
      </c>
      <c r="D446" t="inlineStr">
        <is>
          <t>031-496-7000</t>
        </is>
      </c>
      <c r="E446" t="inlineStr">
        <is>
          <t>031-496-0834</t>
        </is>
      </c>
      <c r="F446" s="3">
        <f>HYPERLINK("http://www.hirose.co.kr", "http://www.hirose.co.kr")</f>
        <v/>
      </c>
      <c r="G446" t="inlineStr">
        <is>
          <t>1348103518</t>
        </is>
      </c>
      <c r="H446" t="inlineStr">
        <is>
          <t>1301110010693</t>
        </is>
      </c>
      <c r="I446" t="inlineStr">
        <is>
          <t>대상아님</t>
        </is>
      </c>
      <c r="J446" t="inlineStr">
        <is>
          <t>일반법인</t>
        </is>
      </c>
      <c r="K446" t="inlineStr">
        <is>
          <t>중견기업</t>
        </is>
      </c>
      <c r="L446" t="inlineStr">
        <is>
          <t>외부감사대상</t>
        </is>
      </c>
      <c r="M446" s="6" t="inlineStr">
        <is>
          <t>1985-10-30</t>
        </is>
      </c>
      <c r="N446" t="inlineStr">
        <is>
          <t>KRI:10C2629900</t>
        </is>
      </c>
      <c r="O446" t="inlineStr">
        <is>
          <t>그 외 기타 전자부품 제조업</t>
        </is>
      </c>
      <c r="P446" t="inlineStr">
        <is>
          <t>전자커넥터,금형,자동차용부품 제조/통신기기(유선통신장치) 제조,도매/무역 대행/부동산 임대</t>
        </is>
      </c>
      <c r="Q446" t="inlineStr">
        <is>
          <t>경기 시흥시 정왕동 1259-15번지</t>
        </is>
      </c>
      <c r="R446" t="inlineStr">
        <is>
          <t>경기 시흥시 공단1대로 143</t>
        </is>
      </c>
    </row>
    <row r="447" ht="19.2" customHeight="1" s="1">
      <c r="A447" t="inlineStr">
        <is>
          <t>NICE:450324</t>
        </is>
      </c>
      <c r="B447" t="inlineStr">
        <is>
          <t>우진</t>
        </is>
      </c>
      <c r="C447" t="inlineStr">
        <is>
          <t>김영창/김정현</t>
        </is>
      </c>
      <c r="D447" t="inlineStr">
        <is>
          <t>043-820-4134</t>
        </is>
      </c>
      <c r="E447" t="inlineStr">
        <is>
          <t>043-836-7405</t>
        </is>
      </c>
      <c r="F447" s="3">
        <f>HYPERLINK("http://www.wjis.co.kr", "http://www.wjis.co.kr")</f>
        <v/>
      </c>
      <c r="G447" t="inlineStr">
        <is>
          <t>3158101972</t>
        </is>
      </c>
      <c r="H447" t="inlineStr">
        <is>
          <t>1101110423741</t>
        </is>
      </c>
      <c r="I447" t="inlineStr">
        <is>
          <t>대상아님</t>
        </is>
      </c>
      <c r="J447" t="inlineStr">
        <is>
          <t>일반법인</t>
        </is>
      </c>
      <c r="K447" t="inlineStr">
        <is>
          <t>중견기업</t>
        </is>
      </c>
      <c r="L447" t="inlineStr">
        <is>
          <t>외부감사대상</t>
        </is>
      </c>
      <c r="M447" s="6" t="inlineStr">
        <is>
          <t>1974-04-10</t>
        </is>
      </c>
      <c r="N447" t="inlineStr">
        <is>
          <t>KRI:10K6499200</t>
        </is>
      </c>
      <c r="O447" t="inlineStr">
        <is>
          <t>지주회사</t>
        </is>
      </c>
      <c r="P447" t="inlineStr">
        <is>
          <t>비금융 지주회사</t>
        </is>
      </c>
      <c r="Q447" t="inlineStr">
        <is>
          <t>충북 괴산군 사리면 방축리 613-6번지</t>
        </is>
      </c>
      <c r="R447" t="inlineStr">
        <is>
          <t>충북 괴산군 사리면 사리로 95</t>
        </is>
      </c>
    </row>
    <row r="448" ht="19.2" customHeight="1" s="1">
      <c r="A448" t="inlineStr">
        <is>
          <t>NICE:451320</t>
        </is>
      </c>
      <c r="B448" t="inlineStr">
        <is>
          <t>일성하이스코</t>
        </is>
      </c>
      <c r="C448" t="inlineStr">
        <is>
          <t>장재혁</t>
        </is>
      </c>
      <c r="D448" t="inlineStr">
        <is>
          <t>052-231-7522</t>
        </is>
      </c>
      <c r="E448" t="inlineStr">
        <is>
          <t>052-237-0123</t>
        </is>
      </c>
      <c r="F448" s="3">
        <f>HYPERLINK("http://www.ilsung.com", "http://www.ilsung.com")</f>
        <v/>
      </c>
      <c r="G448" t="inlineStr">
        <is>
          <t>6108105456</t>
        </is>
      </c>
      <c r="H448" t="inlineStr">
        <is>
          <t>1812110003611</t>
        </is>
      </c>
      <c r="I448" t="inlineStr">
        <is>
          <t>대상아님</t>
        </is>
      </c>
      <c r="J448" t="inlineStr">
        <is>
          <t>일반법인</t>
        </is>
      </c>
      <c r="K448" t="inlineStr">
        <is>
          <t>중소기업</t>
        </is>
      </c>
      <c r="L448" t="inlineStr">
        <is>
          <t>외부감사대상</t>
        </is>
      </c>
      <c r="M448" s="6" t="inlineStr">
        <is>
          <t>1984-03-03</t>
        </is>
      </c>
      <c r="N448" t="inlineStr">
        <is>
          <t>KRI:10C2917600</t>
        </is>
      </c>
      <c r="O448" t="inlineStr">
        <is>
          <t>증류기, 열교환기 및 가스발생기 제조업</t>
        </is>
      </c>
      <c r="P448" t="inlineStr">
        <is>
          <t>증기발생기,철구조물,중앙난방식보일러 제조/산업설비공사</t>
        </is>
      </c>
      <c r="Q448" t="inlineStr">
        <is>
          <t>울산 울주군 온산읍 원산리 917번지</t>
        </is>
      </c>
      <c r="R448" t="inlineStr">
        <is>
          <t>울산 울주군 온산읍 대정로 74</t>
        </is>
      </c>
    </row>
    <row r="449" ht="19.2" customHeight="1" s="1">
      <c r="A449" t="inlineStr">
        <is>
          <t>NICE:452408</t>
        </is>
      </c>
      <c r="B449" t="inlineStr">
        <is>
          <t>피에이치지</t>
        </is>
      </c>
      <c r="C449" t="inlineStr">
        <is>
          <t>김태영</t>
        </is>
      </c>
      <c r="D449" t="inlineStr">
        <is>
          <t>053-610-8800</t>
        </is>
      </c>
      <c r="E449" t="inlineStr">
        <is>
          <t>053-614-9998</t>
        </is>
      </c>
      <c r="F449" s="3">
        <f>HYPERLINK("http://www.ph-global.co.kr", "http://www.ph-global.co.kr")</f>
        <v/>
      </c>
      <c r="G449" t="inlineStr">
        <is>
          <t>5148106332</t>
        </is>
      </c>
      <c r="H449" t="inlineStr">
        <is>
          <t>1741110002565</t>
        </is>
      </c>
      <c r="I449" t="inlineStr">
        <is>
          <t>대상아님</t>
        </is>
      </c>
      <c r="J449" t="inlineStr">
        <is>
          <t>일반법인</t>
        </is>
      </c>
      <c r="K449" t="inlineStr">
        <is>
          <t>중소기업</t>
        </is>
      </c>
      <c r="L449" t="inlineStr">
        <is>
          <t>외부감사대상</t>
        </is>
      </c>
      <c r="M449" s="6" t="inlineStr">
        <is>
          <t>1987-11-10</t>
        </is>
      </c>
      <c r="N449" t="inlineStr">
        <is>
          <t>KRI:10G4521900</t>
        </is>
      </c>
      <c r="O449" t="inlineStr">
        <is>
          <t>기타 자동차 신품 부품 및 내장품 판매업</t>
        </is>
      </c>
      <c r="P449" t="inlineStr">
        <is>
          <t>자동차부품 도소매,제조/전자상거래</t>
        </is>
      </c>
      <c r="Q449" t="inlineStr">
        <is>
          <t>대구 달성군 논공읍 북리 1-35번지</t>
        </is>
      </c>
      <c r="R449" t="inlineStr">
        <is>
          <t>대구 달성군 논공읍 논공중앙로51길 11</t>
        </is>
      </c>
    </row>
    <row r="450" ht="19.2" customHeight="1" s="1">
      <c r="A450" t="inlineStr">
        <is>
          <t>NICE:452459</t>
        </is>
      </c>
      <c r="B450" t="inlineStr">
        <is>
          <t>비와이</t>
        </is>
      </c>
      <c r="C450" t="inlineStr">
        <is>
          <t>강동훈</t>
        </is>
      </c>
      <c r="D450" t="inlineStr">
        <is>
          <t>055-345-6110-4</t>
        </is>
      </c>
      <c r="E450" t="inlineStr">
        <is>
          <t>055-345-6115</t>
        </is>
      </c>
      <c r="F450" s="3">
        <f>HYPERLINK("http://www.bycontrols.com", "http://www.bycontrols.com")</f>
        <v/>
      </c>
      <c r="G450" t="inlineStr">
        <is>
          <t>6228102020</t>
        </is>
      </c>
      <c r="H450" t="inlineStr">
        <is>
          <t>1801110091601</t>
        </is>
      </c>
      <c r="I450" t="inlineStr">
        <is>
          <t>대상아님</t>
        </is>
      </c>
      <c r="J450" t="inlineStr">
        <is>
          <t>일반법인</t>
        </is>
      </c>
      <c r="K450" t="inlineStr">
        <is>
          <t>중소기업</t>
        </is>
      </c>
      <c r="L450" t="inlineStr">
        <is>
          <t>외부감사대상</t>
        </is>
      </c>
      <c r="M450" s="6" t="inlineStr">
        <is>
          <t>1989-09-06</t>
        </is>
      </c>
      <c r="N450" t="inlineStr">
        <is>
          <t>KRI:10C3111400</t>
        </is>
      </c>
      <c r="O450" t="inlineStr">
        <is>
          <t>선박 구성 부분품 제조업</t>
        </is>
      </c>
      <c r="P450" t="inlineStr">
        <is>
          <t>선박구성부분품 제조,수리/부동산 임대,매매</t>
        </is>
      </c>
      <c r="Q450" t="inlineStr">
        <is>
          <t>경남 김해시 진례면 청천리 850-8번지</t>
        </is>
      </c>
      <c r="R450" t="inlineStr">
        <is>
          <t>경남 김해시 진례면 진례로371번길 55</t>
        </is>
      </c>
    </row>
    <row r="451" ht="19.2" customHeight="1" s="1">
      <c r="A451" t="inlineStr">
        <is>
          <t>NICE:453250</t>
        </is>
      </c>
      <c r="B451" t="inlineStr">
        <is>
          <t>대호정기</t>
        </is>
      </c>
      <c r="C451" t="inlineStr">
        <is>
          <t>신영근/신재호</t>
        </is>
      </c>
      <c r="D451" t="inlineStr">
        <is>
          <t>055-345-2121</t>
        </is>
      </c>
      <c r="E451" t="inlineStr">
        <is>
          <t>055-345-2128</t>
        </is>
      </c>
      <c r="F451" s="3">
        <f>HYPERLINK("http://daeho12.koreasme.com", "http://daeho12.koreasme.com")</f>
        <v/>
      </c>
      <c r="G451" t="inlineStr">
        <is>
          <t>6228106410</t>
        </is>
      </c>
      <c r="H451" t="inlineStr">
        <is>
          <t>1801110047993</t>
        </is>
      </c>
      <c r="I451" t="inlineStr">
        <is>
          <t>대상아님</t>
        </is>
      </c>
      <c r="J451" t="inlineStr">
        <is>
          <t>일반법인</t>
        </is>
      </c>
      <c r="K451" t="inlineStr">
        <is>
          <t>중소기업</t>
        </is>
      </c>
      <c r="L451" t="inlineStr">
        <is>
          <t>외부감사대상</t>
        </is>
      </c>
      <c r="M451" s="6" t="inlineStr">
        <is>
          <t>1963-05-05</t>
        </is>
      </c>
      <c r="N451" t="inlineStr">
        <is>
          <t>KRI:10C3039900</t>
        </is>
      </c>
      <c r="O451" t="inlineStr">
        <is>
          <t>그 외 자동차용 신품 부품 제조업</t>
        </is>
      </c>
      <c r="P451" t="inlineStr">
        <is>
          <t>자동차부품(라이트,게이지,하네스),총포탄약,특수장비부품,통신전자장비부품,K-1전차부품,기동장비부품 제조/부동산 임대</t>
        </is>
      </c>
      <c r="Q451" t="inlineStr">
        <is>
          <t>경남 김해시 진영읍 죽곡리 10-7번지</t>
        </is>
      </c>
      <c r="R451" t="inlineStr">
        <is>
          <t>경남 김해시 진영읍 서부로179번길 48</t>
        </is>
      </c>
    </row>
    <row r="452" ht="19.2" customHeight="1" s="1">
      <c r="A452" t="inlineStr">
        <is>
          <t>NICE:453374</t>
        </is>
      </c>
      <c r="B452" t="inlineStr">
        <is>
          <t>연호전자</t>
        </is>
      </c>
      <c r="C452" t="inlineStr">
        <is>
          <t>김전득</t>
        </is>
      </c>
      <c r="D452" t="inlineStr">
        <is>
          <t>062-952-0776</t>
        </is>
      </c>
      <c r="E452" t="inlineStr">
        <is>
          <t>02-3453-1468</t>
        </is>
      </c>
      <c r="F452" s="3">
        <f>HYPERLINK("http://www.yeonho.com", "http://www.yeonho.com")</f>
        <v/>
      </c>
      <c r="G452" t="inlineStr">
        <is>
          <t>1198109982</t>
        </is>
      </c>
      <c r="H452" t="inlineStr">
        <is>
          <t>1243110010118</t>
        </is>
      </c>
      <c r="I452" t="inlineStr">
        <is>
          <t>대상아님</t>
        </is>
      </c>
      <c r="J452" t="inlineStr">
        <is>
          <t>일반법인</t>
        </is>
      </c>
      <c r="K452" t="inlineStr">
        <is>
          <t>중소기업</t>
        </is>
      </c>
      <c r="L452" t="inlineStr">
        <is>
          <t>외부감사대상</t>
        </is>
      </c>
      <c r="M452" s="6" t="inlineStr">
        <is>
          <t>1982-10-08</t>
        </is>
      </c>
      <c r="N452" t="inlineStr">
        <is>
          <t>KRI:10C2629900</t>
        </is>
      </c>
      <c r="O452" t="inlineStr">
        <is>
          <t>그 외 기타 전자부품 제조업</t>
        </is>
      </c>
      <c r="P452" t="inlineStr">
        <is>
          <t>전자부품(커넥터) 제조,도소매</t>
        </is>
      </c>
      <c r="Q452" t="inlineStr">
        <is>
          <t>광주 북구 월출동 970-20번지</t>
        </is>
      </c>
      <c r="R452" t="inlineStr">
        <is>
          <t>광주 북구 첨단벤처로 140</t>
        </is>
      </c>
    </row>
    <row r="453" ht="19.2" customHeight="1" s="1">
      <c r="A453" t="inlineStr">
        <is>
          <t>NICE:454763</t>
        </is>
      </c>
      <c r="B453" t="inlineStr">
        <is>
          <t>디텍</t>
        </is>
      </c>
      <c r="C453" t="inlineStr">
        <is>
          <t>김근용</t>
        </is>
      </c>
      <c r="D453" t="inlineStr">
        <is>
          <t>031-706-2514</t>
        </is>
      </c>
      <c r="E453" t="inlineStr">
        <is>
          <t>031-8016-0252</t>
        </is>
      </c>
      <c r="F453" s="3">
        <f>HYPERLINK("http://www.d-teg.com", "http://www.d-teg.com")</f>
        <v/>
      </c>
      <c r="G453" t="inlineStr">
        <is>
          <t>2148735491</t>
        </is>
      </c>
      <c r="H453" t="inlineStr">
        <is>
          <t>1101112793580</t>
        </is>
      </c>
      <c r="I453" t="inlineStr">
        <is>
          <t>대상아님</t>
        </is>
      </c>
      <c r="J453" t="inlineStr">
        <is>
          <t>일반법인</t>
        </is>
      </c>
      <c r="K453" t="inlineStr">
        <is>
          <t>중소기업</t>
        </is>
      </c>
      <c r="L453" t="inlineStr">
        <is>
          <t>외부감사대상</t>
        </is>
      </c>
      <c r="M453" s="6" t="inlineStr">
        <is>
          <t>2003-06-04</t>
        </is>
      </c>
      <c r="N453" t="inlineStr">
        <is>
          <t>KRI:10C2642100</t>
        </is>
      </c>
      <c r="O453" t="inlineStr">
        <is>
          <t>방송장비 제조업</t>
        </is>
      </c>
      <c r="P453" t="inlineStr">
        <is>
          <t>CCTV,영상기기(차량용블랙박스),교통정보전광판 제조,도매/정보통신공사</t>
        </is>
      </c>
      <c r="Q453" t="inlineStr">
        <is>
          <t>경기 성남시 분당구 야탑동 382-2번지 정민빌딩 3층</t>
        </is>
      </c>
      <c r="R453" t="inlineStr">
        <is>
          <t>경기 성남시 분당구 매화로 53, 3층 (야탑동,정민빌딩)</t>
        </is>
      </c>
    </row>
    <row r="454" ht="19.2" customHeight="1" s="1">
      <c r="A454" t="inlineStr">
        <is>
          <t>NICE:458653</t>
        </is>
      </c>
      <c r="B454" t="inlineStr">
        <is>
          <t>신흥스톤</t>
        </is>
      </c>
      <c r="C454" t="inlineStr">
        <is>
          <t>정신하</t>
        </is>
      </c>
      <c r="D454" t="inlineStr">
        <is>
          <t>02-548-6650</t>
        </is>
      </c>
      <c r="E454" t="inlineStr">
        <is>
          <t>02-548-6652</t>
        </is>
      </c>
      <c r="F454" s="3">
        <f>HYPERLINK("https://www.shstone.co.kr", "https://www.shstone.co.kr")</f>
        <v/>
      </c>
      <c r="G454" t="inlineStr">
        <is>
          <t>2118737146</t>
        </is>
      </c>
      <c r="H454" t="inlineStr">
        <is>
          <t>1101112837304</t>
        </is>
      </c>
      <c r="I454" t="inlineStr">
        <is>
          <t>대상아님</t>
        </is>
      </c>
      <c r="J454" t="inlineStr">
        <is>
          <t>일반법인</t>
        </is>
      </c>
      <c r="K454" t="inlineStr">
        <is>
          <t>중소기업</t>
        </is>
      </c>
      <c r="L454" t="inlineStr">
        <is>
          <t>외부감사대상</t>
        </is>
      </c>
      <c r="M454" s="6" t="inlineStr">
        <is>
          <t>1999-01-01</t>
        </is>
      </c>
      <c r="N454" t="inlineStr">
        <is>
          <t>KRI:10G4669900</t>
        </is>
      </c>
      <c r="O454" t="inlineStr">
        <is>
          <t>그 외 기타 건축자재 도매업</t>
        </is>
      </c>
      <c r="P454" t="inlineStr">
        <is>
          <t>석재 도소매/석제품 제조/실내건축공사,석공사</t>
        </is>
      </c>
      <c r="Q454" t="inlineStr">
        <is>
          <t>서울 강남구 논현동 131-14번지</t>
        </is>
      </c>
      <c r="R454" t="inlineStr">
        <is>
          <t>서울 강남구 논현로127길 13</t>
        </is>
      </c>
    </row>
    <row r="455" ht="19.2" customHeight="1" s="1">
      <c r="A455" t="inlineStr">
        <is>
          <t>NICE:459072</t>
        </is>
      </c>
      <c r="B455" t="inlineStr">
        <is>
          <t>아이큐웰</t>
        </is>
      </c>
      <c r="C455" t="inlineStr">
        <is>
          <t>양현정</t>
        </is>
      </c>
      <c r="D455" t="inlineStr">
        <is>
          <t>02-6900-9333</t>
        </is>
      </c>
      <c r="E455" t="inlineStr">
        <is>
          <t>02-6442-1260</t>
        </is>
      </c>
      <c r="F455" s="3">
        <f>HYPERLINK("http://www.skyparkhotel.com", "http://www.skyparkhotel.com")</f>
        <v/>
      </c>
      <c r="G455" t="inlineStr">
        <is>
          <t>2068183817</t>
        </is>
      </c>
      <c r="H455" t="inlineStr">
        <is>
          <t>1101112839300</t>
        </is>
      </c>
      <c r="I455" t="inlineStr">
        <is>
          <t>대상아님</t>
        </is>
      </c>
      <c r="J455" t="inlineStr">
        <is>
          <t>일반법인</t>
        </is>
      </c>
      <c r="K455" t="inlineStr">
        <is>
          <t>중소기업</t>
        </is>
      </c>
      <c r="L455" t="inlineStr">
        <is>
          <t>외부감사대상</t>
        </is>
      </c>
      <c r="M455" s="6" t="inlineStr">
        <is>
          <t>2003-08-12</t>
        </is>
      </c>
      <c r="N455" t="inlineStr">
        <is>
          <t>KRI:10I5510100</t>
        </is>
      </c>
      <c r="O455" t="inlineStr">
        <is>
          <t>호텔업</t>
        </is>
      </c>
      <c r="P455" t="inlineStr">
        <is>
          <t>호텔/부동산 임대</t>
        </is>
      </c>
      <c r="Q455" t="inlineStr">
        <is>
          <t>서울 중구 충무로1가 24-23번지 명동하늘빌딩 6층</t>
        </is>
      </c>
      <c r="R455" t="inlineStr">
        <is>
          <t>서울 중구 명동8나길 15, 6층 (충무로1가,명동하늘빌딩)</t>
        </is>
      </c>
    </row>
    <row r="456" ht="19.2" customHeight="1" s="1">
      <c r="A456" t="inlineStr">
        <is>
          <t>NICE:463477</t>
        </is>
      </c>
      <c r="B456" t="inlineStr">
        <is>
          <t>상아뉴매틱</t>
        </is>
      </c>
      <c r="C456" t="inlineStr">
        <is>
          <t>임환빈</t>
        </is>
      </c>
      <c r="D456" t="inlineStr">
        <is>
          <t>053-583-5200</t>
        </is>
      </c>
      <c r="E456" t="inlineStr">
        <is>
          <t>053-593-6202</t>
        </is>
      </c>
      <c r="F456" s="3">
        <f>HYPERLINK("http://www.sanga2000.com", "http://www.sanga2000.com")</f>
        <v/>
      </c>
      <c r="G456" t="inlineStr">
        <is>
          <t>5038129000</t>
        </is>
      </c>
      <c r="H456" t="inlineStr">
        <is>
          <t>1701110096546</t>
        </is>
      </c>
      <c r="I456" t="inlineStr">
        <is>
          <t>대상아님</t>
        </is>
      </c>
      <c r="J456" t="inlineStr">
        <is>
          <t>일반법인</t>
        </is>
      </c>
      <c r="K456" t="inlineStr">
        <is>
          <t>중소기업</t>
        </is>
      </c>
      <c r="L456" t="inlineStr">
        <is>
          <t>외부감사대상</t>
        </is>
      </c>
      <c r="M456" s="6" t="inlineStr">
        <is>
          <t>1980-07-20</t>
        </is>
      </c>
      <c r="N456" t="inlineStr">
        <is>
          <t>KRI:10C2912000</t>
        </is>
      </c>
      <c r="O456" t="inlineStr">
        <is>
          <t>유압기기 제조업</t>
        </is>
      </c>
      <c r="P456" t="inlineStr">
        <is>
          <t>공기압 자동화부품,배관용 튜브,프라스틱,금속 제조/창고 임대</t>
        </is>
      </c>
      <c r="Q456" t="inlineStr">
        <is>
          <t>대구 달성군 다사읍 세천리 1674-12번지</t>
        </is>
      </c>
      <c r="R456" t="inlineStr">
        <is>
          <t>대구 달성군 다사읍 세천로3길 36</t>
        </is>
      </c>
    </row>
    <row r="457" ht="19.2" customHeight="1" s="1">
      <c r="A457" t="inlineStr">
        <is>
          <t>NICE:467799</t>
        </is>
      </c>
      <c r="B457" t="inlineStr">
        <is>
          <t>한국테루모</t>
        </is>
      </c>
      <c r="C457" t="inlineStr">
        <is>
          <t>김훈</t>
        </is>
      </c>
      <c r="D457" t="inlineStr">
        <is>
          <t>02-565-9225</t>
        </is>
      </c>
      <c r="E457" t="inlineStr">
        <is>
          <t>02-565-9224</t>
        </is>
      </c>
      <c r="F457" s="3">
        <f>HYPERLINK("http://www.terumo.co.kr", "http://www.terumo.co.kr")</f>
        <v/>
      </c>
      <c r="G457" t="inlineStr">
        <is>
          <t>2208638555</t>
        </is>
      </c>
      <c r="H457" t="inlineStr">
        <is>
          <t>1101112486333</t>
        </is>
      </c>
      <c r="I457" t="inlineStr">
        <is>
          <t>대상아님</t>
        </is>
      </c>
      <c r="J457" t="inlineStr">
        <is>
          <t>일반법인</t>
        </is>
      </c>
      <c r="K457" t="inlineStr">
        <is>
          <t>중소기업</t>
        </is>
      </c>
      <c r="L457" t="inlineStr">
        <is>
          <t>외부감사대상</t>
        </is>
      </c>
      <c r="M457" s="6" t="inlineStr">
        <is>
          <t>2002-04-01</t>
        </is>
      </c>
      <c r="N457" t="inlineStr">
        <is>
          <t>KRI:10G4659200</t>
        </is>
      </c>
      <c r="O457" t="inlineStr">
        <is>
          <t>의료기기 도매업</t>
        </is>
      </c>
      <c r="P457" t="inlineStr">
        <is>
          <t>의료기기,의료용품 도소매</t>
        </is>
      </c>
      <c r="Q457" t="inlineStr">
        <is>
          <t>서울 서초구 서초동 1317-23번지 23층 1호</t>
        </is>
      </c>
      <c r="R457" t="inlineStr">
        <is>
          <t>서울 서초구 서초대로 411, 23층 1호</t>
        </is>
      </c>
    </row>
    <row r="458" ht="19.2" customHeight="1" s="1">
      <c r="A458" t="inlineStr">
        <is>
          <t>NICE:468524</t>
        </is>
      </c>
      <c r="B458" t="inlineStr">
        <is>
          <t>울산과학대학교산학협력단</t>
        </is>
      </c>
      <c r="C458" t="inlineStr">
        <is>
          <t>송경영</t>
        </is>
      </c>
      <c r="D458" t="inlineStr">
        <is>
          <t>052-230-0411</t>
        </is>
      </c>
      <c r="E458" t="inlineStr">
        <is>
          <t>052-230-0413</t>
        </is>
      </c>
      <c r="F458" s="3">
        <f>HYPERLINK("https://www.uc.ac.kr/sanhak1/Main.do", "https://www.uc.ac.kr/sanhak1/Main.do")</f>
        <v/>
      </c>
      <c r="G458" t="inlineStr">
        <is>
          <t>6208204301</t>
        </is>
      </c>
      <c r="H458" t="inlineStr">
        <is>
          <t>2342710002481</t>
        </is>
      </c>
      <c r="I458" t="inlineStr">
        <is>
          <t>대상아님</t>
        </is>
      </c>
      <c r="J458" t="inlineStr">
        <is>
          <t>비영리법인</t>
        </is>
      </c>
      <c r="K458" t="inlineStr">
        <is>
          <t>대상아님</t>
        </is>
      </c>
      <c r="L458" t="inlineStr">
        <is>
          <t>외부감사비대상</t>
        </is>
      </c>
      <c r="M458" s="6" t="inlineStr">
        <is>
          <t>2004-03-15</t>
        </is>
      </c>
      <c r="N458" t="inlineStr">
        <is>
          <t>KRI:10M7012900</t>
        </is>
      </c>
      <c r="O458" t="inlineStr">
        <is>
          <t>기타 공학 연구개발업</t>
        </is>
      </c>
      <c r="P458" t="inlineStr">
        <is>
          <t>연구,개발,물질분석검사,종합환경측정대행/연구장비 임대</t>
        </is>
      </c>
      <c r="Q458" t="inlineStr">
        <is>
          <t>울산 동구 화정동 산160-1번지 울산과학대학동부캠퍼스 내</t>
        </is>
      </c>
      <c r="R458" t="inlineStr">
        <is>
          <t>울산 동구 봉수로 101, 내 (화정동,울산과학대학동부캠퍼스)</t>
        </is>
      </c>
    </row>
    <row r="459" ht="19.2" customHeight="1" s="1">
      <c r="A459" t="inlineStr">
        <is>
          <t>NICE:468698</t>
        </is>
      </c>
      <c r="B459" t="inlineStr">
        <is>
          <t>동화산업</t>
        </is>
      </c>
      <c r="C459" t="inlineStr">
        <is>
          <t>이우각</t>
        </is>
      </c>
      <c r="D459" t="inlineStr">
        <is>
          <t>032-816-4457</t>
        </is>
      </c>
      <c r="E459" t="inlineStr">
        <is>
          <t>032-816-4463</t>
        </is>
      </c>
      <c r="F459" s="3">
        <f>HYPERLINK("http://www.dhmtech.com", "http://www.dhmtech.com")</f>
        <v/>
      </c>
      <c r="G459" t="inlineStr">
        <is>
          <t>1318195853</t>
        </is>
      </c>
      <c r="H459" t="inlineStr">
        <is>
          <t>1201110398017</t>
        </is>
      </c>
      <c r="I459" t="inlineStr">
        <is>
          <t>대상아님</t>
        </is>
      </c>
      <c r="J459" t="inlineStr">
        <is>
          <t>일반법인</t>
        </is>
      </c>
      <c r="K459" t="inlineStr">
        <is>
          <t>중소기업</t>
        </is>
      </c>
      <c r="L459" t="inlineStr">
        <is>
          <t>외부감사대상</t>
        </is>
      </c>
      <c r="M459" s="6" t="inlineStr">
        <is>
          <t>2006-03-09</t>
        </is>
      </c>
      <c r="N459" t="inlineStr">
        <is>
          <t>KRI:10F4220100</t>
        </is>
      </c>
      <c r="O459" t="inlineStr">
        <is>
          <t>배관 및 냉ㆍ난방 공사업</t>
        </is>
      </c>
      <c r="P459" t="inlineStr">
        <is>
          <t>가스시설공사/배관자제 제조/사업시설관리/산업용기계,장비 임대</t>
        </is>
      </c>
      <c r="Q459" t="inlineStr">
        <is>
          <t>인천 남동구 고잔동 665-21번지</t>
        </is>
      </c>
      <c r="R459" t="inlineStr">
        <is>
          <t>인천 남동구 남동동로124번길 25</t>
        </is>
      </c>
    </row>
    <row r="460" ht="19.2" customHeight="1" s="1">
      <c r="A460" t="inlineStr">
        <is>
          <t>NICE:468829</t>
        </is>
      </c>
      <c r="B460" t="inlineStr">
        <is>
          <t>에스알</t>
        </is>
      </c>
      <c r="C460" t="inlineStr">
        <is>
          <t>강대권/강춘기</t>
        </is>
      </c>
      <c r="D460" t="inlineStr">
        <is>
          <t>031-459-3995</t>
        </is>
      </c>
      <c r="E460" t="inlineStr">
        <is>
          <t>031-459-3996</t>
        </is>
      </c>
      <c r="F460" s="3">
        <f>HYPERLINK("http://www.sr.co.kr", "http://www.sr.co.kr")</f>
        <v/>
      </c>
      <c r="G460" t="inlineStr">
        <is>
          <t>1388147051</t>
        </is>
      </c>
      <c r="H460" t="inlineStr">
        <is>
          <t>1352110023483</t>
        </is>
      </c>
      <c r="I460" t="inlineStr">
        <is>
          <t>대상아님</t>
        </is>
      </c>
      <c r="J460" t="inlineStr">
        <is>
          <t>일반법인</t>
        </is>
      </c>
      <c r="K460" t="inlineStr">
        <is>
          <t>중소기업</t>
        </is>
      </c>
      <c r="L460" t="inlineStr">
        <is>
          <t>외부감사대상</t>
        </is>
      </c>
      <c r="M460" s="6" t="inlineStr">
        <is>
          <t>2001-11-20</t>
        </is>
      </c>
      <c r="N460" t="inlineStr">
        <is>
          <t>KRI:10C2890300</t>
        </is>
      </c>
      <c r="O460" t="inlineStr">
        <is>
          <t>교통 신호장치 제조업</t>
        </is>
      </c>
      <c r="P460" t="inlineStr">
        <is>
          <t>철도신호장치 제조/전기공사,정보통신공사,소방설비공사/부동산 임대/소프트웨어 개발,공급</t>
        </is>
      </c>
      <c r="Q460" t="inlineStr">
        <is>
          <t>경기 의왕시 이동 742번지</t>
        </is>
      </c>
      <c r="R460" t="inlineStr">
        <is>
          <t>경기 의왕시 오봉산단1로 50-8</t>
        </is>
      </c>
    </row>
    <row r="461" ht="19.2" customHeight="1" s="1">
      <c r="A461" t="inlineStr">
        <is>
          <t>NICE:469213</t>
        </is>
      </c>
      <c r="B461" t="inlineStr">
        <is>
          <t>엔텍월드</t>
        </is>
      </c>
      <c r="C461" t="inlineStr">
        <is>
          <t>안병립</t>
        </is>
      </c>
      <c r="D461" t="inlineStr">
        <is>
          <t>02-6670-5230-8</t>
        </is>
      </c>
      <c r="E461" t="inlineStr">
        <is>
          <t>02-6670-5239</t>
        </is>
      </c>
      <c r="F461" s="3">
        <f>HYPERLINK("http://www.entechworld.net", "http://www.entechworld.net")</f>
        <v/>
      </c>
      <c r="G461" t="inlineStr">
        <is>
          <t>1198181214</t>
        </is>
      </c>
      <c r="H461" t="inlineStr">
        <is>
          <t>1101113242396</t>
        </is>
      </c>
      <c r="I461" t="inlineStr">
        <is>
          <t>대상아님</t>
        </is>
      </c>
      <c r="J461" t="inlineStr">
        <is>
          <t>일반법인</t>
        </is>
      </c>
      <c r="K461" t="inlineStr">
        <is>
          <t>중소기업</t>
        </is>
      </c>
      <c r="L461" t="inlineStr">
        <is>
          <t>외부감사대상</t>
        </is>
      </c>
      <c r="M461" s="6" t="inlineStr">
        <is>
          <t>2005-06-03</t>
        </is>
      </c>
      <c r="N461" t="inlineStr">
        <is>
          <t>KRI:10F4231100</t>
        </is>
      </c>
      <c r="O461" t="inlineStr">
        <is>
          <t>일반전기 공사업</t>
        </is>
      </c>
      <c r="P461" t="inlineStr">
        <is>
          <t>전기공사,통신공사/배전반,자동제어시스템,전동기류,전기회로 제조/석재(건축자재) 도소매</t>
        </is>
      </c>
      <c r="Q461" t="inlineStr">
        <is>
          <t>서울 금천구 가산동 470-5번지 에이스테크노타워10차 1201호 ,1209호</t>
        </is>
      </c>
      <c r="R461" t="inlineStr">
        <is>
          <t>서울 금천구 가산디지털1로 196, 1201호 ,1209호 (가산동,에이스테크노타워10차)</t>
        </is>
      </c>
    </row>
    <row r="462" ht="19.2" customHeight="1" s="1">
      <c r="A462" t="inlineStr">
        <is>
          <t>NICE:469330</t>
        </is>
      </c>
      <c r="B462" t="inlineStr">
        <is>
          <t>태영그레인터미널</t>
        </is>
      </c>
      <c r="C462" t="inlineStr">
        <is>
          <t>여태현</t>
        </is>
      </c>
      <c r="D462" t="inlineStr">
        <is>
          <t>031-8053-2100</t>
        </is>
      </c>
      <c r="E462" t="inlineStr">
        <is>
          <t>031-8053-2101</t>
        </is>
      </c>
      <c r="F462" s="3">
        <f>HYPERLINK("http://www.tygt.co.kr", "http://www.tygt.co.kr")</f>
        <v/>
      </c>
      <c r="G462" t="inlineStr">
        <is>
          <t>1388131490</t>
        </is>
      </c>
      <c r="H462" t="inlineStr">
        <is>
          <t>1341110136304</t>
        </is>
      </c>
      <c r="I462" t="inlineStr">
        <is>
          <t>대상아님</t>
        </is>
      </c>
      <c r="J462" t="inlineStr">
        <is>
          <t>일반법인</t>
        </is>
      </c>
      <c r="K462" t="inlineStr">
        <is>
          <t>중소기업</t>
        </is>
      </c>
      <c r="L462" t="inlineStr">
        <is>
          <t>외부감사대상</t>
        </is>
      </c>
      <c r="M462" s="6" t="inlineStr">
        <is>
          <t>2005-12-19</t>
        </is>
      </c>
      <c r="N462" t="inlineStr">
        <is>
          <t>KRI:10H5294200</t>
        </is>
      </c>
      <c r="O462" t="inlineStr">
        <is>
          <t>수상 화물 취급업</t>
        </is>
      </c>
      <c r="P462" t="inlineStr">
        <is>
          <t>수상화물 취급/부동산 임대</t>
        </is>
      </c>
      <c r="Q462" t="inlineStr">
        <is>
          <t>경기 평택시 포승읍 신영리 952번지</t>
        </is>
      </c>
      <c r="R462" t="inlineStr">
        <is>
          <t>경기 평택시 포승읍 평택항안로 55</t>
        </is>
      </c>
    </row>
    <row r="463">
      <c r="A463" t="inlineStr">
        <is>
          <t>NICE:470730</t>
        </is>
      </c>
      <c r="B463" t="inlineStr">
        <is>
          <t>퀄컴씨디엠에이테크날러지코리아</t>
        </is>
      </c>
      <c r="C463" t="inlineStr">
        <is>
          <t>디셈버그린엔리케즈</t>
        </is>
      </c>
      <c r="D463" t="inlineStr">
        <is>
          <t>02-3404-1114</t>
        </is>
      </c>
      <c r="E463" t="inlineStr">
        <is>
          <t>02-3404-1123</t>
        </is>
      </c>
      <c r="G463" t="inlineStr">
        <is>
          <t>1208196449</t>
        </is>
      </c>
      <c r="H463" t="inlineStr">
        <is>
          <t>1101140029923</t>
        </is>
      </c>
      <c r="I463" t="inlineStr">
        <is>
          <t>대상아님</t>
        </is>
      </c>
      <c r="J463" t="inlineStr">
        <is>
          <t>일반법인</t>
        </is>
      </c>
      <c r="K463" t="inlineStr">
        <is>
          <t>중소기업</t>
        </is>
      </c>
      <c r="L463" t="inlineStr">
        <is>
          <t>외부감사대상</t>
        </is>
      </c>
      <c r="M463" s="6" t="inlineStr">
        <is>
          <t>1999-12-06</t>
        </is>
      </c>
      <c r="N463" t="inlineStr">
        <is>
          <t>KRI:10C2642900</t>
        </is>
      </c>
      <c r="O463" t="inlineStr">
        <is>
          <t>기타 무선 통신장비 제조업</t>
        </is>
      </c>
      <c r="P463" t="inlineStr">
        <is>
          <t>무선통신장치 제조/통신장비,전기용기계장비,산업용장비 도매,중개</t>
        </is>
      </c>
      <c r="Q463" t="inlineStr">
        <is>
          <t>서울 용산구 한강로2가 424번지 15층</t>
        </is>
      </c>
      <c r="R463" t="inlineStr">
        <is>
          <t>서울 용산구 한강대로 100, 15층</t>
        </is>
      </c>
    </row>
    <row r="464" ht="19.2" customHeight="1" s="1">
      <c r="A464" t="inlineStr">
        <is>
          <t>NICE:471139</t>
        </is>
      </c>
      <c r="B464" t="inlineStr">
        <is>
          <t>아크레텍코리아</t>
        </is>
      </c>
      <c r="C464" t="inlineStr">
        <is>
          <t>이상철</t>
        </is>
      </c>
      <c r="D464" t="inlineStr">
        <is>
          <t>031-786-4000</t>
        </is>
      </c>
      <c r="E464" t="inlineStr">
        <is>
          <t>031-786-4090</t>
        </is>
      </c>
      <c r="F464" s="3">
        <f>HYPERLINK("http://www.accretechkorea.com", "http://www.accretechkorea.com")</f>
        <v/>
      </c>
      <c r="G464" t="inlineStr">
        <is>
          <t>1248178176</t>
        </is>
      </c>
      <c r="H464" t="inlineStr">
        <is>
          <t>1301110065086</t>
        </is>
      </c>
      <c r="I464" t="inlineStr">
        <is>
          <t>대상아님</t>
        </is>
      </c>
      <c r="J464" t="inlineStr">
        <is>
          <t>일반법인</t>
        </is>
      </c>
      <c r="K464" t="inlineStr">
        <is>
          <t>중소기업</t>
        </is>
      </c>
      <c r="L464" t="inlineStr">
        <is>
          <t>외부감사대상</t>
        </is>
      </c>
      <c r="M464" s="6" t="inlineStr">
        <is>
          <t>2000-10-25</t>
        </is>
      </c>
      <c r="N464" t="inlineStr">
        <is>
          <t>KRI:10G4659500</t>
        </is>
      </c>
      <c r="O464" t="inlineStr">
        <is>
          <t>전기용 기계ㆍ장비 및 관련 기자재 도매업</t>
        </is>
      </c>
      <c r="P464" t="inlineStr">
        <is>
          <t>반도체 제조장비 판매/엔지니어 제공</t>
        </is>
      </c>
      <c r="Q464" t="inlineStr">
        <is>
          <t>경기 화성시 동탄구 영천동 857-2번지 1동 205호</t>
        </is>
      </c>
      <c r="R464" t="inlineStr">
        <is>
          <t>경기 화성시 동탄구 동탄대로24길 31-8, 1동 205호</t>
        </is>
      </c>
    </row>
    <row r="465" ht="19.2" customHeight="1" s="1">
      <c r="A465" t="inlineStr">
        <is>
          <t>NICE:471228</t>
        </is>
      </c>
      <c r="B465" t="inlineStr">
        <is>
          <t>한국알박크라이오</t>
        </is>
      </c>
      <c r="C465" t="inlineStr">
        <is>
          <t>김철민</t>
        </is>
      </c>
      <c r="D465" t="inlineStr">
        <is>
          <t>031-683-2926</t>
        </is>
      </c>
      <c r="E465" t="inlineStr">
        <is>
          <t>031-683-2914</t>
        </is>
      </c>
      <c r="F465" s="3">
        <f>HYPERLINK("http://www.ulvac-cryo.co.kr", "http://www.ulvac-cryo.co.kr")</f>
        <v/>
      </c>
      <c r="G465" t="inlineStr">
        <is>
          <t>1258155540</t>
        </is>
      </c>
      <c r="H465" t="inlineStr">
        <is>
          <t>1313110056882</t>
        </is>
      </c>
      <c r="I465" t="inlineStr">
        <is>
          <t>대상아님</t>
        </is>
      </c>
      <c r="J465" t="inlineStr">
        <is>
          <t>일반법인</t>
        </is>
      </c>
      <c r="K465" t="inlineStr">
        <is>
          <t>중소기업</t>
        </is>
      </c>
      <c r="L465" t="inlineStr">
        <is>
          <t>외부감사대상</t>
        </is>
      </c>
      <c r="M465" s="6" t="inlineStr">
        <is>
          <t>2004-12-10</t>
        </is>
      </c>
      <c r="N465" t="inlineStr">
        <is>
          <t>KRI:10C2913200</t>
        </is>
      </c>
      <c r="O465" t="inlineStr">
        <is>
          <t>기체 펌프 및 압축기 제조업</t>
        </is>
      </c>
      <c r="P465" t="inlineStr">
        <is>
          <t>진공펌프,배기장치 제조,판매</t>
        </is>
      </c>
      <c r="Q465" t="inlineStr">
        <is>
          <t>경기 평택시 청북읍 현곡리 457-2번지</t>
        </is>
      </c>
      <c r="R465" t="inlineStr">
        <is>
          <t>경기 평택시 청북읍 현곡산단로 107</t>
        </is>
      </c>
    </row>
    <row r="466" ht="19.2" customHeight="1" s="1">
      <c r="A466" t="inlineStr">
        <is>
          <t>NICE:472295</t>
        </is>
      </c>
      <c r="B466" t="inlineStr">
        <is>
          <t>엔스</t>
        </is>
      </c>
      <c r="C466" t="inlineStr">
        <is>
          <t>권순일</t>
        </is>
      </c>
      <c r="D466" t="inlineStr">
        <is>
          <t>032-816-3053</t>
        </is>
      </c>
      <c r="E466" t="inlineStr">
        <is>
          <t>032-816-5053</t>
        </is>
      </c>
      <c r="F466" s="3">
        <f>HYPERLINK("http://www.enth.co.kr", "http://www.enth.co.kr")</f>
        <v/>
      </c>
      <c r="G466" t="inlineStr">
        <is>
          <t>1318188269</t>
        </is>
      </c>
      <c r="H466" t="inlineStr">
        <is>
          <t>1201110359605</t>
        </is>
      </c>
      <c r="I466" t="inlineStr">
        <is>
          <t>대상아님</t>
        </is>
      </c>
      <c r="J466" t="inlineStr">
        <is>
          <t>일반법인</t>
        </is>
      </c>
      <c r="K466" t="inlineStr">
        <is>
          <t>중소기업</t>
        </is>
      </c>
      <c r="L466" t="inlineStr">
        <is>
          <t>외부감사대상</t>
        </is>
      </c>
      <c r="M466" s="6" t="inlineStr">
        <is>
          <t>2004-11-24</t>
        </is>
      </c>
      <c r="N466" t="inlineStr">
        <is>
          <t>KRI:10C2042300</t>
        </is>
      </c>
      <c r="O466" t="inlineStr">
        <is>
          <t>화장품 제조업</t>
        </is>
      </c>
      <c r="P466" t="inlineStr">
        <is>
          <t>화장품 제조</t>
        </is>
      </c>
      <c r="Q466" t="inlineStr">
        <is>
          <t>인천 남동구 남촌동 624-6번지</t>
        </is>
      </c>
      <c r="R466" t="inlineStr">
        <is>
          <t>인천 남동구 함박뫼로 355</t>
        </is>
      </c>
    </row>
    <row r="467" ht="19.2" customHeight="1" s="1">
      <c r="A467" t="inlineStr">
        <is>
          <t>NICE:474184</t>
        </is>
      </c>
      <c r="B467" t="inlineStr">
        <is>
          <t>두리화장품</t>
        </is>
      </c>
      <c r="C467" t="inlineStr">
        <is>
          <t>이병수</t>
        </is>
      </c>
      <c r="D467" t="inlineStr">
        <is>
          <t>02-3019-4790</t>
        </is>
      </c>
      <c r="E467" t="inlineStr">
        <is>
          <t>041-754-7554</t>
        </is>
      </c>
      <c r="F467" s="3">
        <f>HYPERLINK("http://www.dooricare.com", "http://www.dooricare.com")</f>
        <v/>
      </c>
      <c r="G467" t="inlineStr">
        <is>
          <t>3058166639</t>
        </is>
      </c>
      <c r="H467" t="inlineStr">
        <is>
          <t>1642110010790</t>
        </is>
      </c>
      <c r="I467" t="inlineStr">
        <is>
          <t>대상아님</t>
        </is>
      </c>
      <c r="J467" t="inlineStr">
        <is>
          <t>일반법인</t>
        </is>
      </c>
      <c r="K467" t="inlineStr">
        <is>
          <t>중소기업</t>
        </is>
      </c>
      <c r="L467" t="inlineStr">
        <is>
          <t>외부감사대상</t>
        </is>
      </c>
      <c r="M467" s="6" t="inlineStr">
        <is>
          <t>1998-05-01</t>
        </is>
      </c>
      <c r="N467" t="inlineStr">
        <is>
          <t>KRI:10C2042300</t>
        </is>
      </c>
      <c r="O467" t="inlineStr">
        <is>
          <t>화장품 제조업</t>
        </is>
      </c>
      <c r="P467" t="inlineStr">
        <is>
          <t>화장품,의약외품 제조,도소매/미용기기,잡화 도소매,상품 중개,수출입</t>
        </is>
      </c>
      <c r="Q467" t="inlineStr">
        <is>
          <t>충남 금산군 추부면 마전리 843-27번지</t>
        </is>
      </c>
      <c r="R467" t="inlineStr">
        <is>
          <t>충남 금산군 추부면 다복로 588</t>
        </is>
      </c>
    </row>
    <row r="468">
      <c r="A468" t="inlineStr">
        <is>
          <t>NICE:474520</t>
        </is>
      </c>
      <c r="B468" t="inlineStr">
        <is>
          <t>한성푸드영농조합법인</t>
        </is>
      </c>
      <c r="C468" t="inlineStr">
        <is>
          <t>김종남</t>
        </is>
      </c>
      <c r="D468" t="inlineStr">
        <is>
          <t>061-830-1000</t>
        </is>
      </c>
      <c r="E468" t="inlineStr">
        <is>
          <t>061-835-7857</t>
        </is>
      </c>
      <c r="G468" t="inlineStr">
        <is>
          <t>4168139368</t>
        </is>
      </c>
      <c r="H468" t="inlineStr">
        <is>
          <t>2013710002032</t>
        </is>
      </c>
      <c r="I468" t="inlineStr">
        <is>
          <t>대상아님</t>
        </is>
      </c>
      <c r="J468" t="inlineStr">
        <is>
          <t>일반법인</t>
        </is>
      </c>
      <c r="K468" t="inlineStr">
        <is>
          <t>중소기업</t>
        </is>
      </c>
      <c r="L468" t="inlineStr">
        <is>
          <t>외부감사비대상</t>
        </is>
      </c>
      <c r="M468" s="6" t="inlineStr">
        <is>
          <t>2002-12-24</t>
        </is>
      </c>
      <c r="N468" t="inlineStr">
        <is>
          <t>KRI:10C1030900</t>
        </is>
      </c>
      <c r="O468" t="inlineStr">
        <is>
          <t>기타 과실ㆍ채소 가공 및 저장 처리업</t>
        </is>
      </c>
      <c r="P468" t="inlineStr">
        <is>
          <t>농수산물및식품가공업</t>
        </is>
      </c>
      <c r="Q468" t="inlineStr">
        <is>
          <t>전남 고흥군 동강면 노동리 815-1번지</t>
        </is>
      </c>
      <c r="R468" t="inlineStr">
        <is>
          <t>전남 고흥군 동강면 죽암로 13</t>
        </is>
      </c>
    </row>
    <row r="469" ht="19.2" customHeight="1" s="1">
      <c r="A469" t="inlineStr">
        <is>
          <t>NICE:475842</t>
        </is>
      </c>
      <c r="B469" t="inlineStr">
        <is>
          <t>지씨에스</t>
        </is>
      </c>
      <c r="C469" t="inlineStr">
        <is>
          <t>최세성</t>
        </is>
      </c>
      <c r="D469" t="inlineStr">
        <is>
          <t>054-439-8960</t>
        </is>
      </c>
      <c r="E469" t="inlineStr">
        <is>
          <t>054-439-8964</t>
        </is>
      </c>
      <c r="F469" s="3">
        <f>HYPERLINK("http://www.gcsnetwork.com", "http://www.gcsnetwork.com")</f>
        <v/>
      </c>
      <c r="G469" t="inlineStr">
        <is>
          <t>6158142719</t>
        </is>
      </c>
      <c r="H469" t="inlineStr">
        <is>
          <t>1955110078787</t>
        </is>
      </c>
      <c r="I469" t="inlineStr">
        <is>
          <t>대상아님</t>
        </is>
      </c>
      <c r="J469" t="inlineStr">
        <is>
          <t>일반법인</t>
        </is>
      </c>
      <c r="K469" t="inlineStr">
        <is>
          <t>중소기업</t>
        </is>
      </c>
      <c r="L469" t="inlineStr">
        <is>
          <t>외부감사대상</t>
        </is>
      </c>
      <c r="M469" s="6" t="inlineStr">
        <is>
          <t>2005-04-07</t>
        </is>
      </c>
      <c r="N469" t="inlineStr">
        <is>
          <t>KRI:10C3039900</t>
        </is>
      </c>
      <c r="O469" t="inlineStr">
        <is>
          <t>그 외 자동차용 신품 부품 제조업</t>
        </is>
      </c>
      <c r="P469" t="inlineStr">
        <is>
          <t>자동차부품 제조/무역/부동산 임대</t>
        </is>
      </c>
      <c r="Q469" t="inlineStr">
        <is>
          <t>경북 김천시 대광동 1000-41번지</t>
        </is>
      </c>
      <c r="R469" t="inlineStr">
        <is>
          <t>경북 김천시 공단로 111</t>
        </is>
      </c>
    </row>
    <row r="470" ht="19.2" customHeight="1" s="1">
      <c r="A470" t="inlineStr">
        <is>
          <t>NICE:476941</t>
        </is>
      </c>
      <c r="B470" t="inlineStr">
        <is>
          <t>발카코리아</t>
        </is>
      </c>
      <c r="C470" t="inlineStr">
        <is>
          <t>채진석/후지이아츠시</t>
        </is>
      </c>
      <c r="D470" t="inlineStr">
        <is>
          <t>02-786-6718</t>
        </is>
      </c>
      <c r="E470" t="inlineStr">
        <is>
          <t>02-786-6719</t>
        </is>
      </c>
      <c r="F470" s="3">
        <f>HYPERLINK("http://www.valqua.co.kr", "http://www.valqua.co.kr")</f>
        <v/>
      </c>
      <c r="G470" t="inlineStr">
        <is>
          <t>1078646956</t>
        </is>
      </c>
      <c r="H470" t="inlineStr">
        <is>
          <t>1101112964090</t>
        </is>
      </c>
      <c r="I470" t="inlineStr">
        <is>
          <t>대상아님</t>
        </is>
      </c>
      <c r="J470" t="inlineStr">
        <is>
          <t>일반법인</t>
        </is>
      </c>
      <c r="K470" t="inlineStr">
        <is>
          <t>중소기업</t>
        </is>
      </c>
      <c r="L470" t="inlineStr">
        <is>
          <t>외부감사대상</t>
        </is>
      </c>
      <c r="M470" s="6" t="inlineStr">
        <is>
          <t>2004-03-02</t>
        </is>
      </c>
      <c r="N470" t="inlineStr">
        <is>
          <t>KRI:10C2219200</t>
        </is>
      </c>
      <c r="O470" t="inlineStr">
        <is>
          <t>산업용 그 외 비경화 고무제품 제조업</t>
        </is>
      </c>
      <c r="P470" t="inlineStr">
        <is>
          <t>고무,합성수지,금속,진공용구동기계장치 제조,도소매,설계</t>
        </is>
      </c>
      <c r="Q470" t="inlineStr">
        <is>
          <t>서울 영등포구 여의도동 23-6번지 오투타워 10층</t>
        </is>
      </c>
      <c r="R470" t="inlineStr">
        <is>
          <t>서울 영등포구 의사당대로 83, 10층 (여의도동,오투타워)</t>
        </is>
      </c>
    </row>
    <row r="471" ht="19.2" customHeight="1" s="1">
      <c r="A471" t="inlineStr">
        <is>
          <t>NICE:477391</t>
        </is>
      </c>
      <c r="B471" t="inlineStr">
        <is>
          <t>아스렉스코리아</t>
        </is>
      </c>
      <c r="C471" t="inlineStr">
        <is>
          <t>응웽이앨빈</t>
        </is>
      </c>
      <c r="D471" t="inlineStr">
        <is>
          <t>02-6900-9400</t>
        </is>
      </c>
      <c r="E471" t="inlineStr">
        <is>
          <t>02-6900-9403</t>
        </is>
      </c>
      <c r="F471" s="3">
        <f>HYPERLINK("http://www.arthrex.com/", "http://www.arthrex.com/")</f>
        <v/>
      </c>
      <c r="G471" t="inlineStr">
        <is>
          <t>1208675721</t>
        </is>
      </c>
      <c r="H471" t="inlineStr">
        <is>
          <t>1101140051629</t>
        </is>
      </c>
      <c r="I471" t="inlineStr">
        <is>
          <t>대상아님</t>
        </is>
      </c>
      <c r="J471" t="inlineStr">
        <is>
          <t>일반법인</t>
        </is>
      </c>
      <c r="K471" t="inlineStr">
        <is>
          <t>중소기업</t>
        </is>
      </c>
      <c r="L471" t="inlineStr">
        <is>
          <t>외부감사대상</t>
        </is>
      </c>
      <c r="M471" s="6" t="inlineStr">
        <is>
          <t>2004-12-03</t>
        </is>
      </c>
      <c r="N471" t="inlineStr">
        <is>
          <t>KRI:10G4659200</t>
        </is>
      </c>
      <c r="O471" t="inlineStr">
        <is>
          <t>의료기기 도매업</t>
        </is>
      </c>
      <c r="P471" t="inlineStr">
        <is>
          <t>의료기기 도매</t>
        </is>
      </c>
      <c r="Q471" t="inlineStr">
        <is>
          <t>서울 강남구 삼성동 159-8번지 20층</t>
        </is>
      </c>
      <c r="R471" t="inlineStr">
        <is>
          <t>서울 강남구 테헤란로 521, 20층</t>
        </is>
      </c>
    </row>
    <row r="472" ht="19.2" customHeight="1" s="1">
      <c r="A472" t="inlineStr">
        <is>
          <t>NICE:478575</t>
        </is>
      </c>
      <c r="B472" t="inlineStr">
        <is>
          <t>델타일렉트로닉스코리아</t>
        </is>
      </c>
      <c r="C472" t="inlineStr">
        <is>
          <t>화치엔하오</t>
        </is>
      </c>
      <c r="D472" t="inlineStr">
        <is>
          <t>02-515-5303</t>
        </is>
      </c>
      <c r="E472" t="inlineStr">
        <is>
          <t>02-515-5302</t>
        </is>
      </c>
      <c r="F472" s="3">
        <f>HYPERLINK("https://www.delta-korea.com/ko-KR/index", "https://www.delta-korea.com/ko-KR/index")</f>
        <v/>
      </c>
      <c r="G472" t="inlineStr">
        <is>
          <t>2118747042</t>
        </is>
      </c>
      <c r="H472" t="inlineStr">
        <is>
          <t>1101112977001</t>
        </is>
      </c>
      <c r="I472" t="inlineStr">
        <is>
          <t>대상아님</t>
        </is>
      </c>
      <c r="J472" t="inlineStr">
        <is>
          <t>일반법인</t>
        </is>
      </c>
      <c r="K472" t="inlineStr">
        <is>
          <t>중소기업</t>
        </is>
      </c>
      <c r="L472" t="inlineStr">
        <is>
          <t>외부감사대상</t>
        </is>
      </c>
      <c r="M472" s="6" t="inlineStr">
        <is>
          <t>2004-03-19</t>
        </is>
      </c>
      <c r="N472" t="inlineStr">
        <is>
          <t>KRI:10G4659500</t>
        </is>
      </c>
      <c r="O472" t="inlineStr">
        <is>
          <t>전기용 기계ㆍ장비 및 관련 기자재 도매업</t>
        </is>
      </c>
      <c r="P472" t="inlineStr">
        <is>
          <t>반도체 도매</t>
        </is>
      </c>
      <c r="Q472" t="inlineStr">
        <is>
          <t>서울 금천구 가산동 481-4번지 벽산디지털밸리6차 1511호</t>
        </is>
      </c>
      <c r="R472" t="inlineStr">
        <is>
          <t>서울 금천구 가산디지털1로 219, 1511호 (가산동,벽산디지털밸리6차)</t>
        </is>
      </c>
    </row>
    <row r="473">
      <c r="A473" t="inlineStr">
        <is>
          <t>NICE:478918</t>
        </is>
      </c>
      <c r="B473" t="inlineStr">
        <is>
          <t>한국제이에스티알앤디센터</t>
        </is>
      </c>
      <c r="C473" t="inlineStr">
        <is>
          <t>타카하시아츠히로</t>
        </is>
      </c>
      <c r="D473" t="inlineStr">
        <is>
          <t>031-476-5939</t>
        </is>
      </c>
      <c r="E473" t="inlineStr">
        <is>
          <t>031-476-5940</t>
        </is>
      </c>
      <c r="G473" t="inlineStr">
        <is>
          <t>2148765054</t>
        </is>
      </c>
      <c r="H473" t="inlineStr">
        <is>
          <t>1101113155557</t>
        </is>
      </c>
      <c r="I473" t="inlineStr">
        <is>
          <t>대상아님</t>
        </is>
      </c>
      <c r="J473" t="inlineStr">
        <is>
          <t>일반법인</t>
        </is>
      </c>
      <c r="K473" t="inlineStr">
        <is>
          <t>중소기업</t>
        </is>
      </c>
      <c r="L473" t="inlineStr">
        <is>
          <t>외부감사대상</t>
        </is>
      </c>
      <c r="M473" s="6" t="inlineStr">
        <is>
          <t>2005-01-21</t>
        </is>
      </c>
      <c r="N473" t="inlineStr">
        <is>
          <t>KRI:10G4521900</t>
        </is>
      </c>
      <c r="O473" t="inlineStr">
        <is>
          <t>기타 자동차 신품 부품 및 내장품 판매업</t>
        </is>
      </c>
      <c r="P473" t="inlineStr">
        <is>
          <t>자동차용 커넥터,하네스,전기전자부품 도매,무역/전기접속부품,금형(커넥터부품) 연구개발</t>
        </is>
      </c>
      <c r="Q473" t="inlineStr">
        <is>
          <t>경기 안양시 동안구 호계동 1043번지 한화생명빌딩 15층</t>
        </is>
      </c>
      <c r="R473" t="inlineStr">
        <is>
          <t>경기 안양시 동안구 시민대로 210, 15층 (호계동,한화생명빌딩)</t>
        </is>
      </c>
    </row>
    <row r="474" ht="19.2" customHeight="1" s="1">
      <c r="A474" t="inlineStr">
        <is>
          <t>NICE:479627</t>
        </is>
      </c>
      <c r="B474" t="inlineStr">
        <is>
          <t>태양정공</t>
        </is>
      </c>
      <c r="C474" t="inlineStr">
        <is>
          <t>정춘옥</t>
        </is>
      </c>
      <c r="D474" t="inlineStr">
        <is>
          <t>052-707-1491</t>
        </is>
      </c>
      <c r="E474" t="inlineStr">
        <is>
          <t>052-707-1495</t>
        </is>
      </c>
      <c r="F474" s="3">
        <f>HYPERLINK("http://www.tyjk.co.kr", "http://www.tyjk.co.kr")</f>
        <v/>
      </c>
      <c r="G474" t="inlineStr">
        <is>
          <t>6218135737</t>
        </is>
      </c>
      <c r="H474" t="inlineStr">
        <is>
          <t>1801110299578</t>
        </is>
      </c>
      <c r="I474" t="inlineStr">
        <is>
          <t>대상아님</t>
        </is>
      </c>
      <c r="J474" t="inlineStr">
        <is>
          <t>일반법인</t>
        </is>
      </c>
      <c r="K474" t="inlineStr">
        <is>
          <t>중소기업</t>
        </is>
      </c>
      <c r="L474" t="inlineStr">
        <is>
          <t>외부감사대상</t>
        </is>
      </c>
      <c r="M474" s="6" t="inlineStr">
        <is>
          <t>1999-09-14</t>
        </is>
      </c>
      <c r="N474" t="inlineStr">
        <is>
          <t>KRI:10C3039900</t>
        </is>
      </c>
      <c r="O474" t="inlineStr">
        <is>
          <t>그 외 자동차용 신품 부품 제조업</t>
        </is>
      </c>
      <c r="P474" t="inlineStr">
        <is>
          <t>자동차부품(머플러행거,견인후크) 제조</t>
        </is>
      </c>
      <c r="Q474" t="inlineStr">
        <is>
          <t>울산 울주군 웅촌면 대대리 738-1번지</t>
        </is>
      </c>
      <c r="R474" t="inlineStr">
        <is>
          <t>울산 울주군 웅촌면 광청로 117</t>
        </is>
      </c>
    </row>
    <row r="475" ht="19.2" customHeight="1" s="1">
      <c r="A475" t="inlineStr">
        <is>
          <t>NICE:479715</t>
        </is>
      </c>
      <c r="B475" t="inlineStr">
        <is>
          <t>영진앵글</t>
        </is>
      </c>
      <c r="C475" t="inlineStr">
        <is>
          <t>김동수</t>
        </is>
      </c>
      <c r="D475" t="inlineStr">
        <is>
          <t>02-424-7799</t>
        </is>
      </c>
      <c r="E475" t="inlineStr">
        <is>
          <t>02-424-9467</t>
        </is>
      </c>
      <c r="F475" s="3">
        <f>HYPERLINK("http://www.영진앵글.com", "http://www.영진앵글.com")</f>
        <v/>
      </c>
      <c r="G475" t="inlineStr">
        <is>
          <t>2158676538</t>
        </is>
      </c>
      <c r="H475" t="inlineStr">
        <is>
          <t>1101113313618</t>
        </is>
      </c>
      <c r="I475" t="inlineStr">
        <is>
          <t>대상아님</t>
        </is>
      </c>
      <c r="J475" t="inlineStr">
        <is>
          <t>일반법인</t>
        </is>
      </c>
      <c r="K475" t="inlineStr">
        <is>
          <t>중소기업</t>
        </is>
      </c>
      <c r="L475" t="inlineStr">
        <is>
          <t>외부감사대상</t>
        </is>
      </c>
      <c r="M475" s="6" t="inlineStr">
        <is>
          <t>1998-12-01</t>
        </is>
      </c>
      <c r="N475" t="inlineStr">
        <is>
          <t>KRI:10G4672100</t>
        </is>
      </c>
      <c r="O475" t="inlineStr">
        <is>
          <t>1차 금속제품 도매업</t>
        </is>
      </c>
      <c r="P475" t="inlineStr">
        <is>
          <t>조립식앵글(상품진열용),중경량랙 도소매/설치공사</t>
        </is>
      </c>
      <c r="Q475" t="inlineStr">
        <is>
          <t>경기 하남시 미사동 304-2번지</t>
        </is>
      </c>
      <c r="R475" t="inlineStr">
        <is>
          <t>경기 하남시 미사동로 46</t>
        </is>
      </c>
    </row>
    <row r="476" ht="19.2" customHeight="1" s="1">
      <c r="A476" t="inlineStr">
        <is>
          <t>NICE:479873</t>
        </is>
      </c>
      <c r="B476" t="inlineStr">
        <is>
          <t>나비스오토모티브시스템즈</t>
        </is>
      </c>
      <c r="C476" t="inlineStr">
        <is>
          <t>정희석</t>
        </is>
      </c>
      <c r="D476" t="inlineStr">
        <is>
          <t>051-746-5203</t>
        </is>
      </c>
      <c r="E476" t="inlineStr">
        <is>
          <t>051-746-5207</t>
        </is>
      </c>
      <c r="F476" s="3">
        <f>HYPERLINK("http://www.navis-ams.com", "http://www.navis-ams.com")</f>
        <v/>
      </c>
      <c r="G476" t="inlineStr">
        <is>
          <t>6178158406</t>
        </is>
      </c>
      <c r="H476" t="inlineStr">
        <is>
          <t>1801110535203</t>
        </is>
      </c>
      <c r="I476" t="inlineStr">
        <is>
          <t>대상아님</t>
        </is>
      </c>
      <c r="J476" t="inlineStr">
        <is>
          <t>일반법인</t>
        </is>
      </c>
      <c r="K476" t="inlineStr">
        <is>
          <t>중견기업</t>
        </is>
      </c>
      <c r="L476" t="inlineStr">
        <is>
          <t>외부감사대상</t>
        </is>
      </c>
      <c r="M476" s="6" t="inlineStr">
        <is>
          <t>2005-10-27</t>
        </is>
      </c>
      <c r="N476" t="inlineStr">
        <is>
          <t>KRI:10J5822200</t>
        </is>
      </c>
      <c r="O476" t="inlineStr">
        <is>
          <t>응용 소프트웨어 개발 및 공급업</t>
        </is>
      </c>
      <c r="P476" t="inlineStr">
        <is>
          <t>자동차멀티미디어장치,차량멀티미디어(전자지도) 개발</t>
        </is>
      </c>
      <c r="Q476" t="inlineStr">
        <is>
          <t>부산 해운대구 우동 1462번지 센텀그린타워 8층</t>
        </is>
      </c>
      <c r="R476" t="inlineStr">
        <is>
          <t>부산 해운대구 센텀중앙로 78, 8층 (우동,센텀그린타워)</t>
        </is>
      </c>
    </row>
    <row r="477" ht="19.2" customHeight="1" s="1">
      <c r="A477" t="inlineStr">
        <is>
          <t>NICE:482003</t>
        </is>
      </c>
      <c r="B477" t="inlineStr">
        <is>
          <t>숙명여자대학교산학협력단</t>
        </is>
      </c>
      <c r="C477" t="inlineStr">
        <is>
          <t>신지영</t>
        </is>
      </c>
      <c r="D477" t="inlineStr">
        <is>
          <t>02-2077-7848</t>
        </is>
      </c>
      <c r="E477" t="inlineStr">
        <is>
          <t>02-3275-0435</t>
        </is>
      </c>
      <c r="F477" s="3">
        <f>HYPERLINK("http://research.sookmyung.ac.kr", "http://research.sookmyung.ac.kr")</f>
        <v/>
      </c>
      <c r="G477" t="inlineStr">
        <is>
          <t>1068212227</t>
        </is>
      </c>
      <c r="H477" t="inlineStr">
        <is>
          <t>2743710009396</t>
        </is>
      </c>
      <c r="I477" t="inlineStr">
        <is>
          <t>대상아님</t>
        </is>
      </c>
      <c r="J477" t="inlineStr">
        <is>
          <t>비영리법인</t>
        </is>
      </c>
      <c r="K477" t="inlineStr">
        <is>
          <t>대상아님</t>
        </is>
      </c>
      <c r="L477" t="inlineStr">
        <is>
          <t>외부감사비대상</t>
        </is>
      </c>
      <c r="M477" s="6" t="inlineStr">
        <is>
          <t>2004-02-19</t>
        </is>
      </c>
      <c r="N477" t="inlineStr">
        <is>
          <t>KRI:10M7160000</t>
        </is>
      </c>
      <c r="O477" t="inlineStr">
        <is>
          <t>기타 전문 서비스업</t>
        </is>
      </c>
      <c r="P477" t="inlineStr">
        <is>
          <t>산학협력단/아이디어제품 적용,제조,도소매/전자상거래/소프트웨어 개발,공급</t>
        </is>
      </c>
      <c r="Q477" t="inlineStr">
        <is>
          <t>서울 용산구 청파동2가 53-12번지 숙명여자대학교 내</t>
        </is>
      </c>
      <c r="R477" t="inlineStr">
        <is>
          <t>서울 용산구 청파로47길 100, 내 (청파동2가,숙명여자대학교)</t>
        </is>
      </c>
    </row>
    <row r="478">
      <c r="A478" t="inlineStr">
        <is>
          <t>NICE:483635</t>
        </is>
      </c>
      <c r="B478" t="inlineStr">
        <is>
          <t>일미</t>
        </is>
      </c>
      <c r="C478" t="inlineStr">
        <is>
          <t>오영철</t>
        </is>
      </c>
      <c r="D478" t="inlineStr">
        <is>
          <t>041-867-9992</t>
        </is>
      </c>
      <c r="E478" t="inlineStr">
        <is>
          <t>041-867-9994</t>
        </is>
      </c>
      <c r="G478" t="inlineStr">
        <is>
          <t>3128105853</t>
        </is>
      </c>
      <c r="H478" t="inlineStr">
        <is>
          <t>1648110002480</t>
        </is>
      </c>
      <c r="I478" t="inlineStr">
        <is>
          <t>대상아님</t>
        </is>
      </c>
      <c r="J478" t="inlineStr">
        <is>
          <t>일반법인</t>
        </is>
      </c>
      <c r="K478" t="inlineStr">
        <is>
          <t>중소기업</t>
        </is>
      </c>
      <c r="L478" t="inlineStr">
        <is>
          <t>외부감사대상</t>
        </is>
      </c>
      <c r="M478" s="6" t="inlineStr">
        <is>
          <t>1988-08-06</t>
        </is>
      </c>
      <c r="N478" t="inlineStr">
        <is>
          <t>KRI:10C1030200</t>
        </is>
      </c>
      <c r="O478" t="inlineStr">
        <is>
          <t>과실 및 그 외 채소 절임식품 제조업</t>
        </is>
      </c>
      <c r="P478" t="inlineStr">
        <is>
          <t>절임식품 제조,판매/부동산 임대,관리</t>
        </is>
      </c>
      <c r="Q478" t="inlineStr">
        <is>
          <t>세종 조치원읍 번암리 119-1번지</t>
        </is>
      </c>
      <c r="R478" t="inlineStr">
        <is>
          <t>세종 조치원읍 번암공단1길 7</t>
        </is>
      </c>
    </row>
    <row r="479">
      <c r="A479" t="inlineStr">
        <is>
          <t>NICE:484363</t>
        </is>
      </c>
      <c r="B479" t="inlineStr">
        <is>
          <t>코리아에어텍</t>
        </is>
      </c>
      <c r="C479" t="inlineStr">
        <is>
          <t>채상수</t>
        </is>
      </c>
      <c r="D479" t="inlineStr">
        <is>
          <t>052-278-6700</t>
        </is>
      </c>
      <c r="E479" t="inlineStr">
        <is>
          <t>052-278-6729</t>
        </is>
      </c>
      <c r="G479" t="inlineStr">
        <is>
          <t>6108178037</t>
        </is>
      </c>
      <c r="H479" t="inlineStr">
        <is>
          <t>2301110114452</t>
        </is>
      </c>
      <c r="I479" t="inlineStr">
        <is>
          <t>대상아님</t>
        </is>
      </c>
      <c r="J479" t="inlineStr">
        <is>
          <t>일반법인</t>
        </is>
      </c>
      <c r="K479" t="inlineStr">
        <is>
          <t>중견기업</t>
        </is>
      </c>
      <c r="L479" t="inlineStr">
        <is>
          <t>외부감사대상</t>
        </is>
      </c>
      <c r="M479" s="6" t="inlineStr">
        <is>
          <t>2005-07-25</t>
        </is>
      </c>
      <c r="N479" t="inlineStr">
        <is>
          <t>KRI:10C2012100</t>
        </is>
      </c>
      <c r="O479" t="inlineStr">
        <is>
          <t>산업용 가스 제조업</t>
        </is>
      </c>
      <c r="P479" t="inlineStr">
        <is>
          <t>산업용가스(액체산소,질소,아르곤.기체질소) 제조,도소매</t>
        </is>
      </c>
      <c r="Q479" t="inlineStr">
        <is>
          <t>울산 울주군 온산읍 처용리 131번지</t>
        </is>
      </c>
      <c r="R479" t="inlineStr">
        <is>
          <t>울산 울주군 온산읍 온산로 134</t>
        </is>
      </c>
    </row>
    <row r="480" ht="19.2" customHeight="1" s="1">
      <c r="A480" t="inlineStr">
        <is>
          <t>NICE:484746</t>
        </is>
      </c>
      <c r="B480" t="inlineStr">
        <is>
          <t>영남복합물류공사</t>
        </is>
      </c>
      <c r="C480" t="inlineStr">
        <is>
          <t>이창호</t>
        </is>
      </c>
      <c r="D480" t="inlineStr">
        <is>
          <t>054-380-1000</t>
        </is>
      </c>
      <c r="E480" t="inlineStr">
        <is>
          <t>054-380-1001</t>
        </is>
      </c>
      <c r="F480" s="3">
        <f>HYPERLINK("http://www.yift.co.kr/kor", "http://www.yift.co.kr/kor")</f>
        <v/>
      </c>
      <c r="G480" t="inlineStr">
        <is>
          <t>2068199279</t>
        </is>
      </c>
      <c r="H480" t="inlineStr">
        <is>
          <t>1101113231480</t>
        </is>
      </c>
      <c r="I480" t="inlineStr">
        <is>
          <t>대상아님</t>
        </is>
      </c>
      <c r="J480" t="inlineStr">
        <is>
          <t>일반법인</t>
        </is>
      </c>
      <c r="K480" t="inlineStr">
        <is>
          <t>중소기업</t>
        </is>
      </c>
      <c r="L480" t="inlineStr">
        <is>
          <t>외부감사대상</t>
        </is>
      </c>
      <c r="M480" s="6" t="inlineStr">
        <is>
          <t>2005-05-19</t>
        </is>
      </c>
      <c r="N480" t="inlineStr">
        <is>
          <t>KRI:10H5291300</t>
        </is>
      </c>
      <c r="O480" t="inlineStr">
        <is>
          <t>물류 터미널 운영업</t>
        </is>
      </c>
      <c r="P480" t="inlineStr">
        <is>
          <t>복합화물터미널,내륙컨테이너기지 운영</t>
        </is>
      </c>
      <c r="Q480" t="inlineStr">
        <is>
          <t>경북 칠곡군 지천면 연화리 700번지</t>
        </is>
      </c>
      <c r="R480" t="inlineStr">
        <is>
          <t>경북 칠곡군 지천면 금호로 272</t>
        </is>
      </c>
    </row>
    <row r="481">
      <c r="A481" t="inlineStr">
        <is>
          <t>NICE:485091</t>
        </is>
      </c>
      <c r="B481" t="inlineStr">
        <is>
          <t>일신정밀</t>
        </is>
      </c>
      <c r="C481" t="inlineStr">
        <is>
          <t>서태욱</t>
        </is>
      </c>
      <c r="D481" t="inlineStr">
        <is>
          <t>041-421-7000</t>
        </is>
      </c>
      <c r="E481" t="inlineStr">
        <is>
          <t>041-531-7880</t>
        </is>
      </c>
      <c r="G481" t="inlineStr">
        <is>
          <t>1258153241</t>
        </is>
      </c>
      <c r="H481" t="inlineStr">
        <is>
          <t>1313110054860</t>
        </is>
      </c>
      <c r="I481" t="inlineStr">
        <is>
          <t>대상아님</t>
        </is>
      </c>
      <c r="J481" t="inlineStr">
        <is>
          <t>일반법인</t>
        </is>
      </c>
      <c r="K481" t="inlineStr">
        <is>
          <t>중견기업</t>
        </is>
      </c>
      <c r="L481" t="inlineStr">
        <is>
          <t>외부감사대상</t>
        </is>
      </c>
      <c r="M481" s="6" t="inlineStr">
        <is>
          <t>2004-07-28</t>
        </is>
      </c>
      <c r="N481" t="inlineStr">
        <is>
          <t>KRI:10C2927100</t>
        </is>
      </c>
      <c r="O481" t="inlineStr">
        <is>
          <t>반도체 제조용 기계 제조업</t>
        </is>
      </c>
      <c r="P481" t="inlineStr">
        <is>
          <t>반도체장비,반도체장비 도장,피막처리,에너지저장장치,금속구조물,일반철물 제조</t>
        </is>
      </c>
      <c r="Q481" t="inlineStr">
        <is>
          <t>충남 아산시 둔포면 석곡리 1938번지</t>
        </is>
      </c>
      <c r="R481" t="inlineStr">
        <is>
          <t>충남 아산시 둔포면 아산밸리로388번길 88</t>
        </is>
      </c>
    </row>
    <row r="482">
      <c r="A482" t="inlineStr">
        <is>
          <t>NICE:485554</t>
        </is>
      </c>
      <c r="B482" t="inlineStr">
        <is>
          <t>폰테가데아코리아</t>
        </is>
      </c>
      <c r="C482" t="inlineStr">
        <is>
          <t>로베르토시베일라모르예르아스</t>
        </is>
      </c>
      <c r="D482" t="inlineStr">
        <is>
          <t>02-727-3108</t>
        </is>
      </c>
      <c r="G482" t="inlineStr">
        <is>
          <t>2018194508</t>
        </is>
      </c>
      <c r="H482" t="inlineStr">
        <is>
          <t>1101113325225</t>
        </is>
      </c>
      <c r="I482" t="inlineStr">
        <is>
          <t>대상아님</t>
        </is>
      </c>
      <c r="J482" t="inlineStr">
        <is>
          <t>일반법인</t>
        </is>
      </c>
      <c r="K482" t="inlineStr">
        <is>
          <t>중소기업</t>
        </is>
      </c>
      <c r="L482" t="inlineStr">
        <is>
          <t>외부감사대상</t>
        </is>
      </c>
      <c r="M482" s="6" t="inlineStr">
        <is>
          <t>2005-10-18</t>
        </is>
      </c>
      <c r="N482" t="inlineStr">
        <is>
          <t>KRI:10L6811200</t>
        </is>
      </c>
      <c r="O482" t="inlineStr">
        <is>
          <t>비주거용 건물 임대업</t>
        </is>
      </c>
      <c r="P482" t="inlineStr">
        <is>
          <t>부동산 임대,운영관리,취득,처분</t>
        </is>
      </c>
      <c r="Q482" t="inlineStr">
        <is>
          <t>서울 중구 명동2가 31-1번지</t>
        </is>
      </c>
      <c r="R482" t="inlineStr">
        <is>
          <t>서울 중구 명동8길 27</t>
        </is>
      </c>
    </row>
    <row r="483" ht="19.2" customHeight="1" s="1">
      <c r="A483" t="inlineStr">
        <is>
          <t>NICE:485681</t>
        </is>
      </c>
      <c r="B483" t="inlineStr">
        <is>
          <t>포스맥</t>
        </is>
      </c>
      <c r="C483" t="inlineStr">
        <is>
          <t>류존하</t>
        </is>
      </c>
      <c r="D483" t="inlineStr">
        <is>
          <t>055-273-1113</t>
        </is>
      </c>
      <c r="E483" t="inlineStr">
        <is>
          <t>055-255-6732</t>
        </is>
      </c>
      <c r="F483" s="3">
        <f>HYPERLINK("http://www.tg21.net", "http://www.tg21.net")</f>
        <v/>
      </c>
      <c r="G483" t="inlineStr">
        <is>
          <t>6088158004</t>
        </is>
      </c>
      <c r="H483" t="inlineStr">
        <is>
          <t>1943110014869</t>
        </is>
      </c>
      <c r="I483" t="inlineStr">
        <is>
          <t>대상아님</t>
        </is>
      </c>
      <c r="J483" t="inlineStr">
        <is>
          <t>일반법인</t>
        </is>
      </c>
      <c r="K483" t="inlineStr">
        <is>
          <t>중소기업</t>
        </is>
      </c>
      <c r="L483" t="inlineStr">
        <is>
          <t>외부감사대상</t>
        </is>
      </c>
      <c r="M483" s="6" t="inlineStr">
        <is>
          <t>2004-12-23</t>
        </is>
      </c>
      <c r="N483" t="inlineStr">
        <is>
          <t>KRI:10C2520000</t>
        </is>
      </c>
      <c r="O483" t="inlineStr">
        <is>
          <t>무기 및 총포탄 제조업</t>
        </is>
      </c>
      <c r="P483" t="inlineStr">
        <is>
          <t>방위산업용부품,금속가공제품,내연기관,기관,터빈,무기,총포탄,전투용차량,선박구성부품 제조</t>
        </is>
      </c>
      <c r="Q483" t="inlineStr">
        <is>
          <t>경남 창원시 성산구 대원동 92번지</t>
        </is>
      </c>
      <c r="R483" t="inlineStr">
        <is>
          <t>경남 창원시 성산구 남면로 227</t>
        </is>
      </c>
    </row>
    <row r="484" ht="19.2" customHeight="1" s="1">
      <c r="A484" t="inlineStr">
        <is>
          <t>NICE:486025</t>
        </is>
      </c>
      <c r="B484" t="inlineStr">
        <is>
          <t>에이치씨글로벌</t>
        </is>
      </c>
      <c r="C484" t="inlineStr">
        <is>
          <t>박창현</t>
        </is>
      </c>
      <c r="D484" t="inlineStr">
        <is>
          <t>055-911-3000</t>
        </is>
      </c>
      <c r="E484" t="inlineStr">
        <is>
          <t>055-912-1212</t>
        </is>
      </c>
      <c r="F484" s="3">
        <f>HYPERLINK("http://www.heechang.com", "http://www.heechang.com")</f>
        <v/>
      </c>
      <c r="G484" t="inlineStr">
        <is>
          <t>6218160309</t>
        </is>
      </c>
      <c r="H484" t="inlineStr">
        <is>
          <t>2341110036248</t>
        </is>
      </c>
      <c r="I484" t="inlineStr">
        <is>
          <t>대상아님</t>
        </is>
      </c>
      <c r="J484" t="inlineStr">
        <is>
          <t>일반법인</t>
        </is>
      </c>
      <c r="K484" t="inlineStr">
        <is>
          <t>중소기업</t>
        </is>
      </c>
      <c r="L484" t="inlineStr">
        <is>
          <t>외부감사대상</t>
        </is>
      </c>
      <c r="M484" s="6" t="inlineStr">
        <is>
          <t>2004-08-27</t>
        </is>
      </c>
      <c r="N484" t="inlineStr">
        <is>
          <t>KRI:10C1050100</t>
        </is>
      </c>
      <c r="O484" t="inlineStr">
        <is>
          <t>액상시유 및 기타 낙농제품 제조업</t>
        </is>
      </c>
      <c r="P484" t="inlineStr">
        <is>
          <t>분유,다류 제조,도소매/부동산 임대,컨설팅,상가신축 판매,매매</t>
        </is>
      </c>
      <c r="Q484" t="inlineStr">
        <is>
          <t>경남 양산시 유산동 250번지</t>
        </is>
      </c>
      <c r="R484" t="inlineStr">
        <is>
          <t>경남 양산시 유산공단7길 45</t>
        </is>
      </c>
    </row>
    <row r="485" ht="19.2" customHeight="1" s="1">
      <c r="A485" t="inlineStr">
        <is>
          <t>NICE:486158</t>
        </is>
      </c>
      <c r="B485" t="inlineStr">
        <is>
          <t>경기관광개발</t>
        </is>
      </c>
      <c r="C485" t="inlineStr">
        <is>
          <t>김대웅</t>
        </is>
      </c>
      <c r="D485" t="inlineStr">
        <is>
          <t>031-799-6000</t>
        </is>
      </c>
      <c r="E485" t="inlineStr">
        <is>
          <t>031-799-6030</t>
        </is>
      </c>
      <c r="F485" s="3">
        <f>HYPERLINK("http://www.logebiengc.com", "http://www.logebiengc.com")</f>
        <v/>
      </c>
      <c r="G485" t="inlineStr">
        <is>
          <t>1208689531</t>
        </is>
      </c>
      <c r="H485" t="inlineStr">
        <is>
          <t>1101113348839</t>
        </is>
      </c>
      <c r="I485" t="inlineStr">
        <is>
          <t>대상아님</t>
        </is>
      </c>
      <c r="J485" t="inlineStr">
        <is>
          <t>일반법인</t>
        </is>
      </c>
      <c r="K485" t="inlineStr">
        <is>
          <t>중소기업</t>
        </is>
      </c>
      <c r="L485" t="inlineStr">
        <is>
          <t>외부감사대상</t>
        </is>
      </c>
      <c r="M485" s="6" t="inlineStr">
        <is>
          <t>2005-11-25</t>
        </is>
      </c>
      <c r="N485" t="inlineStr">
        <is>
          <t>KRI:10R9112100</t>
        </is>
      </c>
      <c r="O485" t="inlineStr">
        <is>
          <t>골프장 운영업</t>
        </is>
      </c>
      <c r="P485" t="inlineStr">
        <is>
          <t>골프장 운영/골프용품 도소매/식음료,담배 소매/한식음식점/부동산 임대</t>
        </is>
      </c>
      <c r="Q485" t="inlineStr">
        <is>
          <t>경기 광주시 곤지암읍 오향리 156-1번지</t>
        </is>
      </c>
      <c r="R485" t="inlineStr">
        <is>
          <t>경기 광주시 곤지암읍 오향길 180</t>
        </is>
      </c>
    </row>
    <row r="486" ht="19.2" customHeight="1" s="1">
      <c r="A486" t="inlineStr">
        <is>
          <t>NICE:487318</t>
        </is>
      </c>
      <c r="B486" t="inlineStr">
        <is>
          <t>한국화낙서비스</t>
        </is>
      </c>
      <c r="C486" t="inlineStr">
        <is>
          <t>고영운</t>
        </is>
      </c>
      <c r="D486" t="inlineStr">
        <is>
          <t>055-278-1254</t>
        </is>
      </c>
      <c r="E486" t="inlineStr">
        <is>
          <t>055-261-6958</t>
        </is>
      </c>
      <c r="F486" s="3">
        <f>HYPERLINK("http://www.fkc.co.kr/", "http://www.fkc.co.kr/")</f>
        <v/>
      </c>
      <c r="G486" t="inlineStr">
        <is>
          <t>6098173629</t>
        </is>
      </c>
      <c r="H486" t="inlineStr">
        <is>
          <t>1942110080127</t>
        </is>
      </c>
      <c r="I486" t="inlineStr">
        <is>
          <t>대상아님</t>
        </is>
      </c>
      <c r="J486" t="inlineStr">
        <is>
          <t>일반법인</t>
        </is>
      </c>
      <c r="K486" t="inlineStr">
        <is>
          <t>중견기업</t>
        </is>
      </c>
      <c r="L486" t="inlineStr">
        <is>
          <t>외부감사대상</t>
        </is>
      </c>
      <c r="M486" s="6" t="inlineStr">
        <is>
          <t>2006-06-09</t>
        </is>
      </c>
      <c r="N486" t="inlineStr">
        <is>
          <t>KRI:10C3402000</t>
        </is>
      </c>
      <c r="O486" t="inlineStr">
        <is>
          <t>전기.전자 및 정밀기기 수리업</t>
        </is>
      </c>
      <c r="P486" t="inlineStr">
        <is>
          <t>수치제어장치 수리,제조/초정밀나노가공기,수체제어식드릴링기 제조,와이어컷방전가공기,전동사출성형기등 유지보수</t>
        </is>
      </c>
      <c r="Q486" t="inlineStr">
        <is>
          <t>경남 창원시 의창구 팔용동 41-1번지</t>
        </is>
      </c>
      <c r="R486" t="inlineStr">
        <is>
          <t>경남 창원시 의창구 사화로 188</t>
        </is>
      </c>
    </row>
    <row r="487" ht="19.2" customHeight="1" s="1">
      <c r="A487" t="inlineStr">
        <is>
          <t>NICE:487820</t>
        </is>
      </c>
      <c r="B487" t="inlineStr">
        <is>
          <t>해커스어학연구소</t>
        </is>
      </c>
      <c r="C487" t="inlineStr">
        <is>
          <t>박영진</t>
        </is>
      </c>
      <c r="D487" t="inlineStr">
        <is>
          <t>02-534-2580</t>
        </is>
      </c>
      <c r="E487" t="inlineStr">
        <is>
          <t>02-563-0622</t>
        </is>
      </c>
      <c r="F487" s="3">
        <f>HYPERLINK("http://www.hackers.co.kr", "http://www.hackers.co.kr")</f>
        <v/>
      </c>
      <c r="G487" t="inlineStr">
        <is>
          <t>1208669665</t>
        </is>
      </c>
      <c r="H487" t="inlineStr">
        <is>
          <t>1101113040948</t>
        </is>
      </c>
      <c r="I487" t="inlineStr">
        <is>
          <t>대상아님</t>
        </is>
      </c>
      <c r="J487" t="inlineStr">
        <is>
          <t>일반법인</t>
        </is>
      </c>
      <c r="K487" t="inlineStr">
        <is>
          <t>중소기업</t>
        </is>
      </c>
      <c r="L487" t="inlineStr">
        <is>
          <t>외부감사대상</t>
        </is>
      </c>
      <c r="M487" s="6" t="inlineStr">
        <is>
          <t>2004-07-01</t>
        </is>
      </c>
      <c r="N487" t="inlineStr">
        <is>
          <t>KRI:10J5811100</t>
        </is>
      </c>
      <c r="O487" t="inlineStr">
        <is>
          <t>교과서 및 학습서적 출판업</t>
        </is>
      </c>
      <c r="P487" t="inlineStr">
        <is>
          <t>교육교재 출판/서적 도소매/어플리케이션 개발,판매,컨텐츠제공</t>
        </is>
      </c>
      <c r="Q487" t="inlineStr">
        <is>
          <t>서울 서초구 서초동 1316-15번지 202호</t>
        </is>
      </c>
      <c r="R487" t="inlineStr">
        <is>
          <t>서울 서초구 강남대로61길 23, 202호</t>
        </is>
      </c>
    </row>
    <row r="488" ht="19.2" customHeight="1" s="1">
      <c r="A488" t="inlineStr">
        <is>
          <t>NICE:488373</t>
        </is>
      </c>
      <c r="B488" t="inlineStr">
        <is>
          <t>삼녹</t>
        </is>
      </c>
      <c r="C488" t="inlineStr">
        <is>
          <t>김기덕/이헌국/김환중</t>
        </is>
      </c>
      <c r="D488" t="inlineStr">
        <is>
          <t>055-638-3227</t>
        </is>
      </c>
      <c r="E488" t="inlineStr">
        <is>
          <t>055-638-3127</t>
        </is>
      </c>
      <c r="F488" s="3">
        <f>HYPERLINK("http://www.samnok.co.kr", "http://www.samnok.co.kr")</f>
        <v/>
      </c>
      <c r="G488" t="inlineStr">
        <is>
          <t>6128124158</t>
        </is>
      </c>
      <c r="H488" t="inlineStr">
        <is>
          <t>1949110014940</t>
        </is>
      </c>
      <c r="I488" t="inlineStr">
        <is>
          <t>대상아님</t>
        </is>
      </c>
      <c r="J488" t="inlineStr">
        <is>
          <t>일반법인</t>
        </is>
      </c>
      <c r="K488" t="inlineStr">
        <is>
          <t>중소기업</t>
        </is>
      </c>
      <c r="L488" t="inlineStr">
        <is>
          <t>외부감사대상</t>
        </is>
      </c>
      <c r="M488" s="6" t="inlineStr">
        <is>
          <t>2006-02-03</t>
        </is>
      </c>
      <c r="N488" t="inlineStr">
        <is>
          <t>KRI:10C2592200</t>
        </is>
      </c>
      <c r="O488" t="inlineStr">
        <is>
          <t>도금업</t>
        </is>
      </c>
      <c r="P488" t="inlineStr">
        <is>
          <t>도금,선박구성부분품 제작,설치</t>
        </is>
      </c>
      <c r="Q488" t="inlineStr">
        <is>
          <t>경남 거제시 연초면 오비리 779-3번지</t>
        </is>
      </c>
      <c r="R488" t="inlineStr">
        <is>
          <t>경남 거제시 연초면 오비4길 54</t>
        </is>
      </c>
    </row>
    <row r="489" ht="19.2" customHeight="1" s="1">
      <c r="A489" t="inlineStr">
        <is>
          <t>NICE:489996</t>
        </is>
      </c>
      <c r="B489" t="inlineStr">
        <is>
          <t>디스커버믹스테크매뉴팩처링</t>
        </is>
      </c>
      <c r="C489" t="inlineStr">
        <is>
          <t>박광희/다윈알로이스사우어</t>
        </is>
      </c>
      <c r="D489" t="inlineStr">
        <is>
          <t>070-4266-4800</t>
        </is>
      </c>
      <c r="E489" t="inlineStr">
        <is>
          <t>062-946-3504</t>
        </is>
      </c>
      <c r="F489" s="3">
        <f>HYPERLINK("http://www.discovermixtech.co.kr", "http://www.discovermixtech.co.kr")</f>
        <v/>
      </c>
      <c r="G489" t="inlineStr">
        <is>
          <t>1078657787</t>
        </is>
      </c>
      <c r="H489" t="inlineStr">
        <is>
          <t>1101113134981</t>
        </is>
      </c>
      <c r="I489" t="inlineStr">
        <is>
          <t>대상아님</t>
        </is>
      </c>
      <c r="J489" t="inlineStr">
        <is>
          <t>일반법인</t>
        </is>
      </c>
      <c r="K489" t="inlineStr">
        <is>
          <t>중소기업</t>
        </is>
      </c>
      <c r="L489" t="inlineStr">
        <is>
          <t>외부감사대상</t>
        </is>
      </c>
      <c r="M489" s="6" t="inlineStr">
        <is>
          <t>2004-12-21</t>
        </is>
      </c>
      <c r="N489" t="inlineStr">
        <is>
          <t>KRI:10C3033200</t>
        </is>
      </c>
      <c r="O489" t="inlineStr">
        <is>
          <t>자동차용 신품 전기장치 제조업</t>
        </is>
      </c>
      <c r="P489" t="inlineStr">
        <is>
          <t>자동차용 전자배터리 제조/도소매</t>
        </is>
      </c>
      <c r="Q489" t="inlineStr">
        <is>
          <t>광주 광산구 옥동 1234-11번지 평동외국인전용공단</t>
        </is>
      </c>
      <c r="R489" t="inlineStr">
        <is>
          <t>광주 광산구 평동산단로 249 (옥동,평동외국인전용공단)</t>
        </is>
      </c>
    </row>
    <row r="490" ht="19.2" customHeight="1" s="1">
      <c r="A490" t="inlineStr">
        <is>
          <t>NICE:490444</t>
        </is>
      </c>
      <c r="B490" t="inlineStr">
        <is>
          <t>농업회사법인오설록농장</t>
        </is>
      </c>
      <c r="C490" t="inlineStr">
        <is>
          <t>이진호</t>
        </is>
      </c>
      <c r="D490" t="inlineStr">
        <is>
          <t>064-794-6606</t>
        </is>
      </c>
      <c r="E490" t="inlineStr">
        <is>
          <t>064-794-6607</t>
        </is>
      </c>
      <c r="F490" s="3">
        <f>HYPERLINK("http://www.jwgreentea.co.kr", "http://www.jwgreentea.co.kr")</f>
        <v/>
      </c>
      <c r="G490" t="inlineStr">
        <is>
          <t>6168160063</t>
        </is>
      </c>
      <c r="H490" t="inlineStr">
        <is>
          <t>2241110013610</t>
        </is>
      </c>
      <c r="I490" t="inlineStr">
        <is>
          <t>대상아님</t>
        </is>
      </c>
      <c r="J490" t="inlineStr">
        <is>
          <t>일반법인</t>
        </is>
      </c>
      <c r="K490" t="inlineStr">
        <is>
          <t>중견기업</t>
        </is>
      </c>
      <c r="L490" t="inlineStr">
        <is>
          <t>외부감사대상</t>
        </is>
      </c>
      <c r="M490" s="6" t="inlineStr">
        <is>
          <t>2007-04-16</t>
        </is>
      </c>
      <c r="N490" t="inlineStr">
        <is>
          <t>KRI:10C1079200</t>
        </is>
      </c>
      <c r="O490" t="inlineStr">
        <is>
          <t>차류 가공업</t>
        </is>
      </c>
      <c r="P490" t="inlineStr">
        <is>
          <t>녹차 가공,다류 제조,판매</t>
        </is>
      </c>
      <c r="Q490" t="inlineStr">
        <is>
          <t>제주 서귀포시 남원읍 한남리 1443번지</t>
        </is>
      </c>
      <c r="R490" t="inlineStr">
        <is>
          <t>제주 서귀포시 남원읍 서성로652번길 199</t>
        </is>
      </c>
    </row>
    <row r="491" ht="19.2" customHeight="1" s="1">
      <c r="A491" t="inlineStr">
        <is>
          <t>NICE:490595</t>
        </is>
      </c>
      <c r="B491" t="inlineStr">
        <is>
          <t>효성에프엠에스</t>
        </is>
      </c>
      <c r="C491" t="inlineStr">
        <is>
          <t>강인식</t>
        </is>
      </c>
      <c r="D491" t="inlineStr">
        <is>
          <t>02-6181-2042</t>
        </is>
      </c>
      <c r="E491" t="inlineStr">
        <is>
          <t>02-6181-2999</t>
        </is>
      </c>
      <c r="F491" s="3">
        <f>HYPERLINK("http://www.hyosungfms.co.kr", "http://www.hyosungfms.co.kr")</f>
        <v/>
      </c>
      <c r="G491" t="inlineStr">
        <is>
          <t>2118798181</t>
        </is>
      </c>
      <c r="H491" t="inlineStr">
        <is>
          <t>1101113694349</t>
        </is>
      </c>
      <c r="I491" t="inlineStr">
        <is>
          <t>대상아님</t>
        </is>
      </c>
      <c r="J491" t="inlineStr">
        <is>
          <t>일반법인</t>
        </is>
      </c>
      <c r="K491" t="inlineStr">
        <is>
          <t>대기업</t>
        </is>
      </c>
      <c r="L491" t="inlineStr">
        <is>
          <t>외부감사대상</t>
        </is>
      </c>
      <c r="M491" s="6" t="inlineStr">
        <is>
          <t>2007-06-11</t>
        </is>
      </c>
      <c r="N491" t="inlineStr">
        <is>
          <t>KRI:10J5822100</t>
        </is>
      </c>
      <c r="O491" t="inlineStr">
        <is>
          <t>시스템 소프트웨어 개발 및 공급업</t>
        </is>
      </c>
      <c r="P491" t="inlineStr">
        <is>
          <t>소프트웨어(CMS,휴대폰결제,가상계좌중계) 개발,공급</t>
        </is>
      </c>
      <c r="Q491" t="inlineStr">
        <is>
          <t>서울 강남구 수서동 715번지 수서빌딩 5층</t>
        </is>
      </c>
      <c r="R491" t="inlineStr">
        <is>
          <t>서울 강남구 광평로 281, 5층 (수서동,수서빌딩)</t>
        </is>
      </c>
    </row>
    <row r="492" ht="19.2" customHeight="1" s="1">
      <c r="A492" t="inlineStr">
        <is>
          <t>NICE:491607</t>
        </is>
      </c>
      <c r="B492" t="inlineStr">
        <is>
          <t>에이하나</t>
        </is>
      </c>
      <c r="C492" t="inlineStr">
        <is>
          <t>유현승</t>
        </is>
      </c>
      <c r="D492" t="inlineStr">
        <is>
          <t>02-550-8300</t>
        </is>
      </c>
      <c r="E492" t="inlineStr">
        <is>
          <t>02-550-8778</t>
        </is>
      </c>
      <c r="F492" s="3">
        <f>HYPERLINK("http://www.cgbio.co.kr", "http://www.cgbio.co.kr")</f>
        <v/>
      </c>
      <c r="G492" t="inlineStr">
        <is>
          <t>1298193513</t>
        </is>
      </c>
      <c r="H492" t="inlineStr">
        <is>
          <t>1311110156488</t>
        </is>
      </c>
      <c r="I492" t="inlineStr">
        <is>
          <t>대상아님</t>
        </is>
      </c>
      <c r="J492" t="inlineStr">
        <is>
          <t>일반법인</t>
        </is>
      </c>
      <c r="K492" t="inlineStr">
        <is>
          <t>중견기업</t>
        </is>
      </c>
      <c r="L492" t="inlineStr">
        <is>
          <t>외부감사대상</t>
        </is>
      </c>
      <c r="M492" s="6" t="inlineStr">
        <is>
          <t>2006-01-18</t>
        </is>
      </c>
      <c r="N492" t="inlineStr">
        <is>
          <t>KRI:10C2130000</t>
        </is>
      </c>
      <c r="O492" t="inlineStr">
        <is>
          <t>의료용품 및 기타 의약 관련제품 제조업</t>
        </is>
      </c>
      <c r="P492" t="inlineStr">
        <is>
          <t>조직가공처리,의료용기기 제조,판매</t>
        </is>
      </c>
      <c r="Q492" t="inlineStr">
        <is>
          <t>서울 성동구 성수동1가 13-277번지 시지빌딩 7층</t>
        </is>
      </c>
      <c r="R492" t="inlineStr">
        <is>
          <t>서울 성동구 상원12길 1, 7층 (성수동1가,시지빌딩)</t>
        </is>
      </c>
    </row>
    <row r="493">
      <c r="A493" t="inlineStr">
        <is>
          <t>NICE:492783</t>
        </is>
      </c>
      <c r="B493" t="inlineStr">
        <is>
          <t>에스케이에어플러스</t>
        </is>
      </c>
      <c r="C493" t="inlineStr">
        <is>
          <t>오종진</t>
        </is>
      </c>
      <c r="D493" t="inlineStr">
        <is>
          <t>070-7437-1500</t>
        </is>
      </c>
      <c r="E493" t="inlineStr">
        <is>
          <t>052-227-5681</t>
        </is>
      </c>
      <c r="G493" t="inlineStr">
        <is>
          <t>6108187803</t>
        </is>
      </c>
      <c r="H493" t="inlineStr">
        <is>
          <t>2301110134111</t>
        </is>
      </c>
      <c r="I493" t="inlineStr">
        <is>
          <t>대상아님</t>
        </is>
      </c>
      <c r="J493" t="inlineStr">
        <is>
          <t>일반법인</t>
        </is>
      </c>
      <c r="K493" t="inlineStr">
        <is>
          <t>대기업</t>
        </is>
      </c>
      <c r="L493" t="inlineStr">
        <is>
          <t>외부감사대상</t>
        </is>
      </c>
      <c r="M493" s="6" t="inlineStr">
        <is>
          <t>2007-06-25</t>
        </is>
      </c>
      <c r="N493" t="inlineStr">
        <is>
          <t>KRI:10C2012100</t>
        </is>
      </c>
      <c r="O493" t="inlineStr">
        <is>
          <t>산업용 가스 제조업</t>
        </is>
      </c>
      <c r="P493" t="inlineStr">
        <is>
          <t>산업용,의료용가스,화학공업제품 제조,도소매</t>
        </is>
      </c>
      <c r="Q493" t="inlineStr">
        <is>
          <t>울산 남구 고사동 58-5번지</t>
        </is>
      </c>
      <c r="R493" t="inlineStr">
        <is>
          <t>울산 남구 용잠로 255</t>
        </is>
      </c>
    </row>
    <row r="494" ht="19.2" customHeight="1" s="1">
      <c r="A494" t="inlineStr">
        <is>
          <t>NICE:494237</t>
        </is>
      </c>
      <c r="B494" t="inlineStr">
        <is>
          <t>한메가</t>
        </is>
      </c>
      <c r="C494" t="inlineStr">
        <is>
          <t>강주승</t>
        </is>
      </c>
      <c r="D494" t="inlineStr">
        <is>
          <t>02-2027-8592</t>
        </is>
      </c>
      <c r="E494" t="inlineStr">
        <is>
          <t>02-2027-8575</t>
        </is>
      </c>
      <c r="F494" s="3">
        <f>HYPERLINK("http://www.hanmega.com", "http://www.hanmega.com")</f>
        <v/>
      </c>
      <c r="G494" t="inlineStr">
        <is>
          <t>1198192045</t>
        </is>
      </c>
      <c r="H494" t="inlineStr">
        <is>
          <t>1101113516379</t>
        </is>
      </c>
      <c r="I494" t="inlineStr">
        <is>
          <t>대상아님</t>
        </is>
      </c>
      <c r="J494" t="inlineStr">
        <is>
          <t>일반법인</t>
        </is>
      </c>
      <c r="K494" t="inlineStr">
        <is>
          <t>중소기업</t>
        </is>
      </c>
      <c r="L494" t="inlineStr">
        <is>
          <t>외부감사대상</t>
        </is>
      </c>
      <c r="M494" s="6" t="inlineStr">
        <is>
          <t>2006-08-28</t>
        </is>
      </c>
      <c r="N494" t="inlineStr">
        <is>
          <t>KRI:10C2918000</t>
        </is>
      </c>
      <c r="O494" t="inlineStr">
        <is>
          <t>사무용 기계 및 장비 제조업</t>
        </is>
      </c>
      <c r="P494" t="inlineStr">
        <is>
          <t>사무계산,회계용기기,컴퓨터부품 제조,도소매/부동산 임대</t>
        </is>
      </c>
      <c r="Q494" t="inlineStr">
        <is>
          <t>서울 금천구 가산동 448번지 대륭테크노타운3차 2층</t>
        </is>
      </c>
      <c r="R494" t="inlineStr">
        <is>
          <t>서울 금천구 가산디지털2로 115, 2층 (가산동,대륭테크노타운3차)</t>
        </is>
      </c>
    </row>
    <row r="495" ht="19.2" customHeight="1" s="1">
      <c r="A495" t="inlineStr">
        <is>
          <t>NICE:494543</t>
        </is>
      </c>
      <c r="B495" t="inlineStr">
        <is>
          <t>거명파워</t>
        </is>
      </c>
      <c r="C495" t="inlineStr">
        <is>
          <t>박재철</t>
        </is>
      </c>
      <c r="D495" t="inlineStr">
        <is>
          <t>055-345-5500</t>
        </is>
      </c>
      <c r="E495" t="inlineStr">
        <is>
          <t>055-346-1185</t>
        </is>
      </c>
      <c r="F495" s="3">
        <f>HYPERLINK("http://www.gmpowerplant.com", "http://www.gmpowerplant.com")</f>
        <v/>
      </c>
      <c r="G495" t="inlineStr">
        <is>
          <t>6098167850</t>
        </is>
      </c>
      <c r="H495" t="inlineStr">
        <is>
          <t>1942110072950</t>
        </is>
      </c>
      <c r="I495" t="inlineStr">
        <is>
          <t>대상아님</t>
        </is>
      </c>
      <c r="J495" t="inlineStr">
        <is>
          <t>일반법인</t>
        </is>
      </c>
      <c r="K495" t="inlineStr">
        <is>
          <t>중소기업</t>
        </is>
      </c>
      <c r="L495" t="inlineStr">
        <is>
          <t>외부감사대상</t>
        </is>
      </c>
      <c r="M495" s="6" t="inlineStr">
        <is>
          <t>2005-04-11</t>
        </is>
      </c>
      <c r="N495" t="inlineStr">
        <is>
          <t>KRI:10C2911900</t>
        </is>
      </c>
      <c r="O495" t="inlineStr">
        <is>
          <t>기타 기관 및 터빈 제조업</t>
        </is>
      </c>
      <c r="P495" t="inlineStr">
        <is>
          <t>기관,터빈 제조</t>
        </is>
      </c>
      <c r="Q495" t="inlineStr">
        <is>
          <t>경남 김해시 진영읍 본산리 1691번지</t>
        </is>
      </c>
      <c r="R495" t="inlineStr">
        <is>
          <t>경남 김해시 진영읍 본산로269번길 65</t>
        </is>
      </c>
    </row>
    <row r="496" ht="19.2" customHeight="1" s="1">
      <c r="A496" t="inlineStr">
        <is>
          <t>NICE:494642</t>
        </is>
      </c>
      <c r="B496" t="inlineStr">
        <is>
          <t>엘아이지</t>
        </is>
      </c>
      <c r="C496" t="inlineStr">
        <is>
          <t>최용준</t>
        </is>
      </c>
      <c r="D496" t="inlineStr">
        <is>
          <t>02-6900-1900</t>
        </is>
      </c>
      <c r="E496" t="inlineStr">
        <is>
          <t>02-6900-1991</t>
        </is>
      </c>
      <c r="F496" s="3">
        <f>HYPERLINK("http://www.lig.kr", "http://www.lig.kr")</f>
        <v/>
      </c>
      <c r="G496" t="inlineStr">
        <is>
          <t>2208708456</t>
        </is>
      </c>
      <c r="H496" t="inlineStr">
        <is>
          <t>1101113215054</t>
        </is>
      </c>
      <c r="I496" t="inlineStr">
        <is>
          <t>대상아님</t>
        </is>
      </c>
      <c r="J496" t="inlineStr">
        <is>
          <t>일반법인</t>
        </is>
      </c>
      <c r="K496" t="inlineStr">
        <is>
          <t>중견기업</t>
        </is>
      </c>
      <c r="L496" t="inlineStr">
        <is>
          <t>외부감사대상</t>
        </is>
      </c>
      <c r="M496" s="6" t="inlineStr">
        <is>
          <t>2005-04-25</t>
        </is>
      </c>
      <c r="N496" t="inlineStr">
        <is>
          <t>KRI:10K6499200</t>
        </is>
      </c>
      <c r="O496" t="inlineStr">
        <is>
          <t>지주회사</t>
        </is>
      </c>
      <c r="P496" t="inlineStr">
        <is>
          <t>지주회사</t>
        </is>
      </c>
      <c r="Q496" t="inlineStr">
        <is>
          <t>서울 송파구 신천동 29번지 롯데월드타워 35층</t>
        </is>
      </c>
      <c r="R496" t="inlineStr">
        <is>
          <t>서울 송파구 올림픽로 300, 35층 (신천동,롯데월드타워)</t>
        </is>
      </c>
    </row>
    <row r="497" ht="19.2" customHeight="1" s="1">
      <c r="A497" t="inlineStr">
        <is>
          <t>NICE:494654</t>
        </is>
      </c>
      <c r="B497" t="inlineStr">
        <is>
          <t>도쿄일렉트론코리아</t>
        </is>
      </c>
      <c r="C497" t="inlineStr">
        <is>
          <t>노태우</t>
        </is>
      </c>
      <c r="D497" t="inlineStr">
        <is>
          <t>031-260-5000</t>
        </is>
      </c>
      <c r="E497" t="inlineStr">
        <is>
          <t>031-831-6109</t>
        </is>
      </c>
      <c r="F497" s="3">
        <f>HYPERLINK("http://www.tel.com/kr.html", "http://www.tel.com/kr.html")</f>
        <v/>
      </c>
      <c r="G497" t="inlineStr">
        <is>
          <t>1358184038</t>
        </is>
      </c>
      <c r="H497" t="inlineStr">
        <is>
          <t>1345110098340</t>
        </is>
      </c>
      <c r="I497" t="inlineStr">
        <is>
          <t>대상아님</t>
        </is>
      </c>
      <c r="J497" t="inlineStr">
        <is>
          <t>일반법인</t>
        </is>
      </c>
      <c r="K497" t="inlineStr">
        <is>
          <t>중견기업</t>
        </is>
      </c>
      <c r="L497" t="inlineStr">
        <is>
          <t>외부감사대상</t>
        </is>
      </c>
      <c r="M497" s="6" t="inlineStr">
        <is>
          <t>2006-02-14</t>
        </is>
      </c>
      <c r="N497" t="inlineStr">
        <is>
          <t>KRI:10C2927100</t>
        </is>
      </c>
      <c r="O497" t="inlineStr">
        <is>
          <t>반도체 제조용 기계 제조업</t>
        </is>
      </c>
      <c r="P497" t="inlineStr">
        <is>
          <t>반도체,액정제조설비 제조/무역/연구,개발,반도체제조설비관련</t>
        </is>
      </c>
      <c r="Q497" t="inlineStr">
        <is>
          <t>경기 화성시 동탄구 석우동 24-9번지</t>
        </is>
      </c>
      <c r="R497" t="inlineStr">
        <is>
          <t>경기 화성시 동탄구 삼성1로1길 56</t>
        </is>
      </c>
    </row>
    <row r="498" ht="19.2" customHeight="1" s="1">
      <c r="A498" t="inlineStr">
        <is>
          <t>NICE:495903</t>
        </is>
      </c>
      <c r="B498" t="inlineStr">
        <is>
          <t>한진부산컨테이너터미널</t>
        </is>
      </c>
      <c r="C498" t="inlineStr">
        <is>
          <t>김규경</t>
        </is>
      </c>
      <c r="D498" t="inlineStr">
        <is>
          <t>051-220-2138</t>
        </is>
      </c>
      <c r="E498" t="inlineStr">
        <is>
          <t>051-220-2189</t>
        </is>
      </c>
      <c r="F498" s="3">
        <f>HYPERLINK("http://www.hjnc.co.kr", "http://www.hjnc.co.kr")</f>
        <v/>
      </c>
      <c r="G498" t="inlineStr">
        <is>
          <t>6098179619</t>
        </is>
      </c>
      <c r="H498" t="inlineStr">
        <is>
          <t>1941110012875</t>
        </is>
      </c>
      <c r="I498" t="inlineStr">
        <is>
          <t>대상아님</t>
        </is>
      </c>
      <c r="J498" t="inlineStr">
        <is>
          <t>일반법인</t>
        </is>
      </c>
      <c r="K498" t="inlineStr">
        <is>
          <t>대기업</t>
        </is>
      </c>
      <c r="L498" t="inlineStr">
        <is>
          <t>외부감사대상</t>
        </is>
      </c>
      <c r="M498" s="6" t="inlineStr">
        <is>
          <t>2007-09-05</t>
        </is>
      </c>
      <c r="N498" t="inlineStr">
        <is>
          <t>KRI:10H5292100</t>
        </is>
      </c>
      <c r="O498" t="inlineStr">
        <is>
          <t>항구 및 기타 해상 터미널 운영업</t>
        </is>
      </c>
      <c r="P498" t="inlineStr">
        <is>
          <t>항만시설 관리,운영,항만 하역,외항화물 운송</t>
        </is>
      </c>
      <c r="Q498" t="inlineStr">
        <is>
          <t>경남 창원시 진해구 안골동 산118번지</t>
        </is>
      </c>
      <c r="R498" t="inlineStr">
        <is>
          <t>경남 창원시 진해구 신항로 433</t>
        </is>
      </c>
    </row>
    <row r="499" ht="19.2" customHeight="1" s="1">
      <c r="A499" t="inlineStr">
        <is>
          <t>NICE:499333</t>
        </is>
      </c>
      <c r="B499" t="inlineStr">
        <is>
          <t>무브인터렉티브</t>
        </is>
      </c>
      <c r="C499" t="inlineStr">
        <is>
          <t>김동성</t>
        </is>
      </c>
      <c r="D499" t="inlineStr">
        <is>
          <t>1566-6932</t>
        </is>
      </c>
      <c r="E499" t="inlineStr">
        <is>
          <t>0507-555-0789</t>
        </is>
      </c>
      <c r="F499" s="3">
        <f>HYPERLINK("http://www.moveint.io", "http://www.moveint.io")</f>
        <v/>
      </c>
      <c r="G499" t="inlineStr">
        <is>
          <t>3148148576</t>
        </is>
      </c>
      <c r="H499" t="inlineStr">
        <is>
          <t>1601110102246</t>
        </is>
      </c>
      <c r="I499" t="inlineStr">
        <is>
          <t>대상아님</t>
        </is>
      </c>
      <c r="J499" t="inlineStr">
        <is>
          <t>일반법인</t>
        </is>
      </c>
      <c r="K499" t="inlineStr">
        <is>
          <t>중소기업</t>
        </is>
      </c>
      <c r="L499" t="inlineStr">
        <is>
          <t>외부감사대상</t>
        </is>
      </c>
      <c r="M499" s="6" t="inlineStr">
        <is>
          <t>2002-02-25</t>
        </is>
      </c>
      <c r="N499" t="inlineStr">
        <is>
          <t>KRI:10J5821100</t>
        </is>
      </c>
      <c r="O499" t="inlineStr">
        <is>
          <t>유선 온라인 게임 소프트웨어 개발 및 공급업</t>
        </is>
      </c>
      <c r="P499" t="inlineStr">
        <is>
          <t>유선온라인,모바일게임소프트웨어 개발,공급,문화컨텐츠 제작/전자상거래</t>
        </is>
      </c>
      <c r="Q499" t="inlineStr">
        <is>
          <t>서울 마포구 상암동 1602번지 서울경제진흥원 2층 디-17호</t>
        </is>
      </c>
      <c r="R499" t="inlineStr">
        <is>
          <t>서울 마포구 월드컵북로 400, 디-17호 (상암동,서울경제진흥원 2층)</t>
        </is>
      </c>
    </row>
    <row r="500" ht="19.2" customHeight="1" s="1">
      <c r="A500" t="inlineStr">
        <is>
          <t>NICE:499426</t>
        </is>
      </c>
      <c r="B500" t="inlineStr">
        <is>
          <t>오토스윙</t>
        </is>
      </c>
      <c r="C500" t="inlineStr">
        <is>
          <t>허문영</t>
        </is>
      </c>
      <c r="D500" t="inlineStr">
        <is>
          <t>02-862-8000</t>
        </is>
      </c>
      <c r="E500" t="inlineStr">
        <is>
          <t>02-861-2133</t>
        </is>
      </c>
      <c r="F500" s="3">
        <f>HYPERLINK("http://www.otos.co.kr", "http://www.otos.co.kr")</f>
        <v/>
      </c>
      <c r="G500" t="inlineStr">
        <is>
          <t>1198183658</t>
        </is>
      </c>
      <c r="H500" t="inlineStr">
        <is>
          <t>1101113306176</t>
        </is>
      </c>
      <c r="I500" t="inlineStr">
        <is>
          <t>대상아님</t>
        </is>
      </c>
      <c r="J500" t="inlineStr">
        <is>
          <t>일반법인</t>
        </is>
      </c>
      <c r="K500" t="inlineStr">
        <is>
          <t>중소기업</t>
        </is>
      </c>
      <c r="L500" t="inlineStr">
        <is>
          <t>외부감사대상</t>
        </is>
      </c>
      <c r="M500" s="6" t="inlineStr">
        <is>
          <t>2005-09-14</t>
        </is>
      </c>
      <c r="N500" t="inlineStr">
        <is>
          <t>KRI:10C2929900</t>
        </is>
      </c>
      <c r="O500" t="inlineStr">
        <is>
          <t>그 외 기타 특수목적용 기계 제조업</t>
        </is>
      </c>
      <c r="P500" t="inlineStr">
        <is>
          <t>자동전자용접면,산업용 냉장,냉동장비,공기조화장치,송풍기,배기장치 ,기체여과기,액체여과기 제조</t>
        </is>
      </c>
      <c r="Q500" t="inlineStr">
        <is>
          <t>서울 금천구 가산동 234-12번지</t>
        </is>
      </c>
      <c r="R500" t="inlineStr">
        <is>
          <t>서울 금천구 두산로11길 49</t>
        </is>
      </c>
    </row>
    <row r="501" ht="19.2" customHeight="1" s="1">
      <c r="A501" t="inlineStr">
        <is>
          <t>NICE:499437</t>
        </is>
      </c>
      <c r="B501" t="inlineStr">
        <is>
          <t>새한엘리베이터</t>
        </is>
      </c>
      <c r="C501" t="inlineStr">
        <is>
          <t>손영선</t>
        </is>
      </c>
      <c r="D501" t="inlineStr">
        <is>
          <t>02-2104-0482</t>
        </is>
      </c>
      <c r="E501" t="inlineStr">
        <is>
          <t>02-2104-0488</t>
        </is>
      </c>
      <c r="F501" s="3">
        <f>HYPERLINK("http://www.saehanel.co.kr", "http://www.saehanel.co.kr")</f>
        <v/>
      </c>
      <c r="G501" t="inlineStr">
        <is>
          <t>1138189256</t>
        </is>
      </c>
      <c r="H501" t="inlineStr">
        <is>
          <t>1101112943945</t>
        </is>
      </c>
      <c r="I501" t="inlineStr">
        <is>
          <t>대상아님</t>
        </is>
      </c>
      <c r="J501" t="inlineStr">
        <is>
          <t>일반법인</t>
        </is>
      </c>
      <c r="K501" t="inlineStr">
        <is>
          <t>중소기업</t>
        </is>
      </c>
      <c r="L501" t="inlineStr">
        <is>
          <t>외부감사대상</t>
        </is>
      </c>
      <c r="M501" s="6" t="inlineStr">
        <is>
          <t>2004-01-30</t>
        </is>
      </c>
      <c r="N501" t="inlineStr">
        <is>
          <t>KRI:10C2916200</t>
        </is>
      </c>
      <c r="O501" t="inlineStr">
        <is>
          <t>승강기 제조업</t>
        </is>
      </c>
      <c r="P501" t="inlineStr">
        <is>
          <t>엘리베이터,에스컬레이터 제조,개발,설계/승강기설치공사,전기공사/승강기 유지보수</t>
        </is>
      </c>
      <c r="Q501" t="inlineStr">
        <is>
          <t>서울 금천구 가산동 345-30번지 남성프라자 1110호</t>
        </is>
      </c>
      <c r="R501" t="inlineStr">
        <is>
          <t>서울 금천구 디지털로 130, 1110호 (가산동,남성프라자)</t>
        </is>
      </c>
    </row>
    <row r="502" ht="19.2" customHeight="1" s="1">
      <c r="A502" t="inlineStr">
        <is>
          <t>NICE:500429</t>
        </is>
      </c>
      <c r="B502" t="inlineStr">
        <is>
          <t>삼라</t>
        </is>
      </c>
      <c r="C502" t="inlineStr">
        <is>
          <t>조유선</t>
        </is>
      </c>
      <c r="D502" t="inlineStr">
        <is>
          <t>02-6940-9500</t>
        </is>
      </c>
      <c r="E502" t="inlineStr">
        <is>
          <t>02-6940-9508</t>
        </is>
      </c>
      <c r="F502" s="3">
        <f>HYPERLINK("http://www.smsamra.co.kr", "http://www.smsamra.co.kr")</f>
        <v/>
      </c>
      <c r="G502" t="inlineStr">
        <is>
          <t>2148106859</t>
        </is>
      </c>
      <c r="H502" t="inlineStr">
        <is>
          <t>1101110002834</t>
        </is>
      </c>
      <c r="I502" t="inlineStr">
        <is>
          <t>대상아님</t>
        </is>
      </c>
      <c r="J502" t="inlineStr">
        <is>
          <t>일반법인</t>
        </is>
      </c>
      <c r="K502" t="inlineStr">
        <is>
          <t>대기업</t>
        </is>
      </c>
      <c r="L502" t="inlineStr">
        <is>
          <t>외부감사대상</t>
        </is>
      </c>
      <c r="M502" s="6" t="inlineStr">
        <is>
          <t>1969-08-26</t>
        </is>
      </c>
      <c r="N502" t="inlineStr">
        <is>
          <t>KRI:10L6812200</t>
        </is>
      </c>
      <c r="O502" t="inlineStr">
        <is>
          <t>비주거용 건물 개발 및 공급업</t>
        </is>
      </c>
      <c r="P502" t="inlineStr">
        <is>
          <t>부동산 개발,임대,주차장관리/토목공사,건축공사,철강재설치공사/주식소유/투자,경영컨설팅</t>
        </is>
      </c>
      <c r="Q502" t="inlineStr">
        <is>
          <t>경기 이천시 창전동 454-13번지</t>
        </is>
      </c>
      <c r="R502" t="inlineStr">
        <is>
          <t>경기 이천시 애련정로 126</t>
        </is>
      </c>
    </row>
    <row r="503" ht="19.2" customHeight="1" s="1">
      <c r="A503" t="inlineStr">
        <is>
          <t>NICE:500496</t>
        </is>
      </c>
      <c r="B503" t="inlineStr">
        <is>
          <t>풍림산업</t>
        </is>
      </c>
      <c r="C503" t="inlineStr">
        <is>
          <t>지우종</t>
        </is>
      </c>
      <c r="D503" t="inlineStr">
        <is>
          <t>02-528-6200</t>
        </is>
      </c>
      <c r="E503" t="inlineStr">
        <is>
          <t>02-528-6250</t>
        </is>
      </c>
      <c r="F503" s="3">
        <f>HYPERLINK("http://www.poonglim.co.kr", "http://www.poonglim.co.kr")</f>
        <v/>
      </c>
      <c r="G503" t="inlineStr">
        <is>
          <t>2208110116</t>
        </is>
      </c>
      <c r="H503" t="inlineStr">
        <is>
          <t>1101110031908</t>
        </is>
      </c>
      <c r="I503" t="inlineStr">
        <is>
          <t>대상아님</t>
        </is>
      </c>
      <c r="J503" t="inlineStr">
        <is>
          <t>일반법인</t>
        </is>
      </c>
      <c r="K503" t="inlineStr">
        <is>
          <t>중견기업</t>
        </is>
      </c>
      <c r="L503" t="inlineStr">
        <is>
          <t>외부감사대상</t>
        </is>
      </c>
      <c r="M503" s="6" t="inlineStr">
        <is>
          <t>1954-10-05</t>
        </is>
      </c>
      <c r="N503" t="inlineStr">
        <is>
          <t>KRI:10F4111200</t>
        </is>
      </c>
      <c r="O503" t="inlineStr">
        <is>
          <t>아파트 건설업</t>
        </is>
      </c>
      <c r="P503" t="inlineStr">
        <is>
          <t>일반건축공사,토사석채취,일반토목공사,포장공사해외건설,철강재설치공사,소방공사,전기공사,가스시설시공사,정보통신공사/무역</t>
        </is>
      </c>
      <c r="Q503" t="inlineStr">
        <is>
          <t>서울 강남구 삼성동 157-8번지</t>
        </is>
      </c>
      <c r="R503" t="inlineStr">
        <is>
          <t>서울 강남구 삼성로96길 6</t>
        </is>
      </c>
    </row>
    <row r="504" ht="19.2" customHeight="1" s="1">
      <c r="A504" t="inlineStr">
        <is>
          <t>NICE:500720</t>
        </is>
      </c>
      <c r="B504" t="inlineStr">
        <is>
          <t>경남기업</t>
        </is>
      </c>
      <c r="C504" t="inlineStr">
        <is>
          <t>이기동</t>
        </is>
      </c>
      <c r="D504" t="inlineStr">
        <is>
          <t>041-533-1297</t>
        </is>
      </c>
      <c r="E504" t="inlineStr">
        <is>
          <t>041-533-1298</t>
        </is>
      </c>
      <c r="F504" s="3">
        <f>HYPERLINK("http://www.kne.co.kr", "http://www.kne.co.kr")</f>
        <v/>
      </c>
      <c r="G504" t="inlineStr">
        <is>
          <t>1168105522</t>
        </is>
      </c>
      <c r="H504" t="inlineStr">
        <is>
          <t>1101110008262</t>
        </is>
      </c>
      <c r="I504" t="inlineStr">
        <is>
          <t>제3시장</t>
        </is>
      </c>
      <c r="J504" t="inlineStr">
        <is>
          <t>일반법인</t>
        </is>
      </c>
      <c r="K504" t="inlineStr">
        <is>
          <t>대기업</t>
        </is>
      </c>
      <c r="L504" t="inlineStr">
        <is>
          <t>외부감사대상</t>
        </is>
      </c>
      <c r="M504" s="6" t="inlineStr">
        <is>
          <t>1951-08-29</t>
        </is>
      </c>
      <c r="N504" t="inlineStr">
        <is>
          <t>KRI:10F4111200</t>
        </is>
      </c>
      <c r="O504" t="inlineStr">
        <is>
          <t>아파트 건설업</t>
        </is>
      </c>
      <c r="P504" t="inlineStr">
        <is>
          <t>아파트공사,토목공사,건축공사,주택신축판매,전기통신공사,상하수도설비공사,냉난방공사</t>
        </is>
      </c>
      <c r="Q504" t="inlineStr">
        <is>
          <t>충남 아산시 배방읍 공수리 1738번지 상가 101호</t>
        </is>
      </c>
      <c r="R504" t="inlineStr">
        <is>
          <t>충남 아산시 배방읍 모산로 38-11, 상가 101호</t>
        </is>
      </c>
    </row>
    <row r="505">
      <c r="A505" t="inlineStr">
        <is>
          <t>NICE:502918</t>
        </is>
      </c>
      <c r="B505" t="inlineStr">
        <is>
          <t>삼광에프엔씨</t>
        </is>
      </c>
      <c r="C505" t="inlineStr">
        <is>
          <t>박재필</t>
        </is>
      </c>
      <c r="D505" t="inlineStr">
        <is>
          <t>063-451-4711</t>
        </is>
      </c>
      <c r="E505" t="inlineStr">
        <is>
          <t>063-451-4710</t>
        </is>
      </c>
      <c r="G505" t="inlineStr">
        <is>
          <t>1288155156</t>
        </is>
      </c>
      <c r="H505" t="inlineStr">
        <is>
          <t>1159110048366</t>
        </is>
      </c>
      <c r="I505" t="inlineStr">
        <is>
          <t>대상아님</t>
        </is>
      </c>
      <c r="J505" t="inlineStr">
        <is>
          <t>일반법인</t>
        </is>
      </c>
      <c r="K505" t="inlineStr">
        <is>
          <t>중소기업</t>
        </is>
      </c>
      <c r="L505" t="inlineStr">
        <is>
          <t>외부감사대상</t>
        </is>
      </c>
      <c r="M505" s="6" t="inlineStr">
        <is>
          <t>2001-01-09</t>
        </is>
      </c>
      <c r="N505" t="inlineStr">
        <is>
          <t>KRI:10C1080200</t>
        </is>
      </c>
      <c r="O505" t="inlineStr">
        <is>
          <t>단미 사료 및 기타 사료 제조업</t>
        </is>
      </c>
      <c r="P505" t="inlineStr">
        <is>
          <t>단미사료,보조사료 제조</t>
        </is>
      </c>
      <c r="Q505" t="inlineStr">
        <is>
          <t>전북 군산시 서수면 마룡리 93-34번지</t>
        </is>
      </c>
      <c r="R505" t="inlineStr">
        <is>
          <t>전북 군산시 서수면 상장곤윗길 30</t>
        </is>
      </c>
    </row>
    <row r="506">
      <c r="A506" t="inlineStr">
        <is>
          <t>NICE:503102</t>
        </is>
      </c>
      <c r="B506" t="inlineStr">
        <is>
          <t>트러스</t>
        </is>
      </c>
      <c r="C506" t="inlineStr">
        <is>
          <t>문호섭</t>
        </is>
      </c>
      <c r="D506" t="inlineStr">
        <is>
          <t>032-563-5980</t>
        </is>
      </c>
      <c r="E506" t="inlineStr">
        <is>
          <t>032-563-5981</t>
        </is>
      </c>
      <c r="G506" t="inlineStr">
        <is>
          <t>1368116076</t>
        </is>
      </c>
      <c r="H506" t="inlineStr">
        <is>
          <t>1201110124678</t>
        </is>
      </c>
      <c r="I506" t="inlineStr">
        <is>
          <t>대상아님</t>
        </is>
      </c>
      <c r="J506" t="inlineStr">
        <is>
          <t>일반법인</t>
        </is>
      </c>
      <c r="K506" t="inlineStr">
        <is>
          <t>중소기업</t>
        </is>
      </c>
      <c r="L506" t="inlineStr">
        <is>
          <t>외부감사대상</t>
        </is>
      </c>
      <c r="M506" s="6" t="inlineStr">
        <is>
          <t>1995-10-17</t>
        </is>
      </c>
      <c r="N506" t="inlineStr">
        <is>
          <t>KRI:10C2229100</t>
        </is>
      </c>
      <c r="O506" t="inlineStr">
        <is>
          <t>플라스틱 접착처리 제품 제조업</t>
        </is>
      </c>
      <c r="P506" t="inlineStr">
        <is>
          <t>문구용 테이프,점착테이프 제조</t>
        </is>
      </c>
      <c r="Q506" t="inlineStr">
        <is>
          <t>인천 서구 오류동 1611-1번지</t>
        </is>
      </c>
      <c r="R506" t="inlineStr">
        <is>
          <t>인천 서구 마중로 7</t>
        </is>
      </c>
    </row>
    <row r="507">
      <c r="A507" t="inlineStr">
        <is>
          <t>NICE:503841</t>
        </is>
      </c>
      <c r="B507" t="inlineStr">
        <is>
          <t>평창산업</t>
        </is>
      </c>
      <c r="C507" t="inlineStr">
        <is>
          <t>오병호</t>
        </is>
      </c>
      <c r="D507" t="inlineStr">
        <is>
          <t>031-989-7025</t>
        </is>
      </c>
      <c r="E507" t="inlineStr">
        <is>
          <t>031-981-4910</t>
        </is>
      </c>
      <c r="G507" t="inlineStr">
        <is>
          <t>1378148377</t>
        </is>
      </c>
      <c r="H507" t="inlineStr">
        <is>
          <t>1244110056483</t>
        </is>
      </c>
      <c r="I507" t="inlineStr">
        <is>
          <t>대상아님</t>
        </is>
      </c>
      <c r="J507" t="inlineStr">
        <is>
          <t>일반법인</t>
        </is>
      </c>
      <c r="K507" t="inlineStr">
        <is>
          <t>중소기업</t>
        </is>
      </c>
      <c r="L507" t="inlineStr">
        <is>
          <t>외부감사대상</t>
        </is>
      </c>
      <c r="M507" s="6" t="inlineStr">
        <is>
          <t>2002-09-17</t>
        </is>
      </c>
      <c r="N507" t="inlineStr">
        <is>
          <t>KRI:10E3831200</t>
        </is>
      </c>
      <c r="O507" t="inlineStr">
        <is>
          <t>금속류 원료 재생업</t>
        </is>
      </c>
      <c r="P507" t="inlineStr">
        <is>
          <t>산업폐기물(비철금속 중 동) 재활용,비철금속 정련</t>
        </is>
      </c>
      <c r="Q507" t="inlineStr">
        <is>
          <t>경기 김포시 하성면 원산리 122-7번지</t>
        </is>
      </c>
      <c r="R507" t="inlineStr">
        <is>
          <t>경기 김포시 하성면 애기봉로774번길 42</t>
        </is>
      </c>
    </row>
    <row r="508" ht="19.2" customHeight="1" s="1">
      <c r="A508" t="inlineStr">
        <is>
          <t>NICE:511960</t>
        </is>
      </c>
      <c r="B508" t="inlineStr">
        <is>
          <t>영남스퀘어</t>
        </is>
      </c>
      <c r="C508" t="inlineStr">
        <is>
          <t>장재모</t>
        </is>
      </c>
      <c r="D508" t="inlineStr">
        <is>
          <t>02-540-2400</t>
        </is>
      </c>
      <c r="E508" t="inlineStr">
        <is>
          <t>02-540-2366</t>
        </is>
      </c>
      <c r="F508" s="3">
        <f>HYPERLINK("http://www.youngnam.co.kr", "http://www.youngnam.co.kr")</f>
        <v/>
      </c>
      <c r="G508" t="inlineStr">
        <is>
          <t>2118145912</t>
        </is>
      </c>
      <c r="H508" t="inlineStr">
        <is>
          <t>1101110176134</t>
        </is>
      </c>
      <c r="I508" t="inlineStr">
        <is>
          <t>대상아님</t>
        </is>
      </c>
      <c r="J508" t="inlineStr">
        <is>
          <t>일반법인</t>
        </is>
      </c>
      <c r="K508" t="inlineStr">
        <is>
          <t>중소기업</t>
        </is>
      </c>
      <c r="L508" t="inlineStr">
        <is>
          <t>외부감사대상</t>
        </is>
      </c>
      <c r="M508" s="6" t="inlineStr">
        <is>
          <t>1963-03-01</t>
        </is>
      </c>
      <c r="N508" t="inlineStr">
        <is>
          <t>KRI:10F4232100</t>
        </is>
      </c>
      <c r="O508" t="inlineStr">
        <is>
          <t>일반 통신 공사업</t>
        </is>
      </c>
      <c r="P508" t="inlineStr">
        <is>
          <t>정보통신공사,신재생에너지(태양광)공사,전기공사,소방(기계)설비공사/정보통신,컴퓨터주변기기 제조,도소매</t>
        </is>
      </c>
      <c r="Q508" t="inlineStr">
        <is>
          <t>서울 강남구 논현동 238-13번지</t>
        </is>
      </c>
      <c r="R508" t="inlineStr">
        <is>
          <t>서울 강남구 학동로 314</t>
        </is>
      </c>
    </row>
    <row r="509" ht="19.2" customHeight="1" s="1">
      <c r="A509" t="inlineStr">
        <is>
          <t>NICE:513130</t>
        </is>
      </c>
      <c r="B509" t="inlineStr">
        <is>
          <t>다올이앤씨</t>
        </is>
      </c>
      <c r="C509" t="inlineStr">
        <is>
          <t>손광수</t>
        </is>
      </c>
      <c r="D509" t="inlineStr">
        <is>
          <t>02-553-8200</t>
        </is>
      </c>
      <c r="E509" t="inlineStr">
        <is>
          <t>02-553-8255</t>
        </is>
      </c>
      <c r="F509" s="3">
        <f>HYPERLINK("http://www.daorenc.com", "http://www.daorenc.com")</f>
        <v/>
      </c>
      <c r="G509" t="inlineStr">
        <is>
          <t>2298105191</t>
        </is>
      </c>
      <c r="H509" t="inlineStr">
        <is>
          <t>1101110325054</t>
        </is>
      </c>
      <c r="I509" t="inlineStr">
        <is>
          <t>대상아님</t>
        </is>
      </c>
      <c r="J509" t="inlineStr">
        <is>
          <t>일반법인</t>
        </is>
      </c>
      <c r="K509" t="inlineStr">
        <is>
          <t>중소기업</t>
        </is>
      </c>
      <c r="L509" t="inlineStr">
        <is>
          <t>외부감사대상</t>
        </is>
      </c>
      <c r="M509" s="6" t="inlineStr">
        <is>
          <t>1982-08-10</t>
        </is>
      </c>
      <c r="N509" t="inlineStr">
        <is>
          <t>KRI:10F4213200</t>
        </is>
      </c>
      <c r="O509" t="inlineStr">
        <is>
          <t>콘크리트 및 철근 공사업</t>
        </is>
      </c>
      <c r="P509" t="inlineStr">
        <is>
          <t>철근콘크리트전문건설용역,강구조물공사/유압기기 제조/건축자재,장비대여 도소매/해상화물운송/부동산 임대,개발,공급</t>
        </is>
      </c>
      <c r="Q509" t="inlineStr">
        <is>
          <t>서울 강동구 상일동 502-2번지 다올빌딩</t>
        </is>
      </c>
      <c r="R509" t="inlineStr">
        <is>
          <t>서울 강동구 상일로6길 51 (상일동,다올빌딩)</t>
        </is>
      </c>
    </row>
    <row r="510" ht="19.2" customHeight="1" s="1">
      <c r="A510" t="inlineStr">
        <is>
          <t>NICE:514560</t>
        </is>
      </c>
      <c r="B510" t="inlineStr">
        <is>
          <t>두원</t>
        </is>
      </c>
      <c r="C510" t="inlineStr">
        <is>
          <t>김나영</t>
        </is>
      </c>
      <c r="D510" t="inlineStr">
        <is>
          <t>041-536-1031</t>
        </is>
      </c>
      <c r="E510" t="inlineStr">
        <is>
          <t>041-562-4380</t>
        </is>
      </c>
      <c r="F510" s="3">
        <f>HYPERLINK("http://www.doowoncorp.com", "http://www.doowoncorp.com")</f>
        <v/>
      </c>
      <c r="G510" t="inlineStr">
        <is>
          <t>2118180957</t>
        </is>
      </c>
      <c r="H510" t="inlineStr">
        <is>
          <t>1101110345672</t>
        </is>
      </c>
      <c r="I510" t="inlineStr">
        <is>
          <t>대상아님</t>
        </is>
      </c>
      <c r="J510" t="inlineStr">
        <is>
          <t>일반법인</t>
        </is>
      </c>
      <c r="K510" t="inlineStr">
        <is>
          <t>중견기업</t>
        </is>
      </c>
      <c r="L510" t="inlineStr">
        <is>
          <t>외부감사대상</t>
        </is>
      </c>
      <c r="M510" s="6" t="inlineStr">
        <is>
          <t>1983-03-11</t>
        </is>
      </c>
      <c r="N510" t="inlineStr">
        <is>
          <t>KRI:10G4521900</t>
        </is>
      </c>
      <c r="O510" t="inlineStr">
        <is>
          <t>기타 자동차 신품 부품 및 내장품 판매업</t>
        </is>
      </c>
      <c r="P510" t="inlineStr">
        <is>
          <t>자동차용연료분사장치,연료분사장치,냉방장치 판매,제조/부동산 임대</t>
        </is>
      </c>
      <c r="Q510" t="inlineStr">
        <is>
          <t>충남 아산시 음봉면 삼거리 91-11번지</t>
        </is>
      </c>
      <c r="R510" t="inlineStr">
        <is>
          <t>충남 아산시 음봉면 음봉면로 90</t>
        </is>
      </c>
    </row>
    <row r="511" ht="19.2" customHeight="1" s="1">
      <c r="A511" t="inlineStr">
        <is>
          <t>NICE:515175</t>
        </is>
      </c>
      <c r="B511" t="inlineStr">
        <is>
          <t>금강주택</t>
        </is>
      </c>
      <c r="C511" t="inlineStr">
        <is>
          <t>최상순</t>
        </is>
      </c>
      <c r="D511" t="inlineStr">
        <is>
          <t>02-3468-7740</t>
        </is>
      </c>
      <c r="E511" t="inlineStr">
        <is>
          <t>02-3468-7716</t>
        </is>
      </c>
      <c r="F511" s="3">
        <f>HYPERLINK("http://www.kkapt.co.kr", "http://www.kkapt.co.kr")</f>
        <v/>
      </c>
      <c r="G511" t="inlineStr">
        <is>
          <t>2118181882</t>
        </is>
      </c>
      <c r="H511" t="inlineStr">
        <is>
          <t>1101110313314</t>
        </is>
      </c>
      <c r="I511" t="inlineStr">
        <is>
          <t>대상아님</t>
        </is>
      </c>
      <c r="J511" t="inlineStr">
        <is>
          <t>일반법인</t>
        </is>
      </c>
      <c r="K511" t="inlineStr">
        <is>
          <t>중견기업</t>
        </is>
      </c>
      <c r="L511" t="inlineStr">
        <is>
          <t>외부감사대상</t>
        </is>
      </c>
      <c r="M511" s="6" t="inlineStr">
        <is>
          <t>1982-02-18</t>
        </is>
      </c>
      <c r="N511" t="inlineStr">
        <is>
          <t>KRI:10F4111200</t>
        </is>
      </c>
      <c r="O511" t="inlineStr">
        <is>
          <t>아파트 건설업</t>
        </is>
      </c>
      <c r="P511" t="inlineStr">
        <is>
          <t>건축공사(아파트),토목공사,주택신축판매공사,해외건설공사,조경공사,포장공사,전기공사/부동산 임대,개발</t>
        </is>
      </c>
      <c r="Q511" t="inlineStr">
        <is>
          <t>서울 강남구 대치동 889-13번지 금강타워</t>
        </is>
      </c>
      <c r="R511" t="inlineStr">
        <is>
          <t>서울 강남구 테헤란로 410 (대치동,금강타워)</t>
        </is>
      </c>
    </row>
    <row r="512" ht="19.2" customHeight="1" s="1">
      <c r="A512" t="inlineStr">
        <is>
          <t>NICE:516090</t>
        </is>
      </c>
      <c r="B512" t="inlineStr">
        <is>
          <t>보문개발</t>
        </is>
      </c>
      <c r="C512" t="inlineStr">
        <is>
          <t>황성욱</t>
        </is>
      </c>
      <c r="D512" t="inlineStr">
        <is>
          <t>054-778-8900</t>
        </is>
      </c>
      <c r="E512" t="inlineStr">
        <is>
          <t>054-748-8104</t>
        </is>
      </c>
      <c r="F512" s="3">
        <f>HYPERLINK("http://www.kyongjugolf.co.kr", "http://www.kyongjugolf.co.kr")</f>
        <v/>
      </c>
      <c r="G512" t="inlineStr">
        <is>
          <t>5058104835</t>
        </is>
      </c>
      <c r="H512" t="inlineStr">
        <is>
          <t>1712110004207</t>
        </is>
      </c>
      <c r="I512" t="inlineStr">
        <is>
          <t>대상아님</t>
        </is>
      </c>
      <c r="J512" t="inlineStr">
        <is>
          <t>일반법인</t>
        </is>
      </c>
      <c r="K512" t="inlineStr">
        <is>
          <t>중소기업</t>
        </is>
      </c>
      <c r="L512" t="inlineStr">
        <is>
          <t>외부감사대상</t>
        </is>
      </c>
      <c r="M512" s="6" t="inlineStr">
        <is>
          <t>1989-12-22</t>
        </is>
      </c>
      <c r="N512" t="inlineStr">
        <is>
          <t>KRI:10R9112100</t>
        </is>
      </c>
      <c r="O512" t="inlineStr">
        <is>
          <t>골프장 운영업</t>
        </is>
      </c>
      <c r="P512" t="inlineStr">
        <is>
          <t>골프장,골프연습장 운영/담배 소매/부동산 임대</t>
        </is>
      </c>
      <c r="Q512" t="inlineStr">
        <is>
          <t>경북 경주시 북군동 375-1번지</t>
        </is>
      </c>
      <c r="R512" t="inlineStr">
        <is>
          <t>경북 경주시 보문로 182-98</t>
        </is>
      </c>
    </row>
    <row r="513" ht="19.2" customHeight="1" s="1">
      <c r="A513" t="inlineStr">
        <is>
          <t>NICE:516924</t>
        </is>
      </c>
      <c r="B513" t="inlineStr">
        <is>
          <t>사조시스템즈</t>
        </is>
      </c>
      <c r="C513" t="inlineStr">
        <is>
          <t>이인우</t>
        </is>
      </c>
      <c r="D513" t="inlineStr">
        <is>
          <t>02-3149-5700</t>
        </is>
      </c>
      <c r="E513" t="inlineStr">
        <is>
          <t>02-365-7226</t>
        </is>
      </c>
      <c r="F513" s="3">
        <f>HYPERLINK("http://sajosys.com", "http://sajosys.com")</f>
        <v/>
      </c>
      <c r="G513" t="inlineStr">
        <is>
          <t>2128121816</t>
        </is>
      </c>
      <c r="H513" t="inlineStr">
        <is>
          <t>1101110335178</t>
        </is>
      </c>
      <c r="I513" t="inlineStr">
        <is>
          <t>대상아님</t>
        </is>
      </c>
      <c r="J513" t="inlineStr">
        <is>
          <t>일반법인</t>
        </is>
      </c>
      <c r="K513" t="inlineStr">
        <is>
          <t>중견기업</t>
        </is>
      </c>
      <c r="L513" t="inlineStr">
        <is>
          <t>외부감사대상</t>
        </is>
      </c>
      <c r="M513" s="6" t="inlineStr">
        <is>
          <t>1982-10-14</t>
        </is>
      </c>
      <c r="N513" t="inlineStr">
        <is>
          <t>KRI:10L6811200</t>
        </is>
      </c>
      <c r="O513" t="inlineStr">
        <is>
          <t>비주거용 건물 임대업</t>
        </is>
      </c>
      <c r="P513" t="inlineStr">
        <is>
          <t>부동산 임대/경비,전산통합업무 용역</t>
        </is>
      </c>
      <c r="Q513" t="inlineStr">
        <is>
          <t>서울 서대문구 충정로2가 157번지</t>
        </is>
      </c>
      <c r="R513" t="inlineStr">
        <is>
          <t>서울 서대문구 통일로 107-39</t>
        </is>
      </c>
    </row>
    <row r="514" ht="19.2" customHeight="1" s="1">
      <c r="A514" t="inlineStr">
        <is>
          <t>NICE:536579</t>
        </is>
      </c>
      <c r="B514" t="inlineStr">
        <is>
          <t>쉐프스푸드</t>
        </is>
      </c>
      <c r="C514" t="inlineStr">
        <is>
          <t>김남경</t>
        </is>
      </c>
      <c r="D514" t="inlineStr">
        <is>
          <t>02-529-4134</t>
        </is>
      </c>
      <c r="E514" t="inlineStr">
        <is>
          <t>02-529-4132</t>
        </is>
      </c>
      <c r="F514" s="3">
        <f>HYPERLINK("http://www.chefs.co.kr", "http://www.chefs.co.kr")</f>
        <v/>
      </c>
      <c r="G514" t="inlineStr">
        <is>
          <t>1298177565</t>
        </is>
      </c>
      <c r="H514" t="inlineStr">
        <is>
          <t>1311110125772</t>
        </is>
      </c>
      <c r="I514" t="inlineStr">
        <is>
          <t>대상아님</t>
        </is>
      </c>
      <c r="J514" t="inlineStr">
        <is>
          <t>일반법인</t>
        </is>
      </c>
      <c r="K514" t="inlineStr">
        <is>
          <t>중소기업</t>
        </is>
      </c>
      <c r="L514" t="inlineStr">
        <is>
          <t>외부감사대상</t>
        </is>
      </c>
      <c r="M514" s="6" t="inlineStr">
        <is>
          <t>2004-10-08</t>
        </is>
      </c>
      <c r="N514" t="inlineStr">
        <is>
          <t>KRI:10G4632900</t>
        </is>
      </c>
      <c r="O514" t="inlineStr">
        <is>
          <t>기타 가공식품 도매업</t>
        </is>
      </c>
      <c r="P514" t="inlineStr">
        <is>
          <t>식품 도소매,무역,전자상거래</t>
        </is>
      </c>
      <c r="Q514" t="inlineStr">
        <is>
          <t>서울 성동구 성수동2가 309-148번지 협성빌딩 202호</t>
        </is>
      </c>
      <c r="R514" t="inlineStr">
        <is>
          <t>서울 성동구 성수이로 65, 202호 (성수동2가,협성빌딩)</t>
        </is>
      </c>
    </row>
    <row r="515" ht="19.2" customHeight="1" s="1">
      <c r="A515" t="inlineStr">
        <is>
          <t>NICE:540439</t>
        </is>
      </c>
      <c r="B515" t="inlineStr">
        <is>
          <t>케이티지</t>
        </is>
      </c>
      <c r="C515" t="inlineStr">
        <is>
          <t>장진호</t>
        </is>
      </c>
      <c r="D515" t="inlineStr">
        <is>
          <t>051-634-0111</t>
        </is>
      </c>
      <c r="E515" t="inlineStr">
        <is>
          <t>051-634-0211</t>
        </is>
      </c>
      <c r="F515" s="3">
        <f>HYPERLINK("http://www.ktgglass.co.kr", "http://www.ktgglass.co.kr")</f>
        <v/>
      </c>
      <c r="G515" t="inlineStr">
        <is>
          <t>5108106024</t>
        </is>
      </c>
      <c r="H515" t="inlineStr">
        <is>
          <t>1751110002506</t>
        </is>
      </c>
      <c r="I515" t="inlineStr">
        <is>
          <t>대상아님</t>
        </is>
      </c>
      <c r="J515" t="inlineStr">
        <is>
          <t>일반법인</t>
        </is>
      </c>
      <c r="K515" t="inlineStr">
        <is>
          <t>중소기업</t>
        </is>
      </c>
      <c r="L515" t="inlineStr">
        <is>
          <t>외부감사대상</t>
        </is>
      </c>
      <c r="M515" s="6" t="inlineStr">
        <is>
          <t>1996-08-13</t>
        </is>
      </c>
      <c r="N515" t="inlineStr">
        <is>
          <t>KRI:10C2621100</t>
        </is>
      </c>
      <c r="O515" t="inlineStr">
        <is>
          <t>액정 표시장치 제조업</t>
        </is>
      </c>
      <c r="P515" t="inlineStr">
        <is>
          <t>전자부품(디스플레이장치용),영상,음향,통신장비 제조/무역/부동산 임대</t>
        </is>
      </c>
      <c r="Q515" t="inlineStr">
        <is>
          <t>부산 부산진구 범천동 860-1번지</t>
        </is>
      </c>
      <c r="R515" t="inlineStr">
        <is>
          <t>부산 부산진구 황령대로17번길 30</t>
        </is>
      </c>
    </row>
    <row r="516" ht="19.2" customHeight="1" s="1">
      <c r="A516" t="inlineStr">
        <is>
          <t>NICE:543799</t>
        </is>
      </c>
      <c r="B516" t="inlineStr">
        <is>
          <t>스미토모에스에치아이싸이크로드라이브코리아</t>
        </is>
      </c>
      <c r="C516" t="inlineStr">
        <is>
          <t>마츠오카유스케</t>
        </is>
      </c>
      <c r="D516" t="inlineStr">
        <is>
          <t>02-730-0151</t>
        </is>
      </c>
      <c r="E516" t="inlineStr">
        <is>
          <t>02-730-0156</t>
        </is>
      </c>
      <c r="F516" s="3">
        <f>HYPERLINK("http://www.sck.co.kr", "http://www.sck.co.kr")</f>
        <v/>
      </c>
      <c r="G516" t="inlineStr">
        <is>
          <t>1028141868</t>
        </is>
      </c>
      <c r="H516" t="inlineStr">
        <is>
          <t>1101111392656</t>
        </is>
      </c>
      <c r="I516" t="inlineStr">
        <is>
          <t>대상아님</t>
        </is>
      </c>
      <c r="J516" t="inlineStr">
        <is>
          <t>일반법인</t>
        </is>
      </c>
      <c r="K516" t="inlineStr">
        <is>
          <t>중소기업</t>
        </is>
      </c>
      <c r="L516" t="inlineStr">
        <is>
          <t>외부감사대상</t>
        </is>
      </c>
      <c r="M516" s="6" t="inlineStr">
        <is>
          <t>1997-03-21</t>
        </is>
      </c>
      <c r="N516" t="inlineStr">
        <is>
          <t>KRI:10G4653900</t>
        </is>
      </c>
      <c r="O516" t="inlineStr">
        <is>
          <t>기타 산업용 기계 및 장비 도매업</t>
        </is>
      </c>
      <c r="P516" t="inlineStr">
        <is>
          <t>산업용감속기,속도제어용인버터 도소매,제조</t>
        </is>
      </c>
      <c r="Q516" t="inlineStr">
        <is>
          <t>경기 광명시 일직동 514번지 지아이디씨 A동 705호</t>
        </is>
      </c>
      <c r="R516" t="inlineStr">
        <is>
          <t>경기 광명시 일직로 43, A동 705호 (일직동,지아이디씨)</t>
        </is>
      </c>
    </row>
    <row r="517">
      <c r="A517" t="inlineStr">
        <is>
          <t>NICE:545520</t>
        </is>
      </c>
      <c r="B517" t="inlineStr">
        <is>
          <t>우진선박</t>
        </is>
      </c>
      <c r="C517" t="inlineStr">
        <is>
          <t>정성헌/정지원</t>
        </is>
      </c>
      <c r="D517" t="inlineStr">
        <is>
          <t>051-464-2778</t>
        </is>
      </c>
      <c r="E517" t="inlineStr">
        <is>
          <t>051-465-3778</t>
        </is>
      </c>
      <c r="G517" t="inlineStr">
        <is>
          <t>6018118530</t>
        </is>
      </c>
      <c r="H517" t="inlineStr">
        <is>
          <t>1801110093615</t>
        </is>
      </c>
      <c r="I517" t="inlineStr">
        <is>
          <t>대상아님</t>
        </is>
      </c>
      <c r="J517" t="inlineStr">
        <is>
          <t>일반법인</t>
        </is>
      </c>
      <c r="K517" t="inlineStr">
        <is>
          <t>중소기업</t>
        </is>
      </c>
      <c r="L517" t="inlineStr">
        <is>
          <t>외부감사대상</t>
        </is>
      </c>
      <c r="M517" s="6" t="inlineStr">
        <is>
          <t>1989-11-17</t>
        </is>
      </c>
      <c r="N517" t="inlineStr">
        <is>
          <t>KRI:10H5011200</t>
        </is>
      </c>
      <c r="O517" t="inlineStr">
        <is>
          <t>외항 화물 운송업</t>
        </is>
      </c>
      <c r="P517" t="inlineStr">
        <is>
          <t>외항화물 운송</t>
        </is>
      </c>
      <c r="Q517" t="inlineStr">
        <is>
          <t>부산 중구 중앙동4가 78-24번지 대림빌딩 301호</t>
        </is>
      </c>
      <c r="R517" t="inlineStr">
        <is>
          <t>부산 중구 중앙대로132번길 7, 301호 (중앙동4가,대림빌딩)</t>
        </is>
      </c>
    </row>
    <row r="518" ht="19.2" customHeight="1" s="1">
      <c r="A518" t="inlineStr">
        <is>
          <t>NICE:556591</t>
        </is>
      </c>
      <c r="B518" t="inlineStr">
        <is>
          <t>웅진프리드라이프</t>
        </is>
      </c>
      <c r="C518" t="inlineStr">
        <is>
          <t>문호상</t>
        </is>
      </c>
      <c r="D518" t="inlineStr">
        <is>
          <t>1588-3740</t>
        </is>
      </c>
      <c r="E518" t="inlineStr">
        <is>
          <t>02-786-5454</t>
        </is>
      </c>
      <c r="F518" s="3">
        <f>HYPERLINK("http://www.preedlife.com", "http://www.preedlife.com")</f>
        <v/>
      </c>
      <c r="G518" t="inlineStr">
        <is>
          <t>6108156858</t>
        </is>
      </c>
      <c r="H518" t="inlineStr">
        <is>
          <t>2301110083681</t>
        </is>
      </c>
      <c r="I518" t="inlineStr">
        <is>
          <t>대상아님</t>
        </is>
      </c>
      <c r="J518" t="inlineStr">
        <is>
          <t>일반법인</t>
        </is>
      </c>
      <c r="K518" t="inlineStr">
        <is>
          <t>중견기업</t>
        </is>
      </c>
      <c r="L518" t="inlineStr">
        <is>
          <t>외부감사대상</t>
        </is>
      </c>
      <c r="M518" s="6" t="inlineStr">
        <is>
          <t>2002-02-21</t>
        </is>
      </c>
      <c r="N518" t="inlineStr">
        <is>
          <t>KRI:10S9692100</t>
        </is>
      </c>
      <c r="O518" t="inlineStr">
        <is>
          <t>장례식장 및 장의관련 서비스업</t>
        </is>
      </c>
      <c r="P518" t="inlineStr">
        <is>
          <t>장의,장례식 대행,주차장,주차관리,안내/각종가구,안마의자(렌탈),정수기 도소매,전자상거래/부동산 임대</t>
        </is>
      </c>
      <c r="Q518" t="inlineStr">
        <is>
          <t>서울 중구 남대문로5가 831번지 그랜드센트럴타워 13층</t>
        </is>
      </c>
      <c r="R518" t="inlineStr">
        <is>
          <t>서울 중구 세종대로 14, 13층 (남대문로5가,그랜드센트럴타워)</t>
        </is>
      </c>
    </row>
    <row r="519">
      <c r="A519" t="inlineStr">
        <is>
          <t>NICE:557589</t>
        </is>
      </c>
      <c r="B519" t="inlineStr">
        <is>
          <t>농업회사법인법현</t>
        </is>
      </c>
      <c r="C519" t="inlineStr">
        <is>
          <t>이진석</t>
        </is>
      </c>
      <c r="D519" t="inlineStr">
        <is>
          <t>043-855-2095</t>
        </is>
      </c>
      <c r="E519" t="inlineStr">
        <is>
          <t>043-855-3666</t>
        </is>
      </c>
      <c r="G519" t="inlineStr">
        <is>
          <t>3038126965</t>
        </is>
      </c>
      <c r="H519" t="inlineStr">
        <is>
          <t>1511110016422</t>
        </is>
      </c>
      <c r="I519" t="inlineStr">
        <is>
          <t>대상아님</t>
        </is>
      </c>
      <c r="J519" t="inlineStr">
        <is>
          <t>일반법인</t>
        </is>
      </c>
      <c r="K519" t="inlineStr">
        <is>
          <t>중소기업</t>
        </is>
      </c>
      <c r="L519" t="inlineStr">
        <is>
          <t>외부감사대상</t>
        </is>
      </c>
      <c r="M519" s="6" t="inlineStr">
        <is>
          <t>2000-12-29</t>
        </is>
      </c>
      <c r="N519" t="inlineStr">
        <is>
          <t>KRI:10A0122000</t>
        </is>
      </c>
      <c r="O519" t="inlineStr">
        <is>
          <t>양돈업</t>
        </is>
      </c>
      <c r="P519" t="inlineStr">
        <is>
          <t>양돈</t>
        </is>
      </c>
      <c r="Q519" t="inlineStr">
        <is>
          <t>충북 충주시 중앙탑면 용전리 113-1번지</t>
        </is>
      </c>
      <c r="R519" t="inlineStr">
        <is>
          <t>충북 충주시 중앙탑면 첨단산업로 511-7</t>
        </is>
      </c>
    </row>
    <row r="520" ht="19.2" customHeight="1" s="1">
      <c r="A520" t="inlineStr">
        <is>
          <t>NICE:557609</t>
        </is>
      </c>
      <c r="B520" t="inlineStr">
        <is>
          <t>인텍전기전자</t>
        </is>
      </c>
      <c r="C520" t="inlineStr">
        <is>
          <t>고영진/고인석/이화세</t>
        </is>
      </c>
      <c r="D520" t="inlineStr">
        <is>
          <t>031-299-8400</t>
        </is>
      </c>
      <c r="E520" t="inlineStr">
        <is>
          <t>031-299-8401</t>
        </is>
      </c>
      <c r="F520" s="3">
        <f>HYPERLINK("http://www.entecene.co.kr", "http://www.entecene.co.kr")</f>
        <v/>
      </c>
      <c r="G520" t="inlineStr">
        <is>
          <t>1388112945</t>
        </is>
      </c>
      <c r="H520" t="inlineStr">
        <is>
          <t>1341110052683</t>
        </is>
      </c>
      <c r="I520" t="inlineStr">
        <is>
          <t>대상아님</t>
        </is>
      </c>
      <c r="J520" t="inlineStr">
        <is>
          <t>일반법인</t>
        </is>
      </c>
      <c r="K520" t="inlineStr">
        <is>
          <t>중소기업</t>
        </is>
      </c>
      <c r="L520" t="inlineStr">
        <is>
          <t>외부감사대상</t>
        </is>
      </c>
      <c r="M520" s="6" t="inlineStr">
        <is>
          <t>1996-12-10</t>
        </is>
      </c>
      <c r="N520" t="inlineStr">
        <is>
          <t>KRI:10C2812100</t>
        </is>
      </c>
      <c r="O520" t="inlineStr">
        <is>
          <t>전기회로 개폐, 보호장치 제조업</t>
        </is>
      </c>
      <c r="P520" t="inlineStr">
        <is>
          <t>전기전자통신기기,전기회로,수배전반,속도계,적산계기 제조/전기공사,정보통신공사/무역/부동산 임대</t>
        </is>
      </c>
      <c r="Q520" t="inlineStr">
        <is>
          <t>경기 화성시 효행구 봉담읍 분천리 78-2번지</t>
        </is>
      </c>
      <c r="R520" t="inlineStr">
        <is>
          <t>경기 화성시 효행구 봉담읍 최루백로 225-38</t>
        </is>
      </c>
    </row>
    <row r="521">
      <c r="A521" t="inlineStr">
        <is>
          <t>NICE:572846</t>
        </is>
      </c>
      <c r="B521" t="inlineStr">
        <is>
          <t>신화기업</t>
        </is>
      </c>
      <c r="C521" t="inlineStr">
        <is>
          <t>박정현</t>
        </is>
      </c>
      <c r="D521" t="inlineStr">
        <is>
          <t>055-636-6434</t>
        </is>
      </c>
      <c r="E521" t="inlineStr">
        <is>
          <t>055-636-7587</t>
        </is>
      </c>
      <c r="G521" t="inlineStr">
        <is>
          <t>6128119257</t>
        </is>
      </c>
      <c r="H521" t="inlineStr">
        <is>
          <t>1949110012895</t>
        </is>
      </c>
      <c r="I521" t="inlineStr">
        <is>
          <t>대상아님</t>
        </is>
      </c>
      <c r="J521" t="inlineStr">
        <is>
          <t>일반법인</t>
        </is>
      </c>
      <c r="K521" t="inlineStr">
        <is>
          <t>중소기업</t>
        </is>
      </c>
      <c r="L521" t="inlineStr">
        <is>
          <t>외부감사대상</t>
        </is>
      </c>
      <c r="M521" s="6" t="inlineStr">
        <is>
          <t>2004-05-12</t>
        </is>
      </c>
      <c r="N521" t="inlineStr">
        <is>
          <t>KRI:10C2911100</t>
        </is>
      </c>
      <c r="O521" t="inlineStr">
        <is>
          <t>내연기관 제조업</t>
        </is>
      </c>
      <c r="P521" t="inlineStr">
        <is>
          <t>선박용기관부분품(선박용 탱크,철의장품) 제조,절단,가공</t>
        </is>
      </c>
      <c r="Q521" t="inlineStr">
        <is>
          <t>경남 거제시 사등면 사곡리 419-4번지</t>
        </is>
      </c>
      <c r="R521" t="inlineStr">
        <is>
          <t>경남 거제시 사등면 두동로 193-3</t>
        </is>
      </c>
    </row>
    <row r="522" ht="19.2" customHeight="1" s="1">
      <c r="A522" t="inlineStr">
        <is>
          <t>NICE:594946</t>
        </is>
      </c>
      <c r="B522" t="inlineStr">
        <is>
          <t>우영메디칼</t>
        </is>
      </c>
      <c r="C522" t="inlineStr">
        <is>
          <t>이영규</t>
        </is>
      </c>
      <c r="D522" t="inlineStr">
        <is>
          <t>043-536-0291</t>
        </is>
      </c>
      <c r="E522" t="inlineStr">
        <is>
          <t>043-536-0290</t>
        </is>
      </c>
      <c r="F522" s="3">
        <f>HYPERLINK("http://www.wooyoungmed.com", "http://www.wooyoungmed.com")</f>
        <v/>
      </c>
      <c r="G522" t="inlineStr">
        <is>
          <t>1288125026</t>
        </is>
      </c>
      <c r="H522" t="inlineStr">
        <is>
          <t>1156110012094</t>
        </is>
      </c>
      <c r="I522" t="inlineStr">
        <is>
          <t>대상아님</t>
        </is>
      </c>
      <c r="J522" t="inlineStr">
        <is>
          <t>일반법인</t>
        </is>
      </c>
      <c r="K522" t="inlineStr">
        <is>
          <t>중소기업</t>
        </is>
      </c>
      <c r="L522" t="inlineStr">
        <is>
          <t>외부감사대상</t>
        </is>
      </c>
      <c r="M522" s="6" t="inlineStr">
        <is>
          <t>1996-07-24</t>
        </is>
      </c>
      <c r="N522" t="inlineStr">
        <is>
          <t>KRI:10C2719900</t>
        </is>
      </c>
      <c r="O522" t="inlineStr">
        <is>
          <t>그 외 기타 의료용 기기 제조업</t>
        </is>
      </c>
      <c r="P522" t="inlineStr">
        <is>
          <t>의료기기 제조,도소매/전자부품 제조/부동산 임대</t>
        </is>
      </c>
      <c r="Q522" t="inlineStr">
        <is>
          <t>충북 진천군 진천읍 상신리 374-3번지</t>
        </is>
      </c>
      <c r="R522" t="inlineStr">
        <is>
          <t>충북 진천군 진천읍 상신2길 98</t>
        </is>
      </c>
    </row>
    <row r="523" ht="19.2" customHeight="1" s="1">
      <c r="A523" t="inlineStr">
        <is>
          <t>NICE:595888</t>
        </is>
      </c>
      <c r="B523" t="inlineStr">
        <is>
          <t>금비전자</t>
        </is>
      </c>
      <c r="C523" t="inlineStr">
        <is>
          <t>이영권</t>
        </is>
      </c>
      <c r="D523" t="inlineStr">
        <is>
          <t>031-405-4530</t>
        </is>
      </c>
      <c r="E523" t="inlineStr">
        <is>
          <t>031-405-4570</t>
        </is>
      </c>
      <c r="F523" s="3">
        <f>HYPERLINK("http://www.keumbee.co.kr", "http://www.keumbee.co.kr")</f>
        <v/>
      </c>
      <c r="G523" t="inlineStr">
        <is>
          <t>1188116194</t>
        </is>
      </c>
      <c r="H523" t="inlineStr">
        <is>
          <t>1101111365695</t>
        </is>
      </c>
      <c r="I523" t="inlineStr">
        <is>
          <t>대상아님</t>
        </is>
      </c>
      <c r="J523" t="inlineStr">
        <is>
          <t>일반법인</t>
        </is>
      </c>
      <c r="K523" t="inlineStr">
        <is>
          <t>중소기업</t>
        </is>
      </c>
      <c r="L523" t="inlineStr">
        <is>
          <t>외부감사대상</t>
        </is>
      </c>
      <c r="M523" s="6" t="inlineStr">
        <is>
          <t>1997-01-16</t>
        </is>
      </c>
      <c r="N523" t="inlineStr">
        <is>
          <t>KRI:10C2811900</t>
        </is>
      </c>
      <c r="O523" t="inlineStr">
        <is>
          <t>기타 전기 변환장치 제조업</t>
        </is>
      </c>
      <c r="P523" t="inlineStr">
        <is>
          <t>태양광인버터,전자부품,전자기기,통신기기 제조/이동통신기기 위탁판매,무역,통신 판매/기술 용역,자문/소프트웨어 개발,판매/컴퓨터관련전자제품 조립</t>
        </is>
      </c>
      <c r="Q523" t="inlineStr">
        <is>
          <t>경기 안산시 상록구 장상동 544-4번지</t>
        </is>
      </c>
      <c r="R523" t="inlineStr">
        <is>
          <t>경기 안산시 상록구 장상길 17-1</t>
        </is>
      </c>
    </row>
    <row r="524">
      <c r="A524" t="inlineStr">
        <is>
          <t>NICE:600619</t>
        </is>
      </c>
      <c r="B524" t="inlineStr">
        <is>
          <t>타스지혁</t>
        </is>
      </c>
      <c r="C524" t="inlineStr">
        <is>
          <t>이규석</t>
        </is>
      </c>
      <c r="D524" t="inlineStr">
        <is>
          <t>054-971-8225</t>
        </is>
      </c>
      <c r="E524" t="inlineStr">
        <is>
          <t>054-975-8825</t>
        </is>
      </c>
      <c r="G524" t="inlineStr">
        <is>
          <t>5038156676</t>
        </is>
      </c>
      <c r="H524" t="inlineStr">
        <is>
          <t>1701110228347</t>
        </is>
      </c>
      <c r="I524" t="inlineStr">
        <is>
          <t>대상아님</t>
        </is>
      </c>
      <c r="J524" t="inlineStr">
        <is>
          <t>일반법인</t>
        </is>
      </c>
      <c r="K524" t="inlineStr">
        <is>
          <t>중소기업</t>
        </is>
      </c>
      <c r="L524" t="inlineStr">
        <is>
          <t>외부감사대상</t>
        </is>
      </c>
      <c r="M524" s="6" t="inlineStr">
        <is>
          <t>1999-05-20</t>
        </is>
      </c>
      <c r="N524" t="inlineStr">
        <is>
          <t>KRI:10C2221400</t>
        </is>
      </c>
      <c r="O524" t="inlineStr">
        <is>
          <t>플라스틱 합성피혁 제조업</t>
        </is>
      </c>
      <c r="P524" t="inlineStr">
        <is>
          <t>인조피혁 제조/부동산 임대</t>
        </is>
      </c>
      <c r="Q524" t="inlineStr">
        <is>
          <t>경북 칠곡군 왜관읍 삼청리 1107번지 57</t>
        </is>
      </c>
      <c r="R524" t="inlineStr">
        <is>
          <t>경북 칠곡군 왜관읍 공단로1길 51, 57</t>
        </is>
      </c>
    </row>
    <row r="525" ht="19.2" customHeight="1" s="1">
      <c r="A525" t="inlineStr">
        <is>
          <t>NICE:608319</t>
        </is>
      </c>
      <c r="B525" t="inlineStr">
        <is>
          <t>올리콘발저스코팅코리아</t>
        </is>
      </c>
      <c r="C525" t="inlineStr">
        <is>
          <t>옌뱅가드</t>
        </is>
      </c>
      <c r="D525" t="inlineStr">
        <is>
          <t>031-680-9900</t>
        </is>
      </c>
      <c r="E525" t="inlineStr">
        <is>
          <t>031-683-9909</t>
        </is>
      </c>
      <c r="F525" s="3">
        <f>HYPERLINK("http://www.oerlikon.com/balzers/kr", "http://www.oerlikon.com/balzers/kr")</f>
        <v/>
      </c>
      <c r="G525" t="inlineStr">
        <is>
          <t>5038133407</t>
        </is>
      </c>
      <c r="H525" t="inlineStr">
        <is>
          <t>1701140005145</t>
        </is>
      </c>
      <c r="I525" t="inlineStr">
        <is>
          <t>대상아님</t>
        </is>
      </c>
      <c r="J525" t="inlineStr">
        <is>
          <t>일반법인</t>
        </is>
      </c>
      <c r="K525" t="inlineStr">
        <is>
          <t>중견기업</t>
        </is>
      </c>
      <c r="L525" t="inlineStr">
        <is>
          <t>외부감사대상</t>
        </is>
      </c>
      <c r="M525" s="6" t="inlineStr">
        <is>
          <t>1996-10-23</t>
        </is>
      </c>
      <c r="N525" t="inlineStr">
        <is>
          <t>KRI:10C2592300</t>
        </is>
      </c>
      <c r="O525" t="inlineStr">
        <is>
          <t>도장 및 기타 피막처리업</t>
        </is>
      </c>
      <c r="P525" t="inlineStr">
        <is>
          <t>PVD금속 코팅(공구,마모부품) 제조</t>
        </is>
      </c>
      <c r="Q525" t="inlineStr">
        <is>
          <t>경기 평택시 청북읍 한산리 833-2번지</t>
        </is>
      </c>
      <c r="R525" t="inlineStr">
        <is>
          <t>경기 평택시 청북읍 한산길 49</t>
        </is>
      </c>
    </row>
    <row r="526" ht="19.2" customHeight="1" s="1">
      <c r="A526" t="inlineStr">
        <is>
          <t>NICE:610402</t>
        </is>
      </c>
      <c r="B526" t="inlineStr">
        <is>
          <t>남영상사</t>
        </is>
      </c>
      <c r="C526" t="inlineStr">
        <is>
          <t>정기련</t>
        </is>
      </c>
      <c r="D526" t="inlineStr">
        <is>
          <t>02-745-1931</t>
        </is>
      </c>
      <c r="E526" t="inlineStr">
        <is>
          <t>02-744-0496</t>
        </is>
      </c>
      <c r="F526" s="3">
        <f>HYPERLINK("http://www.namyung.com", "http://www.namyung.com")</f>
        <v/>
      </c>
      <c r="G526" t="inlineStr">
        <is>
          <t>2088111172</t>
        </is>
      </c>
      <c r="H526" t="inlineStr">
        <is>
          <t>1101110014152</t>
        </is>
      </c>
      <c r="I526" t="inlineStr">
        <is>
          <t>대상아님</t>
        </is>
      </c>
      <c r="J526" t="inlineStr">
        <is>
          <t>일반법인</t>
        </is>
      </c>
      <c r="K526" t="inlineStr">
        <is>
          <t>중소기업</t>
        </is>
      </c>
      <c r="L526" t="inlineStr">
        <is>
          <t>외부감사대상</t>
        </is>
      </c>
      <c r="M526" s="6" t="inlineStr">
        <is>
          <t>1958-03-10</t>
        </is>
      </c>
      <c r="N526" t="inlineStr">
        <is>
          <t>KRI:10G4632900</t>
        </is>
      </c>
      <c r="O526" t="inlineStr">
        <is>
          <t>기타 가공식품 도매업</t>
        </is>
      </c>
      <c r="P526" t="inlineStr">
        <is>
          <t>식품첨가물,향료,식용색소 판매,무역/사무용건물 임대</t>
        </is>
      </c>
      <c r="Q526" t="inlineStr">
        <is>
          <t>서울 종로구 명륜1가 10-1번지</t>
        </is>
      </c>
      <c r="R526" t="inlineStr">
        <is>
          <t>서울 종로구 성균관로 65</t>
        </is>
      </c>
    </row>
    <row r="527" ht="19.2" customHeight="1" s="1">
      <c r="A527" t="inlineStr">
        <is>
          <t>NICE:610968</t>
        </is>
      </c>
      <c r="B527" t="inlineStr">
        <is>
          <t>한국청과</t>
        </is>
      </c>
      <c r="C527" t="inlineStr">
        <is>
          <t>박상헌</t>
        </is>
      </c>
      <c r="D527" t="inlineStr">
        <is>
          <t>02-3435-1110</t>
        </is>
      </c>
      <c r="E527" t="inlineStr">
        <is>
          <t>02-3435-1112</t>
        </is>
      </c>
      <c r="F527" s="3">
        <f>HYPERLINK("http://www.hkck.co.kr", "http://www.hkck.co.kr")</f>
        <v/>
      </c>
      <c r="G527" t="inlineStr">
        <is>
          <t>2158103573</t>
        </is>
      </c>
      <c r="H527" t="inlineStr">
        <is>
          <t>1101110245921</t>
        </is>
      </c>
      <c r="I527" t="inlineStr">
        <is>
          <t>대상아님</t>
        </is>
      </c>
      <c r="J527" t="inlineStr">
        <is>
          <t>일반법인</t>
        </is>
      </c>
      <c r="K527" t="inlineStr">
        <is>
          <t>중소기업</t>
        </is>
      </c>
      <c r="L527" t="inlineStr">
        <is>
          <t>외부감사대상</t>
        </is>
      </c>
      <c r="M527" s="6" t="inlineStr">
        <is>
          <t>1979-01-27</t>
        </is>
      </c>
      <c r="N527" t="inlineStr">
        <is>
          <t>KRI:10G4610200</t>
        </is>
      </c>
      <c r="O527" t="inlineStr">
        <is>
          <t>음ㆍ식료품 및 담배 중개업</t>
        </is>
      </c>
      <c r="P527" t="inlineStr">
        <is>
          <t>청과물 수탁판매,도매</t>
        </is>
      </c>
      <c r="Q527" t="inlineStr">
        <is>
          <t>서울 송파구 가락동 600번지</t>
        </is>
      </c>
      <c r="R527" t="inlineStr">
        <is>
          <t>서울 송파구 양재대로 932</t>
        </is>
      </c>
    </row>
    <row r="528" ht="19.2" customHeight="1" s="1">
      <c r="A528" t="inlineStr">
        <is>
          <t>NICE:611425</t>
        </is>
      </c>
      <c r="B528" t="inlineStr">
        <is>
          <t>진진</t>
        </is>
      </c>
      <c r="C528" t="inlineStr">
        <is>
          <t>황찬홍</t>
        </is>
      </c>
      <c r="D528" t="inlineStr">
        <is>
          <t>02-567-7711</t>
        </is>
      </c>
      <c r="E528" t="inlineStr">
        <is>
          <t>02-567-3211</t>
        </is>
      </c>
      <c r="F528" s="3">
        <f>HYPERLINK("http://www.jinjintex.com", "http://www.jinjintex.com")</f>
        <v/>
      </c>
      <c r="G528" t="inlineStr">
        <is>
          <t>1208158557</t>
        </is>
      </c>
      <c r="H528" t="inlineStr">
        <is>
          <t>1101110194730</t>
        </is>
      </c>
      <c r="I528" t="inlineStr">
        <is>
          <t>대상아님</t>
        </is>
      </c>
      <c r="J528" t="inlineStr">
        <is>
          <t>일반법인</t>
        </is>
      </c>
      <c r="K528" t="inlineStr">
        <is>
          <t>중소기업</t>
        </is>
      </c>
      <c r="L528" t="inlineStr">
        <is>
          <t>외부감사대상</t>
        </is>
      </c>
      <c r="M528" s="6" t="inlineStr">
        <is>
          <t>1976-04-17</t>
        </is>
      </c>
      <c r="N528" t="inlineStr">
        <is>
          <t>KRI:10C1340200</t>
        </is>
      </c>
      <c r="O528" t="inlineStr">
        <is>
          <t>직물, 편조원단 및 의복류 염색 가공업</t>
        </is>
      </c>
      <c r="P528" t="inlineStr">
        <is>
          <t>인견직물,화섬직물 제조,염색 가공/부동산(건물)임대</t>
        </is>
      </c>
      <c r="Q528" t="inlineStr">
        <is>
          <t>서울 강남구 대치동 946-1번지</t>
        </is>
      </c>
      <c r="R528" t="inlineStr">
        <is>
          <t>서울 강남구 테헤란로 534</t>
        </is>
      </c>
    </row>
    <row r="529" ht="19.2" customHeight="1" s="1">
      <c r="A529" t="inlineStr">
        <is>
          <t>NICE:612391</t>
        </is>
      </c>
      <c r="B529" t="inlineStr">
        <is>
          <t>한무쇼핑</t>
        </is>
      </c>
      <c r="C529" t="inlineStr">
        <is>
          <t>정지영</t>
        </is>
      </c>
      <c r="D529" t="inlineStr">
        <is>
          <t>02-3467-6252</t>
        </is>
      </c>
      <c r="E529" t="inlineStr">
        <is>
          <t>02-3467-6258</t>
        </is>
      </c>
      <c r="F529" s="3">
        <f>HYPERLINK("http://www.e-hyundai.com", "http://www.e-hyundai.com")</f>
        <v/>
      </c>
      <c r="G529" t="inlineStr">
        <is>
          <t>1208101942</t>
        </is>
      </c>
      <c r="H529" t="inlineStr">
        <is>
          <t>1101110525795</t>
        </is>
      </c>
      <c r="I529" t="inlineStr">
        <is>
          <t>대상아님</t>
        </is>
      </c>
      <c r="J529" t="inlineStr">
        <is>
          <t>일반법인</t>
        </is>
      </c>
      <c r="K529" t="inlineStr">
        <is>
          <t>대기업</t>
        </is>
      </c>
      <c r="L529" t="inlineStr">
        <is>
          <t>외부감사대상</t>
        </is>
      </c>
      <c r="M529" s="6" t="inlineStr">
        <is>
          <t>1987-03-31</t>
        </is>
      </c>
      <c r="N529" t="inlineStr">
        <is>
          <t>KRI:10G4711100</t>
        </is>
      </c>
      <c r="O529" t="inlineStr">
        <is>
          <t>백화점</t>
        </is>
      </c>
      <c r="P529" t="inlineStr">
        <is>
          <t>백화점 운영/부동산 매매,임대/주택 신축,판매</t>
        </is>
      </c>
      <c r="Q529" t="inlineStr">
        <is>
          <t>서울 강남구 삼성동 159-7번지</t>
        </is>
      </c>
      <c r="R529" t="inlineStr">
        <is>
          <t>서울 강남구 테헤란로 517</t>
        </is>
      </c>
    </row>
    <row r="530" ht="19.2" customHeight="1" s="1">
      <c r="A530" t="inlineStr">
        <is>
          <t>NICE:612626</t>
        </is>
      </c>
      <c r="B530" t="inlineStr">
        <is>
          <t>한화커넥트</t>
        </is>
      </c>
      <c r="C530" t="inlineStr">
        <is>
          <t>김은희</t>
        </is>
      </c>
      <c r="D530" t="inlineStr">
        <is>
          <t>02-390-4021</t>
        </is>
      </c>
      <c r="E530" t="inlineStr">
        <is>
          <t>02-390-4004</t>
        </is>
      </c>
      <c r="F530" s="3">
        <f>HYPERLINK("http://www.hanwhaconnect.co.kr", "http://www.hanwhaconnect.co.kr")</f>
        <v/>
      </c>
      <c r="G530" t="inlineStr">
        <is>
          <t>1048118780</t>
        </is>
      </c>
      <c r="H530" t="inlineStr">
        <is>
          <t>1101110544133</t>
        </is>
      </c>
      <c r="I530" t="inlineStr">
        <is>
          <t>대상아님</t>
        </is>
      </c>
      <c r="J530" t="inlineStr">
        <is>
          <t>일반법인</t>
        </is>
      </c>
      <c r="K530" t="inlineStr">
        <is>
          <t>대기업</t>
        </is>
      </c>
      <c r="L530" t="inlineStr">
        <is>
          <t>외부감사대상</t>
        </is>
      </c>
      <c r="M530" s="6" t="inlineStr">
        <is>
          <t>1987-09-14</t>
        </is>
      </c>
      <c r="N530" t="inlineStr">
        <is>
          <t>KRI:10G4711100</t>
        </is>
      </c>
      <c r="O530" t="inlineStr">
        <is>
          <t>백화점</t>
        </is>
      </c>
      <c r="P530" t="inlineStr">
        <is>
          <t>백화점/점포,사무실 임대/주차장 운영</t>
        </is>
      </c>
      <c r="Q530" t="inlineStr">
        <is>
          <t>서울 중구 봉래동2가 122-11번지</t>
        </is>
      </c>
      <c r="R530" t="inlineStr">
        <is>
          <t>서울 중구 한강대로 405</t>
        </is>
      </c>
    </row>
    <row r="531" ht="19.2" customHeight="1" s="1">
      <c r="A531" t="inlineStr">
        <is>
          <t>NICE:613290</t>
        </is>
      </c>
      <c r="B531" t="inlineStr">
        <is>
          <t>중앙청과</t>
        </is>
      </c>
      <c r="C531" t="inlineStr">
        <is>
          <t>이원석</t>
        </is>
      </c>
      <c r="D531" t="inlineStr">
        <is>
          <t>02-3435-3741</t>
        </is>
      </c>
      <c r="E531" t="inlineStr">
        <is>
          <t>02-3435-3751</t>
        </is>
      </c>
      <c r="F531" s="3">
        <f>HYPERLINK("http://www.ejoongang.co.kr", "http://www.ejoongang.co.kr")</f>
        <v/>
      </c>
      <c r="G531" t="inlineStr">
        <is>
          <t>2158100426</t>
        </is>
      </c>
      <c r="H531" t="inlineStr">
        <is>
          <t>1101110614209</t>
        </is>
      </c>
      <c r="I531" t="inlineStr">
        <is>
          <t>대상아님</t>
        </is>
      </c>
      <c r="J531" t="inlineStr">
        <is>
          <t>일반법인</t>
        </is>
      </c>
      <c r="K531" t="inlineStr">
        <is>
          <t>중소기업</t>
        </is>
      </c>
      <c r="L531" t="inlineStr">
        <is>
          <t>외부감사대상</t>
        </is>
      </c>
      <c r="M531" s="6" t="inlineStr">
        <is>
          <t>1989-03-09</t>
        </is>
      </c>
      <c r="N531" t="inlineStr">
        <is>
          <t>KRI:10G4610200</t>
        </is>
      </c>
      <c r="O531" t="inlineStr">
        <is>
          <t>음ㆍ식료품 및 담배 중개업</t>
        </is>
      </c>
      <c r="P531" t="inlineStr">
        <is>
          <t>청과물(과실,채소) 수탁판매</t>
        </is>
      </c>
      <c r="Q531" t="inlineStr">
        <is>
          <t>서울 송파구 가락동 600번지</t>
        </is>
      </c>
      <c r="R531" t="inlineStr">
        <is>
          <t>서울 송파구 양재대로 932</t>
        </is>
      </c>
    </row>
    <row r="532" ht="19.2" customHeight="1" s="1">
      <c r="A532" t="inlineStr">
        <is>
          <t>NICE:613606</t>
        </is>
      </c>
      <c r="B532" t="inlineStr">
        <is>
          <t>한국필립모리스</t>
        </is>
      </c>
      <c r="C532" t="inlineStr">
        <is>
          <t>윤희경</t>
        </is>
      </c>
      <c r="D532" t="inlineStr">
        <is>
          <t>02-3707-0700</t>
        </is>
      </c>
      <c r="E532" t="inlineStr">
        <is>
          <t>02-3783-0679</t>
        </is>
      </c>
      <c r="F532" s="3">
        <f>HYPERLINK("https://www.pmi.com/markets/korea", "https://www.pmi.com/markets/korea")</f>
        <v/>
      </c>
      <c r="G532" t="inlineStr">
        <is>
          <t>1108120980</t>
        </is>
      </c>
      <c r="H532" t="inlineStr">
        <is>
          <t>1101110620470</t>
        </is>
      </c>
      <c r="I532" t="inlineStr">
        <is>
          <t>대상아님</t>
        </is>
      </c>
      <c r="J532" t="inlineStr">
        <is>
          <t>일반법인</t>
        </is>
      </c>
      <c r="K532" t="inlineStr">
        <is>
          <t>중견기업</t>
        </is>
      </c>
      <c r="L532" t="inlineStr">
        <is>
          <t>외부감사대상</t>
        </is>
      </c>
      <c r="M532" s="6" t="inlineStr">
        <is>
          <t>1989-03-29</t>
        </is>
      </c>
      <c r="N532" t="inlineStr">
        <is>
          <t>KRI:10C1200000</t>
        </is>
      </c>
      <c r="O532" t="inlineStr">
        <is>
          <t>담배 제조업</t>
        </is>
      </c>
      <c r="P532" t="inlineStr">
        <is>
          <t>담배 제조,수입,판매</t>
        </is>
      </c>
      <c r="Q532" t="inlineStr">
        <is>
          <t>서울 영등포구 여의도동 23번지 25층</t>
        </is>
      </c>
      <c r="R532" t="inlineStr">
        <is>
          <t>서울 영등포구 국제금융로 10, 25층</t>
        </is>
      </c>
    </row>
    <row r="533" ht="19.2" customHeight="1" s="1">
      <c r="A533" t="inlineStr">
        <is>
          <t>NICE:616010</t>
        </is>
      </c>
      <c r="B533" t="inlineStr">
        <is>
          <t>오션테크</t>
        </is>
      </c>
      <c r="C533" t="inlineStr">
        <is>
          <t>문홍배/신용은/조혁만</t>
        </is>
      </c>
      <c r="D533" t="inlineStr">
        <is>
          <t>031-995-9000</t>
        </is>
      </c>
      <c r="E533" t="inlineStr">
        <is>
          <t>031-970-1459</t>
        </is>
      </c>
      <c r="F533" s="3">
        <f>HYPERLINK("http://www.oceantech.co.kr", "http://www.oceantech.co.kr")</f>
        <v/>
      </c>
      <c r="G533" t="inlineStr">
        <is>
          <t>1058188464</t>
        </is>
      </c>
      <c r="H533" t="inlineStr">
        <is>
          <t>1101111447419</t>
        </is>
      </c>
      <c r="I533" t="inlineStr">
        <is>
          <t>대상아님</t>
        </is>
      </c>
      <c r="J533" t="inlineStr">
        <is>
          <t>일반법인</t>
        </is>
      </c>
      <c r="K533" t="inlineStr">
        <is>
          <t>중소기업</t>
        </is>
      </c>
      <c r="L533" t="inlineStr">
        <is>
          <t>외부감사대상</t>
        </is>
      </c>
      <c r="M533" s="6" t="inlineStr">
        <is>
          <t>1997-08-01</t>
        </is>
      </c>
      <c r="N533" t="inlineStr">
        <is>
          <t>KRI:10G4659300</t>
        </is>
      </c>
      <c r="O533" t="inlineStr">
        <is>
          <t>정밀기기 및 과학기기 도매업</t>
        </is>
      </c>
      <c r="P533" t="inlineStr">
        <is>
          <t>해양관측장비,전기,전자,기계부품 도매,무역/무인항공기,무인비행장치(드론) 제조/정보통신공사,수중공사</t>
        </is>
      </c>
      <c r="Q533" t="inlineStr">
        <is>
          <t>경기 고양시 덕양구 행주외동 196-2번지 오션빌딩</t>
        </is>
      </c>
      <c r="R533" t="inlineStr">
        <is>
          <t>경기 고양시 덕양구 행주산성로144번길 57 (행주외동,오션빌딩)</t>
        </is>
      </c>
    </row>
    <row r="534" ht="19.2" customHeight="1" s="1">
      <c r="A534" t="inlineStr">
        <is>
          <t>NICE:620769</t>
        </is>
      </c>
      <c r="B534" t="inlineStr">
        <is>
          <t>앰배서더즈</t>
        </is>
      </c>
      <c r="C534" t="inlineStr">
        <is>
          <t>서유진/서정호</t>
        </is>
      </c>
      <c r="D534" t="inlineStr">
        <is>
          <t>02-531-6410</t>
        </is>
      </c>
      <c r="E534" t="inlineStr">
        <is>
          <t>02-564-4572</t>
        </is>
      </c>
      <c r="F534" s="3">
        <f>HYPERLINK("http://www.ambatel.com", "http://www.ambatel.com")</f>
        <v/>
      </c>
      <c r="G534" t="inlineStr">
        <is>
          <t>2208101562</t>
        </is>
      </c>
      <c r="H534" t="inlineStr">
        <is>
          <t>1101110595516</t>
        </is>
      </c>
      <c r="I534" t="inlineStr">
        <is>
          <t>대상아님</t>
        </is>
      </c>
      <c r="J534" t="inlineStr">
        <is>
          <t>일반법인</t>
        </is>
      </c>
      <c r="K534" t="inlineStr">
        <is>
          <t>중견기업</t>
        </is>
      </c>
      <c r="L534" t="inlineStr">
        <is>
          <t>외부감사대상</t>
        </is>
      </c>
      <c r="M534" s="6" t="inlineStr">
        <is>
          <t>1988-10-31</t>
        </is>
      </c>
      <c r="N534" t="inlineStr">
        <is>
          <t>KRI:10I5510100</t>
        </is>
      </c>
      <c r="O534" t="inlineStr">
        <is>
          <t>호텔업</t>
        </is>
      </c>
      <c r="P534" t="inlineStr">
        <is>
          <t>호텔/주류,관광민예품,선물용품 도소매/서양 음식점/환전</t>
        </is>
      </c>
      <c r="Q534" t="inlineStr">
        <is>
          <t>서울 강남구 역삼동 603번지</t>
        </is>
      </c>
      <c r="R534" t="inlineStr">
        <is>
          <t>서울 강남구 봉은사로 130</t>
        </is>
      </c>
    </row>
    <row r="535" ht="19.2" customHeight="1" s="1">
      <c r="A535" t="inlineStr">
        <is>
          <t>NICE:620890</t>
        </is>
      </c>
      <c r="B535" t="inlineStr">
        <is>
          <t>롯데물산</t>
        </is>
      </c>
      <c r="C535" t="inlineStr">
        <is>
          <t>장재훈</t>
        </is>
      </c>
      <c r="D535" t="inlineStr">
        <is>
          <t>02-3213-5100</t>
        </is>
      </c>
      <c r="E535" t="inlineStr">
        <is>
          <t>02-6234-3081</t>
        </is>
      </c>
      <c r="F535" s="3">
        <f>HYPERLINK("http://www.lottepnd.com", "http://www.lottepnd.com")</f>
        <v/>
      </c>
      <c r="G535" t="inlineStr">
        <is>
          <t>2198114922</t>
        </is>
      </c>
      <c r="H535" t="inlineStr">
        <is>
          <t>1101110320707</t>
        </is>
      </c>
      <c r="I535" t="inlineStr">
        <is>
          <t>대상아님</t>
        </is>
      </c>
      <c r="J535" t="inlineStr">
        <is>
          <t>일반법인</t>
        </is>
      </c>
      <c r="K535" t="inlineStr">
        <is>
          <t>대기업</t>
        </is>
      </c>
      <c r="L535" t="inlineStr">
        <is>
          <t>외부감사대상</t>
        </is>
      </c>
      <c r="M535" s="6" t="inlineStr">
        <is>
          <t>1982-06-15</t>
        </is>
      </c>
      <c r="N535" t="inlineStr">
        <is>
          <t>KRI:10L6811200</t>
        </is>
      </c>
      <c r="O535" t="inlineStr">
        <is>
          <t>비주거용 건물 임대업</t>
        </is>
      </c>
      <c r="P535" t="inlineStr">
        <is>
          <t>부동산 임대,공급,개발,운영,관리/기념품 소매/호텔</t>
        </is>
      </c>
      <c r="Q535" t="inlineStr">
        <is>
          <t>서울 송파구 신천동 29번지</t>
        </is>
      </c>
      <c r="R535" t="inlineStr">
        <is>
          <t>서울 송파구 올림픽로 300</t>
        </is>
      </c>
    </row>
    <row r="536" ht="19.2" customHeight="1" s="1">
      <c r="A536" t="inlineStr">
        <is>
          <t>NICE:624497</t>
        </is>
      </c>
      <c r="B536" t="inlineStr">
        <is>
          <t>블루버드</t>
        </is>
      </c>
      <c r="C536" t="inlineStr">
        <is>
          <t>왕씽레이</t>
        </is>
      </c>
      <c r="D536" t="inlineStr">
        <is>
          <t>02-1577-0778</t>
        </is>
      </c>
      <c r="E536" t="inlineStr">
        <is>
          <t>02-6499-2242</t>
        </is>
      </c>
      <c r="F536" s="3">
        <f>HYPERLINK("http://www.bluebirdcorp.com", "http://www.bluebirdcorp.com")</f>
        <v/>
      </c>
      <c r="G536" t="inlineStr">
        <is>
          <t>1208168832</t>
        </is>
      </c>
      <c r="H536" t="inlineStr">
        <is>
          <t>1101111352741</t>
        </is>
      </c>
      <c r="I536" t="inlineStr">
        <is>
          <t>대상아님</t>
        </is>
      </c>
      <c r="J536" t="inlineStr">
        <is>
          <t>일반법인</t>
        </is>
      </c>
      <c r="K536" t="inlineStr">
        <is>
          <t>중소기업</t>
        </is>
      </c>
      <c r="L536" t="inlineStr">
        <is>
          <t>외부감사대상</t>
        </is>
      </c>
      <c r="M536" s="6" t="inlineStr">
        <is>
          <t>1996-12-16</t>
        </is>
      </c>
      <c r="N536" t="inlineStr">
        <is>
          <t>KRI:10C2642200</t>
        </is>
      </c>
      <c r="O536" t="inlineStr">
        <is>
          <t>이동전화기 제조업</t>
        </is>
      </c>
      <c r="P536" t="inlineStr">
        <is>
          <t>이동전화기,하드웨어 제조/소프트웨어 개발,자문,공급</t>
        </is>
      </c>
      <c r="Q536" t="inlineStr">
        <is>
          <t>서울 강남구 일원동 717번지 삼성생명일원역빌딩 3층</t>
        </is>
      </c>
      <c r="R536" t="inlineStr">
        <is>
          <t>서울 강남구 일원로 115, 3층 (일원동,삼성생명일원역빌딩)</t>
        </is>
      </c>
    </row>
    <row r="537" ht="19.2" customHeight="1" s="1">
      <c r="A537" t="inlineStr">
        <is>
          <t>NICE:627020</t>
        </is>
      </c>
      <c r="B537" t="inlineStr">
        <is>
          <t>에스비선보</t>
        </is>
      </c>
      <c r="C537" t="inlineStr">
        <is>
          <t>김청욱/최금식</t>
        </is>
      </c>
      <c r="D537" t="inlineStr">
        <is>
          <t>051-260-5531</t>
        </is>
      </c>
      <c r="E537" t="inlineStr">
        <is>
          <t>051-261-3355</t>
        </is>
      </c>
      <c r="F537" s="3">
        <f>HYPERLINK("http://www.sunboind.co.kr", "http://www.sunboind.co.kr")</f>
        <v/>
      </c>
      <c r="G537" t="inlineStr">
        <is>
          <t>6038128937</t>
        </is>
      </c>
      <c r="H537" t="inlineStr">
        <is>
          <t>1801110209098</t>
        </is>
      </c>
      <c r="I537" t="inlineStr">
        <is>
          <t>대상아님</t>
        </is>
      </c>
      <c r="J537" t="inlineStr">
        <is>
          <t>일반법인</t>
        </is>
      </c>
      <c r="K537" t="inlineStr">
        <is>
          <t>중소기업</t>
        </is>
      </c>
      <c r="L537" t="inlineStr">
        <is>
          <t>외부감사대상</t>
        </is>
      </c>
      <c r="M537" s="6" t="inlineStr">
        <is>
          <t>1986-08-20</t>
        </is>
      </c>
      <c r="N537" t="inlineStr">
        <is>
          <t>KRI:10C2911100</t>
        </is>
      </c>
      <c r="O537" t="inlineStr">
        <is>
          <t>내연기관 제조업</t>
        </is>
      </c>
      <c r="P537" t="inlineStr">
        <is>
          <t>선박자재부품 제조/태양광발전/부동산 임대</t>
        </is>
      </c>
      <c r="Q537" t="inlineStr">
        <is>
          <t>부산 사하구 다대동 1517-2번지</t>
        </is>
      </c>
      <c r="R537" t="inlineStr">
        <is>
          <t>부산 사하구 다산로 80</t>
        </is>
      </c>
    </row>
    <row r="538" ht="19.2" customHeight="1" s="1">
      <c r="A538" t="inlineStr">
        <is>
          <t>NICE:627224</t>
        </is>
      </c>
      <c r="B538" t="inlineStr">
        <is>
          <t>도날슨코리아</t>
        </is>
      </c>
      <c r="C538" t="inlineStr">
        <is>
          <t>이환</t>
        </is>
      </c>
      <c r="D538" t="inlineStr">
        <is>
          <t>02-519-7512</t>
        </is>
      </c>
      <c r="E538" t="inlineStr">
        <is>
          <t>02-517-8444</t>
        </is>
      </c>
      <c r="F538" s="3">
        <f>HYPERLINK("http://www.donaldson.co.kr", "http://www.donaldson.co.kr")</f>
        <v/>
      </c>
      <c r="G538" t="inlineStr">
        <is>
          <t>1208175236</t>
        </is>
      </c>
      <c r="H538" t="inlineStr">
        <is>
          <t>1101111445801</t>
        </is>
      </c>
      <c r="I538" t="inlineStr">
        <is>
          <t>대상아님</t>
        </is>
      </c>
      <c r="J538" t="inlineStr">
        <is>
          <t>일반법인</t>
        </is>
      </c>
      <c r="K538" t="inlineStr">
        <is>
          <t>중소기업</t>
        </is>
      </c>
      <c r="L538" t="inlineStr">
        <is>
          <t>외부감사대상</t>
        </is>
      </c>
      <c r="M538" s="6" t="inlineStr">
        <is>
          <t>1997-07-29</t>
        </is>
      </c>
      <c r="N538" t="inlineStr">
        <is>
          <t>KRI:10G4659900</t>
        </is>
      </c>
      <c r="O538" t="inlineStr">
        <is>
          <t>그 외 기타 기계 및 장비 도매업</t>
        </is>
      </c>
      <c r="P538" t="inlineStr">
        <is>
          <t>산업용필터 도소매,제조</t>
        </is>
      </c>
      <c r="Q538" t="inlineStr">
        <is>
          <t>경기 성남시 분당구 백현동 541번지 현대백화점 11층 오피스동</t>
        </is>
      </c>
      <c r="R538" t="inlineStr">
        <is>
          <t>경기 성남시 분당구 판교역로146번길 20, 11층 오피스동 (백현동,현대백화점)</t>
        </is>
      </c>
    </row>
    <row r="539" ht="19.2" customHeight="1" s="1">
      <c r="A539" t="inlineStr">
        <is>
          <t>NICE:630144</t>
        </is>
      </c>
      <c r="B539" t="inlineStr">
        <is>
          <t>선진종합</t>
        </is>
      </c>
      <c r="C539" t="inlineStr">
        <is>
          <t>정재윤/정희영</t>
        </is>
      </c>
      <c r="D539" t="inlineStr">
        <is>
          <t>051-714-3905</t>
        </is>
      </c>
      <c r="E539" t="inlineStr">
        <is>
          <t>051-742-2265</t>
        </is>
      </c>
      <c r="F539" s="3">
        <f>HYPERLINK("http://www.startug.co.kr/", "http://www.startug.co.kr/")</f>
        <v/>
      </c>
      <c r="G539" t="inlineStr">
        <is>
          <t>1328100096</t>
        </is>
      </c>
      <c r="H539" t="inlineStr">
        <is>
          <t>1152110001889</t>
        </is>
      </c>
      <c r="I539" t="inlineStr">
        <is>
          <t>대상아님</t>
        </is>
      </c>
      <c r="J539" t="inlineStr">
        <is>
          <t>일반법인</t>
        </is>
      </c>
      <c r="K539" t="inlineStr">
        <is>
          <t>중소기업</t>
        </is>
      </c>
      <c r="L539" t="inlineStr">
        <is>
          <t>외부감사대상</t>
        </is>
      </c>
      <c r="M539" s="6" t="inlineStr">
        <is>
          <t>1982-05-20</t>
        </is>
      </c>
      <c r="N539" t="inlineStr">
        <is>
          <t>KRI:10H5013000</t>
        </is>
      </c>
      <c r="O539" t="inlineStr">
        <is>
          <t>기타 해상 운송업</t>
        </is>
      </c>
      <c r="P539" t="inlineStr">
        <is>
          <t>해상 운송(예인선)/담배 소매/종합관광,간이음식,스키장</t>
        </is>
      </c>
      <c r="Q539" t="inlineStr">
        <is>
          <t>부산 해운대구 우동 1436-2번지 아라트리움 901호</t>
        </is>
      </c>
      <c r="R539" t="inlineStr">
        <is>
          <t>부산 해운대구 마린시티1로 127, 901호 (우동,아라트리움)</t>
        </is>
      </c>
    </row>
    <row r="540" ht="19.2" customHeight="1" s="1">
      <c r="A540" t="inlineStr">
        <is>
          <t>NICE:630578</t>
        </is>
      </c>
      <c r="B540" t="inlineStr">
        <is>
          <t>코리아나호텔</t>
        </is>
      </c>
      <c r="C540" t="inlineStr">
        <is>
          <t>방성오/방지오</t>
        </is>
      </c>
      <c r="D540" t="inlineStr">
        <is>
          <t>02-2171-7808</t>
        </is>
      </c>
      <c r="E540" t="inlineStr">
        <is>
          <t>02-722-6694</t>
        </is>
      </c>
      <c r="F540" s="3">
        <f>HYPERLINK("http://www.koreanahotel.com", "http://www.koreanahotel.com")</f>
        <v/>
      </c>
      <c r="G540" t="inlineStr">
        <is>
          <t>1048125812</t>
        </is>
      </c>
      <c r="H540" t="inlineStr">
        <is>
          <t>1101110165369</t>
        </is>
      </c>
      <c r="I540" t="inlineStr">
        <is>
          <t>대상아님</t>
        </is>
      </c>
      <c r="J540" t="inlineStr">
        <is>
          <t>일반법인</t>
        </is>
      </c>
      <c r="K540" t="inlineStr">
        <is>
          <t>중소기업</t>
        </is>
      </c>
      <c r="L540" t="inlineStr">
        <is>
          <t>외부감사대상</t>
        </is>
      </c>
      <c r="M540" s="6" t="inlineStr">
        <is>
          <t>1974-05-23</t>
        </is>
      </c>
      <c r="N540" t="inlineStr">
        <is>
          <t>KRI:10I5510100</t>
        </is>
      </c>
      <c r="O540" t="inlineStr">
        <is>
          <t>호텔업</t>
        </is>
      </c>
      <c r="P540" t="inlineStr">
        <is>
          <t>호텔 운영/오피스텔 임대</t>
        </is>
      </c>
      <c r="Q540" t="inlineStr">
        <is>
          <t>서울 중구 태평로1가 61-1번지</t>
        </is>
      </c>
      <c r="R540" t="inlineStr">
        <is>
          <t>서울 중구 세종대로 135</t>
        </is>
      </c>
    </row>
    <row r="541" ht="19.2" customHeight="1" s="1">
      <c r="A541" t="inlineStr">
        <is>
          <t>NICE:640441</t>
        </is>
      </c>
      <c r="B541" t="inlineStr">
        <is>
          <t>샤넬코리아</t>
        </is>
      </c>
      <c r="C541" t="inlineStr">
        <is>
          <t>클라우스헨릭베스터가드올데거</t>
        </is>
      </c>
      <c r="D541" t="inlineStr">
        <is>
          <t>02-3708-2700</t>
        </is>
      </c>
      <c r="E541" t="inlineStr">
        <is>
          <t>02-777-1179</t>
        </is>
      </c>
      <c r="F541" s="3">
        <f>HYPERLINK("http://www.chanel.co.kr", "http://www.chanel.co.kr")</f>
        <v/>
      </c>
      <c r="G541" t="inlineStr">
        <is>
          <t>1068129643</t>
        </is>
      </c>
      <c r="H541" t="inlineStr">
        <is>
          <t>1101140027729</t>
        </is>
      </c>
      <c r="I541" t="inlineStr">
        <is>
          <t>대상아님</t>
        </is>
      </c>
      <c r="J541" t="inlineStr">
        <is>
          <t>일반법인</t>
        </is>
      </c>
      <c r="K541" t="inlineStr">
        <is>
          <t>중견기업</t>
        </is>
      </c>
      <c r="L541" t="inlineStr">
        <is>
          <t>외부감사대상</t>
        </is>
      </c>
      <c r="M541" s="6" t="inlineStr">
        <is>
          <t>1997-10-27</t>
        </is>
      </c>
      <c r="N541" t="inlineStr">
        <is>
          <t>KRI:10G4644300</t>
        </is>
      </c>
      <c r="O541" t="inlineStr">
        <is>
          <t>화장품 및 화장용품 도매업</t>
        </is>
      </c>
      <c r="P541" t="inlineStr">
        <is>
          <t>향수,화장품,악세사리,모피제품,잡화 도매</t>
        </is>
      </c>
      <c r="Q541" t="inlineStr">
        <is>
          <t>서울 중구 서소문동 135번지 퍼시픽타워 11층</t>
        </is>
      </c>
      <c r="R541" t="inlineStr">
        <is>
          <t>서울 중구 세종대로9길 41, 11층 (서소문동,퍼시픽타워)</t>
        </is>
      </c>
    </row>
    <row r="542">
      <c r="A542" t="inlineStr">
        <is>
          <t>NICE:640956</t>
        </is>
      </c>
      <c r="B542" t="inlineStr">
        <is>
          <t>오르비스</t>
        </is>
      </c>
      <c r="C542" t="inlineStr">
        <is>
          <t>소수일</t>
        </is>
      </c>
      <c r="D542" t="inlineStr">
        <is>
          <t>031-739-6100</t>
        </is>
      </c>
      <c r="E542" t="inlineStr">
        <is>
          <t>031-739-6188</t>
        </is>
      </c>
      <c r="G542" t="inlineStr">
        <is>
          <t>1208159987</t>
        </is>
      </c>
      <c r="H542" t="inlineStr">
        <is>
          <t>1101110882377</t>
        </is>
      </c>
      <c r="I542" t="inlineStr">
        <is>
          <t>대상아님</t>
        </is>
      </c>
      <c r="J542" t="inlineStr">
        <is>
          <t>일반법인</t>
        </is>
      </c>
      <c r="K542" t="inlineStr">
        <is>
          <t>중소기업</t>
        </is>
      </c>
      <c r="L542" t="inlineStr">
        <is>
          <t>외부감사대상</t>
        </is>
      </c>
      <c r="M542" s="6" t="inlineStr">
        <is>
          <t>1992-07-29</t>
        </is>
      </c>
      <c r="N542" t="inlineStr">
        <is>
          <t>KRI:10C2721500</t>
        </is>
      </c>
      <c r="O542" t="inlineStr">
        <is>
          <t>기기용 자동측정 및 제어장치 제조업</t>
        </is>
      </c>
      <c r="P542" t="inlineStr">
        <is>
          <t>자동제어기기,시스템 제조,도매/산업용 오븐,노,배전반,컴퓨터주변기기,일반장비,통신장비,카메라 제조</t>
        </is>
      </c>
      <c r="Q542" t="inlineStr">
        <is>
          <t>경기 성남시 중원구 상대원동 64-3번지 신일빌딩 7층</t>
        </is>
      </c>
      <c r="R542" t="inlineStr">
        <is>
          <t>경기 성남시 중원구 순환로226번길 14, 7층 (상대원동,신일빌딩)</t>
        </is>
      </c>
    </row>
    <row r="543" ht="19.2" customHeight="1" s="1">
      <c r="A543" t="inlineStr">
        <is>
          <t>NICE:645559</t>
        </is>
      </c>
      <c r="B543" t="inlineStr">
        <is>
          <t>고어코리아</t>
        </is>
      </c>
      <c r="C543" t="inlineStr">
        <is>
          <t>이정안</t>
        </is>
      </c>
      <c r="D543" t="inlineStr">
        <is>
          <t>02-393-3411</t>
        </is>
      </c>
      <c r="E543" t="inlineStr">
        <is>
          <t>02-393-1285</t>
        </is>
      </c>
      <c r="F543" s="3">
        <f>HYPERLINK("http://www.kr.gore.com", "http://www.kr.gore.com")</f>
        <v/>
      </c>
      <c r="G543" t="inlineStr">
        <is>
          <t>1108124986</t>
        </is>
      </c>
      <c r="H543" t="inlineStr">
        <is>
          <t>1101110798847</t>
        </is>
      </c>
      <c r="I543" t="inlineStr">
        <is>
          <t>대상아님</t>
        </is>
      </c>
      <c r="J543" t="inlineStr">
        <is>
          <t>일반법인</t>
        </is>
      </c>
      <c r="K543" t="inlineStr">
        <is>
          <t>중소기업</t>
        </is>
      </c>
      <c r="L543" t="inlineStr">
        <is>
          <t>외부감사대상</t>
        </is>
      </c>
      <c r="M543" s="6" t="inlineStr">
        <is>
          <t>1991-08-20</t>
        </is>
      </c>
      <c r="N543" t="inlineStr">
        <is>
          <t>KRI:10G4679900</t>
        </is>
      </c>
      <c r="O543" t="inlineStr">
        <is>
          <t>그 외 기타 상품 전문 도매업</t>
        </is>
      </c>
      <c r="P543" t="inlineStr">
        <is>
          <t>특수섬유원단,산업용실라트,전선케이블,전자,의료용재료 오퍼상,도소매,무역</t>
        </is>
      </c>
      <c r="Q543" t="inlineStr">
        <is>
          <t>서울 중구 순화동 216번지 17층</t>
        </is>
      </c>
      <c r="R543" t="inlineStr">
        <is>
          <t>서울 중구 통일로2길 16, 17층</t>
        </is>
      </c>
    </row>
    <row r="544" ht="19.2" customHeight="1" s="1">
      <c r="A544" t="inlineStr">
        <is>
          <t>NICE:648442</t>
        </is>
      </c>
      <c r="B544" t="inlineStr">
        <is>
          <t>고원화성</t>
        </is>
      </c>
      <c r="C544" t="inlineStr">
        <is>
          <t>고현규/김정온</t>
        </is>
      </c>
      <c r="D544" t="inlineStr">
        <is>
          <t>02-6951-5995</t>
        </is>
      </c>
      <c r="E544" t="inlineStr">
        <is>
          <t>02-6951-5996</t>
        </is>
      </c>
      <c r="F544" s="3">
        <f>HYPERLINK("http://www.kowon.kr", "http://www.kowon.kr")</f>
        <v/>
      </c>
      <c r="G544" t="inlineStr">
        <is>
          <t>2158133591</t>
        </is>
      </c>
      <c r="H544" t="inlineStr">
        <is>
          <t>1101110876263</t>
        </is>
      </c>
      <c r="I544" t="inlineStr">
        <is>
          <t>대상아님</t>
        </is>
      </c>
      <c r="J544" t="inlineStr">
        <is>
          <t>일반법인</t>
        </is>
      </c>
      <c r="K544" t="inlineStr">
        <is>
          <t>중소기업</t>
        </is>
      </c>
      <c r="L544" t="inlineStr">
        <is>
          <t>외부감사대상</t>
        </is>
      </c>
      <c r="M544" s="6" t="inlineStr">
        <is>
          <t>1985-11-09</t>
        </is>
      </c>
      <c r="N544" t="inlineStr">
        <is>
          <t>KRI:10G4673900</t>
        </is>
      </c>
      <c r="O544" t="inlineStr">
        <is>
          <t>기타 화학물질 및 화학제품 도매업</t>
        </is>
      </c>
      <c r="P544" t="inlineStr">
        <is>
          <t>화장품원료 도매,제조/오퍼</t>
        </is>
      </c>
      <c r="Q544" t="inlineStr">
        <is>
          <t>서울 송파구 문정동 651-8번지 엔에이치농협 4층</t>
        </is>
      </c>
      <c r="R544" t="inlineStr">
        <is>
          <t>서울 송파구 송파대로 155, 4층 (문정동,엔에이치농협)</t>
        </is>
      </c>
    </row>
    <row r="545" ht="19.2" customHeight="1" s="1">
      <c r="A545" t="inlineStr">
        <is>
          <t>NICE:652270</t>
        </is>
      </c>
      <c r="B545" t="inlineStr">
        <is>
          <t>엠에스에이</t>
        </is>
      </c>
      <c r="C545" t="inlineStr">
        <is>
          <t>변종건</t>
        </is>
      </c>
      <c r="D545" t="inlineStr">
        <is>
          <t>02-550-4460</t>
        </is>
      </c>
      <c r="E545" t="inlineStr">
        <is>
          <t>02-562-8866</t>
        </is>
      </c>
      <c r="F545" s="3">
        <f>HYPERLINK("http://www.msa.co.kr", "http://www.msa.co.kr")</f>
        <v/>
      </c>
      <c r="G545" t="inlineStr">
        <is>
          <t>1088148326</t>
        </is>
      </c>
      <c r="H545" t="inlineStr">
        <is>
          <t>1101110887054</t>
        </is>
      </c>
      <c r="I545" t="inlineStr">
        <is>
          <t>대상아님</t>
        </is>
      </c>
      <c r="J545" t="inlineStr">
        <is>
          <t>일반법인</t>
        </is>
      </c>
      <c r="K545" t="inlineStr">
        <is>
          <t>중소기업</t>
        </is>
      </c>
      <c r="L545" t="inlineStr">
        <is>
          <t>외부감사대상</t>
        </is>
      </c>
      <c r="M545" s="6" t="inlineStr">
        <is>
          <t>1986-01-04</t>
        </is>
      </c>
      <c r="N545" t="inlineStr">
        <is>
          <t>KRI:10C1419200</t>
        </is>
      </c>
      <c r="O545" t="inlineStr">
        <is>
          <t>근무복, 작업복 및 유사의복 제조업</t>
        </is>
      </c>
      <c r="P545" t="inlineStr">
        <is>
          <t>바지,아웃도어의류(스카복) 제조,도매,수출/부동산(건물) 임대</t>
        </is>
      </c>
      <c r="Q545" t="inlineStr">
        <is>
          <t>서울 강남구 대치동 891-43번지</t>
        </is>
      </c>
      <c r="R545" t="inlineStr">
        <is>
          <t>서울 강남구 테헤란로78길 12</t>
        </is>
      </c>
    </row>
    <row r="546" ht="19.2" customHeight="1" s="1">
      <c r="A546" t="inlineStr">
        <is>
          <t>NICE:654086</t>
        </is>
      </c>
      <c r="B546" t="inlineStr">
        <is>
          <t>인텔코리아</t>
        </is>
      </c>
      <c r="C546" t="inlineStr">
        <is>
          <t>배태원</t>
        </is>
      </c>
      <c r="D546" t="inlineStr">
        <is>
          <t>02-767-2500</t>
        </is>
      </c>
      <c r="E546" t="inlineStr">
        <is>
          <t>02-767-2509</t>
        </is>
      </c>
      <c r="F546" s="3">
        <f>HYPERLINK("http://www.intel.com", "http://www.intel.com")</f>
        <v/>
      </c>
      <c r="G546" t="inlineStr">
        <is>
          <t>1168127808</t>
        </is>
      </c>
      <c r="H546" t="inlineStr">
        <is>
          <t>1101110667109</t>
        </is>
      </c>
      <c r="I546" t="inlineStr">
        <is>
          <t>대상아님</t>
        </is>
      </c>
      <c r="J546" t="inlineStr">
        <is>
          <t>일반법인</t>
        </is>
      </c>
      <c r="K546" t="inlineStr">
        <is>
          <t>중소기업</t>
        </is>
      </c>
      <c r="L546" t="inlineStr">
        <is>
          <t>외부감사대상</t>
        </is>
      </c>
      <c r="M546" s="6" t="inlineStr">
        <is>
          <t>1989-12-30</t>
        </is>
      </c>
      <c r="N546" t="inlineStr">
        <is>
          <t>KRI:10G4610900</t>
        </is>
      </c>
      <c r="O546" t="inlineStr">
        <is>
          <t>상품 종합 중개업</t>
        </is>
      </c>
      <c r="P546" t="inlineStr">
        <is>
          <t>컴퓨터기기(PC마이크로프로세서,업무용 노트북) 무역중개,오파/소프트웨어 연구개발</t>
        </is>
      </c>
      <c r="Q546" t="inlineStr">
        <is>
          <t>서울 영등포구 여의도동 27-3번지</t>
        </is>
      </c>
      <c r="R546" t="inlineStr">
        <is>
          <t>서울 영등포구 의사당대로 82</t>
        </is>
      </c>
    </row>
    <row r="547">
      <c r="A547" t="inlineStr">
        <is>
          <t>NICE:655058</t>
        </is>
      </c>
      <c r="B547" t="inlineStr">
        <is>
          <t>한국이콜랩</t>
        </is>
      </c>
      <c r="C547" t="inlineStr">
        <is>
          <t>류양권</t>
        </is>
      </c>
      <c r="D547" t="inlineStr">
        <is>
          <t>02-559-3668</t>
        </is>
      </c>
      <c r="E547" t="inlineStr">
        <is>
          <t>02-559-3633</t>
        </is>
      </c>
      <c r="G547" t="inlineStr">
        <is>
          <t>1168139551</t>
        </is>
      </c>
      <c r="H547" t="inlineStr">
        <is>
          <t>1101140032934</t>
        </is>
      </c>
      <c r="I547" t="inlineStr">
        <is>
          <t>대상아님</t>
        </is>
      </c>
      <c r="J547" t="inlineStr">
        <is>
          <t>일반법인</t>
        </is>
      </c>
      <c r="K547" t="inlineStr">
        <is>
          <t>중견기업</t>
        </is>
      </c>
      <c r="L547" t="inlineStr">
        <is>
          <t>외부감사대상</t>
        </is>
      </c>
      <c r="M547" s="6" t="inlineStr">
        <is>
          <t>1990-12-01</t>
        </is>
      </c>
      <c r="N547" t="inlineStr">
        <is>
          <t>KRI:10C2049900</t>
        </is>
      </c>
      <c r="O547" t="inlineStr">
        <is>
          <t>그 외 기타 분류 안된 화학제품 제조업</t>
        </is>
      </c>
      <c r="P547" t="inlineStr">
        <is>
          <t>화학제품 제조/오파,온라인정보제공/물리,화학,생물학 연구,농학연구,의학,약학 연구개발</t>
        </is>
      </c>
      <c r="Q547" t="inlineStr">
        <is>
          <t>서울 송파구 문정동 641-3번지 소노타워 8층</t>
        </is>
      </c>
      <c r="R547" t="inlineStr">
        <is>
          <t>서울 송파구 법원로 135, 8층 (문정동,소노타워)</t>
        </is>
      </c>
    </row>
    <row r="548" ht="19.2" customHeight="1" s="1">
      <c r="A548" t="inlineStr">
        <is>
          <t>NICE:661163</t>
        </is>
      </c>
      <c r="B548" t="inlineStr">
        <is>
          <t>아이세로미림</t>
        </is>
      </c>
      <c r="C548" t="inlineStr">
        <is>
          <t>임장욱</t>
        </is>
      </c>
      <c r="D548" t="inlineStr">
        <is>
          <t>031-499-1484</t>
        </is>
      </c>
      <c r="E548" t="inlineStr">
        <is>
          <t>031-499-1488</t>
        </is>
      </c>
      <c r="F548" s="3">
        <f>HYPERLINK("https://aicellomilim.com", "https://aicellomilim.com")</f>
        <v/>
      </c>
      <c r="G548" t="inlineStr">
        <is>
          <t>1338122958</t>
        </is>
      </c>
      <c r="H548" t="inlineStr">
        <is>
          <t>1341110021224</t>
        </is>
      </c>
      <c r="I548" t="inlineStr">
        <is>
          <t>대상아님</t>
        </is>
      </c>
      <c r="J548" t="inlineStr">
        <is>
          <t>일반법인</t>
        </is>
      </c>
      <c r="K548" t="inlineStr">
        <is>
          <t>중소기업</t>
        </is>
      </c>
      <c r="L548" t="inlineStr">
        <is>
          <t>외부감사대상</t>
        </is>
      </c>
      <c r="M548" s="6" t="inlineStr">
        <is>
          <t>1986-09-09</t>
        </is>
      </c>
      <c r="N548" t="inlineStr">
        <is>
          <t>KRI:10C2020200</t>
        </is>
      </c>
      <c r="O548" t="inlineStr">
        <is>
          <t>합성수지 및 기타 플라스틱 물질 제조업</t>
        </is>
      </c>
      <c r="P548" t="inlineStr">
        <is>
          <t>산업,가정용플라스틱일반성형용기,매스터배치 제조,통신판매</t>
        </is>
      </c>
      <c r="Q548" t="inlineStr">
        <is>
          <t>경기 시흥시 정왕동 1252-1번지</t>
        </is>
      </c>
      <c r="R548" t="inlineStr">
        <is>
          <t>경기 시흥시 공단1대로 92</t>
        </is>
      </c>
    </row>
    <row r="549" ht="19.2" customHeight="1" s="1">
      <c r="A549" t="inlineStr">
        <is>
          <t>NICE:661414</t>
        </is>
      </c>
      <c r="B549" t="inlineStr">
        <is>
          <t>한미에프쓰리</t>
        </is>
      </c>
      <c r="C549" t="inlineStr">
        <is>
          <t>장덕철</t>
        </is>
      </c>
      <c r="D549" t="inlineStr">
        <is>
          <t>041-531-5289</t>
        </is>
      </c>
      <c r="E549" t="inlineStr">
        <is>
          <t>041-531-5252</t>
        </is>
      </c>
      <c r="F549" s="3">
        <f>HYPERLINK("http://www.hanmif3.co.kr", "http://www.hanmif3.co.kr")</f>
        <v/>
      </c>
      <c r="G549" t="inlineStr">
        <is>
          <t>1258105282</t>
        </is>
      </c>
      <c r="H549" t="inlineStr">
        <is>
          <t>1101110540878</t>
        </is>
      </c>
      <c r="I549" t="inlineStr">
        <is>
          <t>대상아님</t>
        </is>
      </c>
      <c r="J549" t="inlineStr">
        <is>
          <t>일반법인</t>
        </is>
      </c>
      <c r="K549" t="inlineStr">
        <is>
          <t>중소기업</t>
        </is>
      </c>
      <c r="L549" t="inlineStr">
        <is>
          <t>외부감사대상</t>
        </is>
      </c>
      <c r="M549" s="6" t="inlineStr">
        <is>
          <t>1987-09-12</t>
        </is>
      </c>
      <c r="N549" t="inlineStr">
        <is>
          <t>KRI:10C1030200</t>
        </is>
      </c>
      <c r="O549" t="inlineStr">
        <is>
          <t>과실 및 그 외 채소 절임식품 제조업</t>
        </is>
      </c>
      <c r="P549" t="inlineStr">
        <is>
          <t>과실채소절임식품,식품첨가물,조미식품,식품 제조,도소매,무역/부동산 임대</t>
        </is>
      </c>
      <c r="Q549" t="inlineStr">
        <is>
          <t>충남 아산시 둔포면 관대리 207-21번지</t>
        </is>
      </c>
      <c r="R549" t="inlineStr">
        <is>
          <t>충남 아산시 둔포면 충무로 1342</t>
        </is>
      </c>
    </row>
    <row r="550" ht="19.2" customHeight="1" s="1">
      <c r="A550" t="inlineStr">
        <is>
          <t>NICE:661813</t>
        </is>
      </c>
      <c r="B550" t="inlineStr">
        <is>
          <t>가나안</t>
        </is>
      </c>
      <c r="C550" t="inlineStr">
        <is>
          <t>이수일/황준만</t>
        </is>
      </c>
      <c r="D550" t="inlineStr">
        <is>
          <t>031-592-2250</t>
        </is>
      </c>
      <c r="E550" t="inlineStr">
        <is>
          <t>031-592-2254</t>
        </is>
      </c>
      <c r="F550" s="3">
        <f>HYPERLINK("http://www.kanaan.co.kr", "http://www.kanaan.co.kr")</f>
        <v/>
      </c>
      <c r="G550" t="inlineStr">
        <is>
          <t>1328108614</t>
        </is>
      </c>
      <c r="H550" t="inlineStr">
        <is>
          <t>1342110001894</t>
        </is>
      </c>
      <c r="I550" t="inlineStr">
        <is>
          <t>대상아님</t>
        </is>
      </c>
      <c r="J550" t="inlineStr">
        <is>
          <t>일반법인</t>
        </is>
      </c>
      <c r="K550" t="inlineStr">
        <is>
          <t>중견기업</t>
        </is>
      </c>
      <c r="L550" t="inlineStr">
        <is>
          <t>외부감사대상</t>
        </is>
      </c>
      <c r="M550" s="6" t="inlineStr">
        <is>
          <t>1985-07-13</t>
        </is>
      </c>
      <c r="N550" t="inlineStr">
        <is>
          <t>KRI:10C1512900</t>
        </is>
      </c>
      <c r="O550" t="inlineStr">
        <is>
          <t>가방 및 기타 보호용 케이스 제조업</t>
        </is>
      </c>
      <c r="P550" t="inlineStr">
        <is>
          <t>가방 제조,도소매</t>
        </is>
      </c>
      <c r="Q550" t="inlineStr">
        <is>
          <t>경기 남양주시 금곡동 669-3번지</t>
        </is>
      </c>
      <c r="R550" t="inlineStr">
        <is>
          <t>경기 남양주시 홍유릉로 316</t>
        </is>
      </c>
    </row>
    <row r="551" ht="19.2" customHeight="1" s="1">
      <c r="A551" t="inlineStr">
        <is>
          <t>NICE:662348</t>
        </is>
      </c>
      <c r="B551" t="inlineStr">
        <is>
          <t>탱크테크</t>
        </is>
      </c>
      <c r="C551" t="inlineStr">
        <is>
          <t>주광일/김영한</t>
        </is>
      </c>
      <c r="D551" t="inlineStr">
        <is>
          <t>051-979-1611</t>
        </is>
      </c>
      <c r="E551" t="inlineStr">
        <is>
          <t>051-979-1601</t>
        </is>
      </c>
      <c r="F551" s="3">
        <f>HYPERLINK("http://www.tanktech.co.kr", "http://www.tanktech.co.kr")</f>
        <v/>
      </c>
      <c r="G551" t="inlineStr">
        <is>
          <t>6228102199</t>
        </is>
      </c>
      <c r="H551" t="inlineStr">
        <is>
          <t>1342110004393</t>
        </is>
      </c>
      <c r="I551" t="inlineStr">
        <is>
          <t>대상아님</t>
        </is>
      </c>
      <c r="J551" t="inlineStr">
        <is>
          <t>일반법인</t>
        </is>
      </c>
      <c r="K551" t="inlineStr">
        <is>
          <t>중소기업</t>
        </is>
      </c>
      <c r="L551" t="inlineStr">
        <is>
          <t>외부감사대상</t>
        </is>
      </c>
      <c r="M551" s="6" t="inlineStr">
        <is>
          <t>1991-03-06</t>
        </is>
      </c>
      <c r="N551" t="inlineStr">
        <is>
          <t>KRI:10C3111400</t>
        </is>
      </c>
      <c r="O551" t="inlineStr">
        <is>
          <t>선박 구성 부분품 제조업</t>
        </is>
      </c>
      <c r="P551" t="inlineStr">
        <is>
          <t>선박 건조,열교환기,산업용기계 제조/무역/태양광 발전/부동산 임대</t>
        </is>
      </c>
      <c r="Q551" t="inlineStr">
        <is>
          <t>부산 강서구 녹산동 1333-5번지</t>
        </is>
      </c>
      <c r="R551" t="inlineStr">
        <is>
          <t>부산 강서구 낙동남로533번길 15</t>
        </is>
      </c>
    </row>
    <row r="552" ht="19.2" customHeight="1" s="1">
      <c r="A552" t="inlineStr">
        <is>
          <t>NICE:666009</t>
        </is>
      </c>
      <c r="B552" t="inlineStr">
        <is>
          <t>삼전순약공업</t>
        </is>
      </c>
      <c r="C552" t="inlineStr">
        <is>
          <t>전성혁/박두곤</t>
        </is>
      </c>
      <c r="D552" t="inlineStr">
        <is>
          <t>070-8656-3741</t>
        </is>
      </c>
      <c r="E552" t="inlineStr">
        <is>
          <t>02-547-5258</t>
        </is>
      </c>
      <c r="F552" s="3">
        <f>HYPERLINK("http://www.samchun.com", "http://www.samchun.com")</f>
        <v/>
      </c>
      <c r="G552" t="inlineStr">
        <is>
          <t>1258115515</t>
        </is>
      </c>
      <c r="H552" t="inlineStr">
        <is>
          <t>1243110020571</t>
        </is>
      </c>
      <c r="I552" t="inlineStr">
        <is>
          <t>대상아님</t>
        </is>
      </c>
      <c r="J552" t="inlineStr">
        <is>
          <t>일반법인</t>
        </is>
      </c>
      <c r="K552" t="inlineStr">
        <is>
          <t>중소기업</t>
        </is>
      </c>
      <c r="L552" t="inlineStr">
        <is>
          <t>외부감사대상</t>
        </is>
      </c>
      <c r="M552" s="6" t="inlineStr">
        <is>
          <t>1987-12-09</t>
        </is>
      </c>
      <c r="N552" t="inlineStr">
        <is>
          <t>KRI:10C2049900</t>
        </is>
      </c>
      <c r="O552" t="inlineStr">
        <is>
          <t>그 외 기타 분류 안된 화학제품 제조업</t>
        </is>
      </c>
      <c r="P552" t="inlineStr">
        <is>
          <t>화공약품,시약 제조,도매,무역</t>
        </is>
      </c>
      <c r="Q552" t="inlineStr">
        <is>
          <t>경기 평택시 모곡동 440-3번지</t>
        </is>
      </c>
      <c r="R552" t="inlineStr">
        <is>
          <t>경기 평택시 산단로16번길 117</t>
        </is>
      </c>
    </row>
    <row r="553" ht="19.2" customHeight="1" s="1">
      <c r="A553" t="inlineStr">
        <is>
          <t>NICE:668231</t>
        </is>
      </c>
      <c r="B553" t="inlineStr">
        <is>
          <t>에스이앤컴퍼니</t>
        </is>
      </c>
      <c r="C553" t="inlineStr">
        <is>
          <t>이해양/송광수</t>
        </is>
      </c>
      <c r="D553" t="inlineStr">
        <is>
          <t>032-863-9901</t>
        </is>
      </c>
      <c r="E553" t="inlineStr">
        <is>
          <t>032-863-9904</t>
        </is>
      </c>
      <c r="F553" s="3">
        <f>HYPERLINK("http://www.se-company.co.kr", "http://www.se-company.co.kr")</f>
        <v/>
      </c>
      <c r="G553" t="inlineStr">
        <is>
          <t>1318101258</t>
        </is>
      </c>
      <c r="H553" t="inlineStr">
        <is>
          <t>1201110004870</t>
        </is>
      </c>
      <c r="I553" t="inlineStr">
        <is>
          <t>대상아님</t>
        </is>
      </c>
      <c r="J553" t="inlineStr">
        <is>
          <t>일반법인</t>
        </is>
      </c>
      <c r="K553" t="inlineStr">
        <is>
          <t>중소기업</t>
        </is>
      </c>
      <c r="L553" t="inlineStr">
        <is>
          <t>외부감사대상</t>
        </is>
      </c>
      <c r="M553" s="6" t="inlineStr">
        <is>
          <t>1968-11-01</t>
        </is>
      </c>
      <c r="N553" t="inlineStr">
        <is>
          <t>KRI:10C2432200</t>
        </is>
      </c>
      <c r="O553" t="inlineStr">
        <is>
          <t>동주물 주조업</t>
        </is>
      </c>
      <c r="P553" t="inlineStr">
        <is>
          <t>순동제품,기계류,금속 가공,제작</t>
        </is>
      </c>
      <c r="Q553" t="inlineStr">
        <is>
          <t>인천 미추홀구 주안동 1381-1번지</t>
        </is>
      </c>
      <c r="R553" t="inlineStr">
        <is>
          <t>인천 미추홀구 방축로 332</t>
        </is>
      </c>
    </row>
    <row r="554" ht="19.2" customHeight="1" s="1">
      <c r="A554" t="inlineStr">
        <is>
          <t>NICE:673331</t>
        </is>
      </c>
      <c r="B554" t="inlineStr">
        <is>
          <t>한강화학</t>
        </is>
      </c>
      <c r="C554" t="inlineStr">
        <is>
          <t>정기훈</t>
        </is>
      </c>
      <c r="D554" t="inlineStr">
        <is>
          <t>070-4617-4701</t>
        </is>
      </c>
      <c r="E554" t="inlineStr">
        <is>
          <t>070-8290-0800</t>
        </is>
      </c>
      <c r="F554" s="3">
        <f>HYPERLINK("http://www.hkchemicals.com", "http://www.hkchemicals.com")</f>
        <v/>
      </c>
      <c r="G554" t="inlineStr">
        <is>
          <t>1208135438</t>
        </is>
      </c>
      <c r="H554" t="inlineStr">
        <is>
          <t>1101110877419</t>
        </is>
      </c>
      <c r="I554" t="inlineStr">
        <is>
          <t>대상아님</t>
        </is>
      </c>
      <c r="J554" t="inlineStr">
        <is>
          <t>일반법인</t>
        </is>
      </c>
      <c r="K554" t="inlineStr">
        <is>
          <t>중소기업</t>
        </is>
      </c>
      <c r="L554" t="inlineStr">
        <is>
          <t>외부감사대상</t>
        </is>
      </c>
      <c r="M554" s="6" t="inlineStr">
        <is>
          <t>1992-07-07</t>
        </is>
      </c>
      <c r="N554" t="inlineStr">
        <is>
          <t>KRI:10G4673900</t>
        </is>
      </c>
      <c r="O554" t="inlineStr">
        <is>
          <t>기타 화학물질 및 화학제품 도매업</t>
        </is>
      </c>
      <c r="P554" t="inlineStr">
        <is>
          <t>산업용기초화합물,혼합가스,대체냉매 도매</t>
        </is>
      </c>
      <c r="Q554" t="inlineStr">
        <is>
          <t>경기 화성시 만세구 양감면 정문리 78-24번지</t>
        </is>
      </c>
      <c r="R554" t="inlineStr">
        <is>
          <t>경기 화성시 만세구 양감면 정문회화로 229-29</t>
        </is>
      </c>
    </row>
    <row r="555" ht="19.2" customHeight="1" s="1">
      <c r="A555" t="inlineStr">
        <is>
          <t>NICE:675457</t>
        </is>
      </c>
      <c r="B555" t="inlineStr">
        <is>
          <t>대명이십일</t>
        </is>
      </c>
      <c r="C555" t="inlineStr">
        <is>
          <t>김명회</t>
        </is>
      </c>
      <c r="D555" t="inlineStr">
        <is>
          <t>02-2608-7330</t>
        </is>
      </c>
      <c r="E555" t="inlineStr">
        <is>
          <t>02-2608-0339</t>
        </is>
      </c>
      <c r="F555" s="3">
        <f>HYPERLINK("http://www.daemyung21.com", "http://www.daemyung21.com")</f>
        <v/>
      </c>
      <c r="G555" t="inlineStr">
        <is>
          <t>1178149576</t>
        </is>
      </c>
      <c r="H555" t="inlineStr">
        <is>
          <t>1101112970972</t>
        </is>
      </c>
      <c r="I555" t="inlineStr">
        <is>
          <t>대상아님</t>
        </is>
      </c>
      <c r="J555" t="inlineStr">
        <is>
          <t>일반법인</t>
        </is>
      </c>
      <c r="K555" t="inlineStr">
        <is>
          <t>중소기업</t>
        </is>
      </c>
      <c r="L555" t="inlineStr">
        <is>
          <t>외부감사대상</t>
        </is>
      </c>
      <c r="M555" s="6" t="inlineStr">
        <is>
          <t>2004-03-10</t>
        </is>
      </c>
      <c r="N555" t="inlineStr">
        <is>
          <t>KRI:10F4110000</t>
        </is>
      </c>
      <c r="O555" t="inlineStr">
        <is>
          <t>건물 건설업</t>
        </is>
      </c>
      <c r="P555" t="inlineStr">
        <is>
          <t>건축공사,주택신축판매,토목공사,산업환경설비공사,소방시설공사,전기공사/부동산 임대</t>
        </is>
      </c>
      <c r="Q555" t="inlineStr">
        <is>
          <t>서울 강서구 염창동 262번지 염창투웨니퍼스트 14층</t>
        </is>
      </c>
      <c r="R555" t="inlineStr">
        <is>
          <t>서울 강서구 공항대로81길 35, 14층 (염창동,염창투웨니퍼스트)</t>
        </is>
      </c>
    </row>
    <row r="556" ht="19.2" customHeight="1" s="1">
      <c r="A556" t="inlineStr">
        <is>
          <t>NICE:677914</t>
        </is>
      </c>
      <c r="B556" t="inlineStr">
        <is>
          <t>두성종이</t>
        </is>
      </c>
      <c r="C556" t="inlineStr">
        <is>
          <t>이해원/이훈용</t>
        </is>
      </c>
      <c r="D556" t="inlineStr">
        <is>
          <t>02-588-2013</t>
        </is>
      </c>
      <c r="E556" t="inlineStr">
        <is>
          <t>02-528-5700</t>
        </is>
      </c>
      <c r="F556" s="3">
        <f>HYPERLINK("http://www.doosungpaper.co.kr", "http://www.doosungpaper.co.kr")</f>
        <v/>
      </c>
      <c r="G556" t="inlineStr">
        <is>
          <t>2148179686</t>
        </is>
      </c>
      <c r="H556" t="inlineStr">
        <is>
          <t>1101110332653</t>
        </is>
      </c>
      <c r="I556" t="inlineStr">
        <is>
          <t>대상아님</t>
        </is>
      </c>
      <c r="J556" t="inlineStr">
        <is>
          <t>일반법인</t>
        </is>
      </c>
      <c r="K556" t="inlineStr">
        <is>
          <t>중소기업</t>
        </is>
      </c>
      <c r="L556" t="inlineStr">
        <is>
          <t>외부감사대상</t>
        </is>
      </c>
      <c r="M556" s="6" t="inlineStr">
        <is>
          <t>1982-10-07</t>
        </is>
      </c>
      <c r="N556" t="inlineStr">
        <is>
          <t>KRI:10G4645100</t>
        </is>
      </c>
      <c r="O556" t="inlineStr">
        <is>
          <t>생활용 포장 및 위생용품, 봉투 및 유사 제품 도매업</t>
        </is>
      </c>
      <c r="P556" t="inlineStr">
        <is>
          <t>특수가공지(도공지,디스플레이패키지용지,그래픽용지),골판지,문구 도매,제조</t>
        </is>
      </c>
      <c r="Q556" t="inlineStr">
        <is>
          <t>서울 서초구 서초동 1641-6번지</t>
        </is>
      </c>
      <c r="R556" t="inlineStr">
        <is>
          <t>서울 서초구 사임당로23길 41</t>
        </is>
      </c>
    </row>
    <row r="557" ht="19.2" customHeight="1" s="1">
      <c r="A557" t="inlineStr">
        <is>
          <t>NICE:679854</t>
        </is>
      </c>
      <c r="B557" t="inlineStr">
        <is>
          <t>한국오모리기계</t>
        </is>
      </c>
      <c r="C557" t="inlineStr">
        <is>
          <t>이병희</t>
        </is>
      </c>
      <c r="D557" t="inlineStr">
        <is>
          <t>02-6942-9710-2</t>
        </is>
      </c>
      <c r="E557" t="inlineStr">
        <is>
          <t>02-6942-9713</t>
        </is>
      </c>
      <c r="F557" s="3">
        <f>HYPERLINK("http://www.omorikorea.co.kr", "http://www.omorikorea.co.kr")</f>
        <v/>
      </c>
      <c r="G557" t="inlineStr">
        <is>
          <t>1198198127</t>
        </is>
      </c>
      <c r="H557" t="inlineStr">
        <is>
          <t>1101113664318</t>
        </is>
      </c>
      <c r="I557" t="inlineStr">
        <is>
          <t>대상아님</t>
        </is>
      </c>
      <c r="J557" t="inlineStr">
        <is>
          <t>일반법인</t>
        </is>
      </c>
      <c r="K557" t="inlineStr">
        <is>
          <t>중소기업</t>
        </is>
      </c>
      <c r="L557" t="inlineStr">
        <is>
          <t>외부감사비대상</t>
        </is>
      </c>
      <c r="M557" s="6" t="inlineStr">
        <is>
          <t>2007-04-20</t>
        </is>
      </c>
      <c r="N557" t="inlineStr">
        <is>
          <t>KRI:10C2917100</t>
        </is>
      </c>
      <c r="O557" t="inlineStr">
        <is>
          <t>산업용 냉장 및 냉동 장비 제조업</t>
        </is>
      </c>
      <c r="P557" t="inlineStr">
        <is>
          <t>식품포장기계및산업기계제작,금속검출기및콘베어제작,식품관련제조기제작,사업관련기계판매,사업관련제품수출입</t>
        </is>
      </c>
      <c r="Q557" t="inlineStr">
        <is>
          <t>서울 구로구 구로동 170-10번지 대륭포스트타워7차 401호 ,402호</t>
        </is>
      </c>
      <c r="R557" t="inlineStr">
        <is>
          <t>서울 구로구 디지털로33길 48, 401호,402호 (구로동,대륭포스트타워7차)</t>
        </is>
      </c>
    </row>
    <row r="558">
      <c r="A558" t="inlineStr">
        <is>
          <t>NICE:680320</t>
        </is>
      </c>
      <c r="B558" t="inlineStr">
        <is>
          <t>세명엔지니어링</t>
        </is>
      </c>
      <c r="C558" t="inlineStr">
        <is>
          <t>김삼동/김석현</t>
        </is>
      </c>
      <c r="D558" t="inlineStr">
        <is>
          <t>031-282-6622</t>
        </is>
      </c>
      <c r="E558" t="inlineStr">
        <is>
          <t>02-465-7991</t>
        </is>
      </c>
      <c r="G558" t="inlineStr">
        <is>
          <t>2188101050</t>
        </is>
      </c>
      <c r="H558" t="inlineStr">
        <is>
          <t>1101110693138</t>
        </is>
      </c>
      <c r="I558" t="inlineStr">
        <is>
          <t>대상아님</t>
        </is>
      </c>
      <c r="J558" t="inlineStr">
        <is>
          <t>일반법인</t>
        </is>
      </c>
      <c r="K558" t="inlineStr">
        <is>
          <t>중소기업</t>
        </is>
      </c>
      <c r="L558" t="inlineStr">
        <is>
          <t>외부감사대상</t>
        </is>
      </c>
      <c r="M558" s="6" t="inlineStr">
        <is>
          <t>1981-10-01</t>
        </is>
      </c>
      <c r="N558" t="inlineStr">
        <is>
          <t>KRI:10C2812300</t>
        </is>
      </c>
      <c r="O558" t="inlineStr">
        <is>
          <t>배전반 및 전기 자동제어반 제조업</t>
        </is>
      </c>
      <c r="P558" t="inlineStr">
        <is>
          <t>수배전반,제어반 제조/배관,냉,난방공사,건물용기계장비설치공사,일반전기공사,일반통신공사</t>
        </is>
      </c>
      <c r="Q558" t="inlineStr">
        <is>
          <t>경기 용인시 기흥구 상하동 499-1번지</t>
        </is>
      </c>
      <c r="R558" t="inlineStr">
        <is>
          <t>경기 용인시 기흥구 언동로 210-6</t>
        </is>
      </c>
    </row>
    <row r="559" ht="19.2" customHeight="1" s="1">
      <c r="A559" t="inlineStr">
        <is>
          <t>NICE:681891</t>
        </is>
      </c>
      <c r="B559" t="inlineStr">
        <is>
          <t>씨에스아이엔테크</t>
        </is>
      </c>
      <c r="C559" t="inlineStr">
        <is>
          <t>김태식</t>
        </is>
      </c>
      <c r="D559" t="inlineStr">
        <is>
          <t>032-714-2510</t>
        </is>
      </c>
      <c r="E559" t="inlineStr">
        <is>
          <t>032-714-2599</t>
        </is>
      </c>
      <c r="F559" s="3">
        <f>HYPERLINK("http://www.csin.kr", "http://www.csin.kr")</f>
        <v/>
      </c>
      <c r="G559" t="inlineStr">
        <is>
          <t>1308607332</t>
        </is>
      </c>
      <c r="H559" t="inlineStr">
        <is>
          <t>1211110122184</t>
        </is>
      </c>
      <c r="I559" t="inlineStr">
        <is>
          <t>대상아님</t>
        </is>
      </c>
      <c r="J559" t="inlineStr">
        <is>
          <t>일반법인</t>
        </is>
      </c>
      <c r="K559" t="inlineStr">
        <is>
          <t>중소기업</t>
        </is>
      </c>
      <c r="L559" t="inlineStr">
        <is>
          <t>외부감사대상</t>
        </is>
      </c>
      <c r="M559" s="6" t="inlineStr">
        <is>
          <t>2004-07-07</t>
        </is>
      </c>
      <c r="N559" t="inlineStr">
        <is>
          <t>KRI:10C3120200</t>
        </is>
      </c>
      <c r="O559" t="inlineStr">
        <is>
          <t>철도차량 부품 및 관련 장치물 제조업</t>
        </is>
      </c>
      <c r="P559" t="inlineStr">
        <is>
          <t>철도차량부품(화재감지장치,신호장치) 제조/정보통신공사</t>
        </is>
      </c>
      <c r="Q559" t="inlineStr">
        <is>
          <t>인천 계양구 서운동 221번지</t>
        </is>
      </c>
      <c r="R559" t="inlineStr">
        <is>
          <t>인천 계양구 서운산업로 61</t>
        </is>
      </c>
    </row>
    <row r="560" ht="19.2" customHeight="1" s="1">
      <c r="A560" t="inlineStr">
        <is>
          <t>NICE:682713</t>
        </is>
      </c>
      <c r="B560" t="inlineStr">
        <is>
          <t>제원인터내쇼날</t>
        </is>
      </c>
      <c r="C560" t="inlineStr">
        <is>
          <t>최수호/최훈학</t>
        </is>
      </c>
      <c r="D560" t="inlineStr">
        <is>
          <t>02-998-9672</t>
        </is>
      </c>
      <c r="E560" t="inlineStr">
        <is>
          <t>02-998-9077</t>
        </is>
      </c>
      <c r="F560" s="3">
        <f>HYPERLINK("http://www.jewon1986.com", "http://www.jewon1986.com")</f>
        <v/>
      </c>
      <c r="G560" t="inlineStr">
        <is>
          <t>2108115981</t>
        </is>
      </c>
      <c r="H560" t="inlineStr">
        <is>
          <t>1101110782402</t>
        </is>
      </c>
      <c r="I560" t="inlineStr">
        <is>
          <t>대상아님</t>
        </is>
      </c>
      <c r="J560" t="inlineStr">
        <is>
          <t>일반법인</t>
        </is>
      </c>
      <c r="K560" t="inlineStr">
        <is>
          <t>중소기업</t>
        </is>
      </c>
      <c r="L560" t="inlineStr">
        <is>
          <t>외부감사대상</t>
        </is>
      </c>
      <c r="M560" s="6" t="inlineStr">
        <is>
          <t>1986-06-30</t>
        </is>
      </c>
      <c r="N560" t="inlineStr">
        <is>
          <t>KRI:10G4632300</t>
        </is>
      </c>
      <c r="O560" t="inlineStr">
        <is>
          <t>빵류, 과자류, 당류, 초콜릿 도매업</t>
        </is>
      </c>
      <c r="P560" t="inlineStr">
        <is>
          <t>제과제빵재료(커버춰 초콜릿,애프리코트 혼당,코팅 초콜릿) 도소매</t>
        </is>
      </c>
      <c r="Q560" t="inlineStr">
        <is>
          <t>서울 강남구 신사동 634-4번지</t>
        </is>
      </c>
      <c r="R560" t="inlineStr">
        <is>
          <t>서울 강남구 언주로 848</t>
        </is>
      </c>
    </row>
    <row r="561" ht="19.2" customHeight="1" s="1">
      <c r="A561" t="inlineStr">
        <is>
          <t>NICE:687309</t>
        </is>
      </c>
      <c r="B561" t="inlineStr">
        <is>
          <t>랄프로렌코리아</t>
        </is>
      </c>
      <c r="C561" t="inlineStr">
        <is>
          <t>샨성권김</t>
        </is>
      </c>
      <c r="D561" t="inlineStr">
        <is>
          <t>02-6004-0066</t>
        </is>
      </c>
      <c r="E561" t="inlineStr">
        <is>
          <t>02-6004-0271</t>
        </is>
      </c>
      <c r="F561" s="3">
        <f>HYPERLINK("http://www.ralphlauren.co.kr", "http://www.ralphlauren.co.kr")</f>
        <v/>
      </c>
      <c r="G561" t="inlineStr">
        <is>
          <t>1208700270</t>
        </is>
      </c>
      <c r="H561" t="inlineStr">
        <is>
          <t>1101140061321</t>
        </is>
      </c>
      <c r="I561" t="inlineStr">
        <is>
          <t>대상아님</t>
        </is>
      </c>
      <c r="J561" t="inlineStr">
        <is>
          <t>일반법인</t>
        </is>
      </c>
      <c r="K561" t="inlineStr">
        <is>
          <t>중소기업</t>
        </is>
      </c>
      <c r="L561" t="inlineStr">
        <is>
          <t>외부감사대상</t>
        </is>
      </c>
      <c r="M561" s="6" t="inlineStr">
        <is>
          <t>2006-04-10</t>
        </is>
      </c>
      <c r="N561" t="inlineStr">
        <is>
          <t>KRI:10G4641300</t>
        </is>
      </c>
      <c r="O561" t="inlineStr">
        <is>
          <t>남녀용 겉옷 및 셔츠 도매업</t>
        </is>
      </c>
      <c r="P561" t="inlineStr">
        <is>
          <t>의류제품,장신구 도소매,무역,전자상거래/컨설팅</t>
        </is>
      </c>
      <c r="Q561" t="inlineStr">
        <is>
          <t>서울 강남구 논현동 119번지 19층</t>
        </is>
      </c>
      <c r="R561" t="inlineStr">
        <is>
          <t>서울 강남구 학동로 343, 19층</t>
        </is>
      </c>
    </row>
    <row r="562">
      <c r="A562" t="inlineStr">
        <is>
          <t>NICE:690840</t>
        </is>
      </c>
      <c r="B562" t="inlineStr">
        <is>
          <t>에스엠아이</t>
        </is>
      </c>
      <c r="C562" t="inlineStr">
        <is>
          <t>하관호</t>
        </is>
      </c>
      <c r="D562" t="inlineStr">
        <is>
          <t>043-267-7651</t>
        </is>
      </c>
      <c r="E562" t="inlineStr">
        <is>
          <t>043-267-7652</t>
        </is>
      </c>
      <c r="G562" t="inlineStr">
        <is>
          <t>3018193212</t>
        </is>
      </c>
      <c r="H562" t="inlineStr">
        <is>
          <t>1501110103907</t>
        </is>
      </c>
      <c r="I562" t="inlineStr">
        <is>
          <t>대상아님</t>
        </is>
      </c>
      <c r="J562" t="inlineStr">
        <is>
          <t>일반법인</t>
        </is>
      </c>
      <c r="K562" t="inlineStr">
        <is>
          <t>중소기업</t>
        </is>
      </c>
      <c r="L562" t="inlineStr">
        <is>
          <t>외부감사대상</t>
        </is>
      </c>
      <c r="M562" s="6" t="inlineStr">
        <is>
          <t>2004-07-01</t>
        </is>
      </c>
      <c r="N562" t="inlineStr">
        <is>
          <t>KRI:10C2927100</t>
        </is>
      </c>
      <c r="O562" t="inlineStr">
        <is>
          <t>반도체 제조용 기계 제조업</t>
        </is>
      </c>
      <c r="P562" t="inlineStr">
        <is>
          <t>반도체장비,반도체부품,컴퓨터부품 제조</t>
        </is>
      </c>
      <c r="Q562" t="inlineStr">
        <is>
          <t>충북 청주시 흥덕구 옥산면 국사리 551-1번지</t>
        </is>
      </c>
      <c r="R562" t="inlineStr">
        <is>
          <t>충북 청주시 흥덕구 옥산면 국사길 241</t>
        </is>
      </c>
    </row>
    <row r="563" ht="19.2" customHeight="1" s="1">
      <c r="A563" t="inlineStr">
        <is>
          <t>NICE:691332</t>
        </is>
      </c>
      <c r="B563" t="inlineStr">
        <is>
          <t>아주뉴스코퍼레이션</t>
        </is>
      </c>
      <c r="C563" t="inlineStr">
        <is>
          <t>곽영길</t>
        </is>
      </c>
      <c r="D563" t="inlineStr">
        <is>
          <t>02-767-1500</t>
        </is>
      </c>
      <c r="E563" t="inlineStr">
        <is>
          <t>02-767-1589</t>
        </is>
      </c>
      <c r="F563" s="3">
        <f>HYPERLINK("http://www.ajunews.com", "http://www.ajunews.com")</f>
        <v/>
      </c>
      <c r="G563" t="inlineStr">
        <is>
          <t>1048610221</t>
        </is>
      </c>
      <c r="H563" t="inlineStr">
        <is>
          <t>1101113753525</t>
        </is>
      </c>
      <c r="I563" t="inlineStr">
        <is>
          <t>대상아님</t>
        </is>
      </c>
      <c r="J563" t="inlineStr">
        <is>
          <t>일반법인</t>
        </is>
      </c>
      <c r="K563" t="inlineStr">
        <is>
          <t>중소기업</t>
        </is>
      </c>
      <c r="L563" t="inlineStr">
        <is>
          <t>외부감사대상</t>
        </is>
      </c>
      <c r="M563" s="6" t="inlineStr">
        <is>
          <t>2007-09-12</t>
        </is>
      </c>
      <c r="N563" t="inlineStr">
        <is>
          <t>KRI:10J5812100</t>
        </is>
      </c>
      <c r="O563" t="inlineStr">
        <is>
          <t>신문 발행업</t>
        </is>
      </c>
      <c r="P563" t="inlineStr">
        <is>
          <t>신문 발행/주택신축 판매/소프트웨어 개발,온라인정보통신,컨설팅</t>
        </is>
      </c>
      <c r="Q563" t="inlineStr">
        <is>
          <t>서울 종로구 수송동 146-1번지 이마빌딩 11층</t>
        </is>
      </c>
      <c r="R563" t="inlineStr">
        <is>
          <t>서울 종로구 종로1길 42, 11층 (수송동,이마빌딩)</t>
        </is>
      </c>
    </row>
    <row r="564" ht="19.2" customHeight="1" s="1">
      <c r="A564" t="inlineStr">
        <is>
          <t>NICE:694979</t>
        </is>
      </c>
      <c r="B564" t="inlineStr">
        <is>
          <t>다림티센</t>
        </is>
      </c>
      <c r="C564" t="inlineStr">
        <is>
          <t>정종섭/정환규</t>
        </is>
      </c>
      <c r="D564" t="inlineStr">
        <is>
          <t>02-3142-0846</t>
        </is>
      </c>
      <c r="E564" t="inlineStr">
        <is>
          <t>02-3142-0847</t>
        </is>
      </c>
      <c r="F564" s="3">
        <f>HYPERLINK("https://www.dalimtissen.com", "https://www.dalimtissen.com")</f>
        <v/>
      </c>
      <c r="G564" t="inlineStr">
        <is>
          <t>1058688474</t>
        </is>
      </c>
      <c r="H564" t="inlineStr">
        <is>
          <t>1101113387580</t>
        </is>
      </c>
      <c r="I564" t="inlineStr">
        <is>
          <t>대상아님</t>
        </is>
      </c>
      <c r="J564" t="inlineStr">
        <is>
          <t>일반법인</t>
        </is>
      </c>
      <c r="K564" t="inlineStr">
        <is>
          <t>중소기업</t>
        </is>
      </c>
      <c r="L564" t="inlineStr">
        <is>
          <t>외부감사대상</t>
        </is>
      </c>
      <c r="M564" s="6" t="inlineStr">
        <is>
          <t>2006-01-25</t>
        </is>
      </c>
      <c r="N564" t="inlineStr">
        <is>
          <t>KRI:10C2719900</t>
        </is>
      </c>
      <c r="O564" t="inlineStr">
        <is>
          <t>그 외 기타 의료용 기기 제조업</t>
        </is>
      </c>
      <c r="P564" t="inlineStr">
        <is>
          <t>의료기기,화장품 제조,도소매/학술연구,연구개발</t>
        </is>
      </c>
      <c r="Q564" t="inlineStr">
        <is>
          <t>서울 마포구 연남동 383-93번지 연남빌딩 3층,4층,5층</t>
        </is>
      </c>
      <c r="R564" t="inlineStr">
        <is>
          <t>서울 마포구 연희로 31, 3층,4층,5층 (연남동,연남빌딩)</t>
        </is>
      </c>
    </row>
    <row r="565" ht="19.2" customHeight="1" s="1">
      <c r="A565" t="inlineStr">
        <is>
          <t>NICE:695297</t>
        </is>
      </c>
      <c r="B565" t="inlineStr">
        <is>
          <t>램리서치코리아</t>
        </is>
      </c>
      <c r="C565" t="inlineStr">
        <is>
          <t>박준홍</t>
        </is>
      </c>
      <c r="D565" t="inlineStr">
        <is>
          <t>031-710-6600</t>
        </is>
      </c>
      <c r="E565" t="inlineStr">
        <is>
          <t>031-546-2951</t>
        </is>
      </c>
      <c r="F565" s="3">
        <f>HYPERLINK("http://www.lamresearch.com/ko/", "http://www.lamresearch.com/ko/")</f>
        <v/>
      </c>
      <c r="G565" t="inlineStr">
        <is>
          <t>2158145286</t>
        </is>
      </c>
      <c r="H565" t="inlineStr">
        <is>
          <t>1311140002023</t>
        </is>
      </c>
      <c r="I565" t="inlineStr">
        <is>
          <t>대상아님</t>
        </is>
      </c>
      <c r="J565" t="inlineStr">
        <is>
          <t>일반법인</t>
        </is>
      </c>
      <c r="K565" t="inlineStr">
        <is>
          <t>중소기업</t>
        </is>
      </c>
      <c r="L565" t="inlineStr">
        <is>
          <t>외부감사대상</t>
        </is>
      </c>
      <c r="M565" s="6" t="inlineStr">
        <is>
          <t>1991-04-12</t>
        </is>
      </c>
      <c r="N565" t="inlineStr">
        <is>
          <t>KRI:10G4680000</t>
        </is>
      </c>
      <c r="O565" t="inlineStr">
        <is>
          <t>상품 종합 도매업</t>
        </is>
      </c>
      <c r="P565" t="inlineStr">
        <is>
          <t>무역(반도체제조장비,부품)/오파</t>
        </is>
      </c>
      <c r="Q565" t="inlineStr">
        <is>
          <t>경기 용인시 기흥구 지곡동 720번지 2층</t>
        </is>
      </c>
      <c r="R565" t="inlineStr">
        <is>
          <t>경기 용인시 기흥구 지삼로201번길 54, 2층</t>
        </is>
      </c>
    </row>
    <row r="566" ht="19.2" customHeight="1" s="1">
      <c r="A566" t="inlineStr">
        <is>
          <t>NICE:695645</t>
        </is>
      </c>
      <c r="B566" t="inlineStr">
        <is>
          <t>삼경프라자</t>
        </is>
      </c>
      <c r="C566" t="inlineStr">
        <is>
          <t>김영현</t>
        </is>
      </c>
      <c r="D566" t="inlineStr">
        <is>
          <t>031-761-1114</t>
        </is>
      </c>
      <c r="E566" t="inlineStr">
        <is>
          <t>031-761-1113</t>
        </is>
      </c>
      <c r="F566" s="3">
        <f>HYPERLINK("http://www.samkyung.com", "http://www.samkyung.com")</f>
        <v/>
      </c>
      <c r="G566" t="inlineStr">
        <is>
          <t>2138142717</t>
        </is>
      </c>
      <c r="H566" t="inlineStr">
        <is>
          <t>1101110656350</t>
        </is>
      </c>
      <c r="I566" t="inlineStr">
        <is>
          <t>대상아님</t>
        </is>
      </c>
      <c r="J566" t="inlineStr">
        <is>
          <t>일반법인</t>
        </is>
      </c>
      <c r="K566" t="inlineStr">
        <is>
          <t>중소기업</t>
        </is>
      </c>
      <c r="L566" t="inlineStr">
        <is>
          <t>외부감사대상</t>
        </is>
      </c>
      <c r="M566" s="6" t="inlineStr">
        <is>
          <t>1989-10-30</t>
        </is>
      </c>
      <c r="N566" t="inlineStr">
        <is>
          <t>KRI:10G4680000</t>
        </is>
      </c>
      <c r="O566" t="inlineStr">
        <is>
          <t>상품 종합 도매업</t>
        </is>
      </c>
      <c r="P566" t="inlineStr">
        <is>
          <t>수출입업및대행，식품잡화</t>
        </is>
      </c>
      <c r="Q566" t="inlineStr">
        <is>
          <t>경기 광주시 곤지암읍 신촌리 8-1번지</t>
        </is>
      </c>
      <c r="R566" t="inlineStr">
        <is>
          <t>경기 광주시 곤지암읍 새재길 78</t>
        </is>
      </c>
    </row>
    <row r="567" ht="19.2" customHeight="1" s="1">
      <c r="A567" t="inlineStr">
        <is>
          <t>NICE:698129</t>
        </is>
      </c>
      <c r="B567" t="inlineStr">
        <is>
          <t>바이오앤텍</t>
        </is>
      </c>
      <c r="C567" t="inlineStr">
        <is>
          <t>권태균/유한준</t>
        </is>
      </c>
      <c r="D567" t="inlineStr">
        <is>
          <t>031-776-2336</t>
        </is>
      </c>
      <c r="E567" t="inlineStr">
        <is>
          <t>031-776-2340</t>
        </is>
      </c>
      <c r="F567" s="3">
        <f>HYPERLINK("http://www.ibiontech.com", "http://www.ibiontech.com")</f>
        <v/>
      </c>
      <c r="G567" t="inlineStr">
        <is>
          <t>1298188892</t>
        </is>
      </c>
      <c r="H567" t="inlineStr">
        <is>
          <t>1311110147594</t>
        </is>
      </c>
      <c r="I567" t="inlineStr">
        <is>
          <t>대상아님</t>
        </is>
      </c>
      <c r="J567" t="inlineStr">
        <is>
          <t>일반법인</t>
        </is>
      </c>
      <c r="K567" t="inlineStr">
        <is>
          <t>중소기업</t>
        </is>
      </c>
      <c r="L567" t="inlineStr">
        <is>
          <t>외부감사대상</t>
        </is>
      </c>
      <c r="M567" s="6" t="inlineStr">
        <is>
          <t>2005-08-29</t>
        </is>
      </c>
      <c r="N567" t="inlineStr">
        <is>
          <t>KRI:10G4673900</t>
        </is>
      </c>
      <c r="O567" t="inlineStr">
        <is>
          <t>기타 화학물질 및 화학제품 도매업</t>
        </is>
      </c>
      <c r="P567" t="inlineStr">
        <is>
          <t>화장품원료,화공약품 도매,제조/무역/부동산 임대</t>
        </is>
      </c>
      <c r="Q567" t="inlineStr">
        <is>
          <t>경기 성남시 중원구 상대원동 190-1번지 에스케이엔테크노파크 테크센터동 708호</t>
        </is>
      </c>
      <c r="R567" t="inlineStr">
        <is>
          <t>경기 성남시 중원구 사기막골로 124, 테크센터동 708호 (상대원동,에스케이엔테크노파크)</t>
        </is>
      </c>
    </row>
    <row r="568" ht="19.2" customHeight="1" s="1">
      <c r="A568" t="inlineStr">
        <is>
          <t>NICE:700266</t>
        </is>
      </c>
      <c r="B568" t="inlineStr">
        <is>
          <t>에스이더블류유로드라이브코리아</t>
        </is>
      </c>
      <c r="C568" t="inlineStr">
        <is>
          <t>허장혁</t>
        </is>
      </c>
      <c r="D568" t="inlineStr">
        <is>
          <t>031-492-8051</t>
        </is>
      </c>
      <c r="E568" t="inlineStr">
        <is>
          <t>031-492-8056</t>
        </is>
      </c>
      <c r="F568" s="3">
        <f>HYPERLINK("http://www.sew-eurodrive.kr", "http://www.sew-eurodrive.kr")</f>
        <v/>
      </c>
      <c r="G568" t="inlineStr">
        <is>
          <t>1348115708</t>
        </is>
      </c>
      <c r="H568" t="inlineStr">
        <is>
          <t>1101110732085</t>
        </is>
      </c>
      <c r="I568" t="inlineStr">
        <is>
          <t>대상아님</t>
        </is>
      </c>
      <c r="J568" t="inlineStr">
        <is>
          <t>일반법인</t>
        </is>
      </c>
      <c r="K568" t="inlineStr">
        <is>
          <t>중소기업</t>
        </is>
      </c>
      <c r="L568" t="inlineStr">
        <is>
          <t>외부감사대상</t>
        </is>
      </c>
      <c r="M568" s="6" t="inlineStr">
        <is>
          <t>1990-11-16</t>
        </is>
      </c>
      <c r="N568" t="inlineStr">
        <is>
          <t>KRI:10C2914200</t>
        </is>
      </c>
      <c r="O568" t="inlineStr">
        <is>
          <t>기어 및 동력전달장치 제조업</t>
        </is>
      </c>
      <c r="P568" t="inlineStr">
        <is>
          <t>변속전동기,감속기,모타,인버터 제조,도매,무역</t>
        </is>
      </c>
      <c r="Q568" t="inlineStr">
        <is>
          <t>경기 안산시 단원구 신길동 1048-4번지</t>
        </is>
      </c>
      <c r="R568" t="inlineStr">
        <is>
          <t>경기 안산시 단원구 당쟁이로 7</t>
        </is>
      </c>
    </row>
    <row r="569" ht="19.2" customHeight="1" s="1">
      <c r="A569" t="inlineStr">
        <is>
          <t>NICE:700720</t>
        </is>
      </c>
      <c r="B569" t="inlineStr">
        <is>
          <t>아마다웰드테크코리아</t>
        </is>
      </c>
      <c r="C569" t="inlineStr">
        <is>
          <t>오자와하루타카</t>
        </is>
      </c>
      <c r="D569" t="inlineStr">
        <is>
          <t>031-8015-6810</t>
        </is>
      </c>
      <c r="E569" t="inlineStr">
        <is>
          <t>031-8003-5995</t>
        </is>
      </c>
      <c r="F569" s="3">
        <f>HYPERLINK("http://www.amadaweldtech.co.kr", "http://www.amadaweldtech.co.kr")</f>
        <v/>
      </c>
      <c r="G569" t="inlineStr">
        <is>
          <t>2298105487</t>
        </is>
      </c>
      <c r="H569" t="inlineStr">
        <is>
          <t>1101110767347</t>
        </is>
      </c>
      <c r="I569" t="inlineStr">
        <is>
          <t>대상아님</t>
        </is>
      </c>
      <c r="J569" t="inlineStr">
        <is>
          <t>일반법인</t>
        </is>
      </c>
      <c r="K569" t="inlineStr">
        <is>
          <t>중견기업</t>
        </is>
      </c>
      <c r="L569" t="inlineStr">
        <is>
          <t>외부감사대상</t>
        </is>
      </c>
      <c r="M569" s="6" t="inlineStr">
        <is>
          <t>1991-04-02</t>
        </is>
      </c>
      <c r="N569" t="inlineStr">
        <is>
          <t>KRI:10G4653900</t>
        </is>
      </c>
      <c r="O569" t="inlineStr">
        <is>
          <t>기타 산업용 기계 및 장비 도매업</t>
        </is>
      </c>
      <c r="P569" t="inlineStr">
        <is>
          <t>레이저용접기기,레이저마킹기계,전기용접기 도매,무역,오파,제조</t>
        </is>
      </c>
      <c r="Q569" t="inlineStr">
        <is>
          <t>경기 화성시 동탄구 능동 1060번지</t>
        </is>
      </c>
      <c r="R569" t="inlineStr">
        <is>
          <t>경기 화성시 동탄구 동탄하나1길 28</t>
        </is>
      </c>
    </row>
    <row r="570" ht="19.2" customHeight="1" s="1">
      <c r="A570" t="inlineStr">
        <is>
          <t>NICE:710288</t>
        </is>
      </c>
      <c r="B570" t="inlineStr">
        <is>
          <t>천경</t>
        </is>
      </c>
      <c r="C570" t="inlineStr">
        <is>
          <t>서성훈</t>
        </is>
      </c>
      <c r="D570" t="inlineStr">
        <is>
          <t>055-383-8625</t>
        </is>
      </c>
      <c r="E570" t="inlineStr">
        <is>
          <t>055-383-7159</t>
        </is>
      </c>
      <c r="F570" s="3">
        <f>HYPERLINK("http://www.ckco.biz", "http://www.ckco.biz")</f>
        <v/>
      </c>
      <c r="G570" t="inlineStr">
        <is>
          <t>6078117733</t>
        </is>
      </c>
      <c r="H570" t="inlineStr">
        <is>
          <t>1801110020189</t>
        </is>
      </c>
      <c r="I570" t="inlineStr">
        <is>
          <t>대상아님</t>
        </is>
      </c>
      <c r="J570" t="inlineStr">
        <is>
          <t>일반법인</t>
        </is>
      </c>
      <c r="K570" t="inlineStr">
        <is>
          <t>중견기업</t>
        </is>
      </c>
      <c r="L570" t="inlineStr">
        <is>
          <t>외부감사대상</t>
        </is>
      </c>
      <c r="M570" s="6" t="inlineStr">
        <is>
          <t>1974-02-02</t>
        </is>
      </c>
      <c r="N570" t="inlineStr">
        <is>
          <t>KRI:10H5012200</t>
        </is>
      </c>
      <c r="O570" t="inlineStr">
        <is>
          <t>내항 화물 운송업</t>
        </is>
      </c>
      <c r="P570" t="inlineStr">
        <is>
          <t>콘테이너 운송,복합운송주선,특수화물차 운송/일반건축공사/건설기계 대여(건설)/항만하역/창고</t>
        </is>
      </c>
      <c r="Q570" t="inlineStr">
        <is>
          <t>경남 양산시 물금읍 증산리 1416번지</t>
        </is>
      </c>
      <c r="R570" t="inlineStr">
        <is>
          <t>경남 양산시 물금읍 제방로 285</t>
        </is>
      </c>
    </row>
    <row r="571" ht="19.2" customHeight="1" s="1">
      <c r="A571" t="inlineStr">
        <is>
          <t>NICE:710881</t>
        </is>
      </c>
      <c r="B571" t="inlineStr">
        <is>
          <t>아라리오</t>
        </is>
      </c>
      <c r="C571" t="inlineStr">
        <is>
          <t>김문수</t>
        </is>
      </c>
      <c r="D571" t="inlineStr">
        <is>
          <t>041-640-6000</t>
        </is>
      </c>
      <c r="E571" t="inlineStr">
        <is>
          <t>041-640-6068</t>
        </is>
      </c>
      <c r="F571" s="3">
        <f>HYPERLINK("http://www.arario.co.kr", "http://www.arario.co.kr")</f>
        <v/>
      </c>
      <c r="G571" t="inlineStr">
        <is>
          <t>3128104553</t>
        </is>
      </c>
      <c r="H571" t="inlineStr">
        <is>
          <t>1615110003396</t>
        </is>
      </c>
      <c r="I571" t="inlineStr">
        <is>
          <t>대상아님</t>
        </is>
      </c>
      <c r="J571" t="inlineStr">
        <is>
          <t>일반법인</t>
        </is>
      </c>
      <c r="K571" t="inlineStr">
        <is>
          <t>중소기업</t>
        </is>
      </c>
      <c r="L571" t="inlineStr">
        <is>
          <t>외부감사대상</t>
        </is>
      </c>
      <c r="M571" s="6" t="inlineStr">
        <is>
          <t>1986-12-10</t>
        </is>
      </c>
      <c r="N571" t="inlineStr">
        <is>
          <t>KRI:10G4711100</t>
        </is>
      </c>
      <c r="O571" t="inlineStr">
        <is>
          <t>백화점</t>
        </is>
      </c>
      <c r="P571" t="inlineStr">
        <is>
          <t>백화점 경영/종합 소매/화랑,미술관/간이,휴게 음식/부동산 임대</t>
        </is>
      </c>
      <c r="Q571" t="inlineStr">
        <is>
          <t>충남 천안시 동남구 신부동 354-1번지</t>
        </is>
      </c>
      <c r="R571" t="inlineStr">
        <is>
          <t>충남 천안시 동남구 만남로 43</t>
        </is>
      </c>
    </row>
    <row r="572" ht="19.2" customHeight="1" s="1">
      <c r="A572" t="inlineStr">
        <is>
          <t>NICE:711195</t>
        </is>
      </c>
      <c r="B572" t="inlineStr">
        <is>
          <t>성호해운</t>
        </is>
      </c>
      <c r="C572" t="inlineStr">
        <is>
          <t>신홍주</t>
        </is>
      </c>
      <c r="D572" t="inlineStr">
        <is>
          <t>051-463-2686</t>
        </is>
      </c>
      <c r="E572" t="inlineStr">
        <is>
          <t>051-462-2167</t>
        </is>
      </c>
      <c r="F572" s="3">
        <f>HYPERLINK("http://www.seonghoshipping.co.kr", "http://www.seonghoshipping.co.kr")</f>
        <v/>
      </c>
      <c r="G572" t="inlineStr">
        <is>
          <t>6018101096</t>
        </is>
      </c>
      <c r="H572" t="inlineStr">
        <is>
          <t>1801110005595</t>
        </is>
      </c>
      <c r="I572" t="inlineStr">
        <is>
          <t>대상아님</t>
        </is>
      </c>
      <c r="J572" t="inlineStr">
        <is>
          <t>일반법인</t>
        </is>
      </c>
      <c r="K572" t="inlineStr">
        <is>
          <t>중소기업</t>
        </is>
      </c>
      <c r="L572" t="inlineStr">
        <is>
          <t>외부감사대상</t>
        </is>
      </c>
      <c r="M572" s="6" t="inlineStr">
        <is>
          <t>1965-11-29</t>
        </is>
      </c>
      <c r="N572" t="inlineStr">
        <is>
          <t>KRI:10H5011200</t>
        </is>
      </c>
      <c r="O572" t="inlineStr">
        <is>
          <t>외항 화물 운송업</t>
        </is>
      </c>
      <c r="P572" t="inlineStr">
        <is>
          <t>유조선 운송,선박 운항</t>
        </is>
      </c>
      <c r="Q572" t="inlineStr">
        <is>
          <t>부산 중구 중앙동4가 79-9번지 관정빌딩 12층</t>
        </is>
      </c>
      <c r="R572" t="inlineStr">
        <is>
          <t>부산 중구 충장대로9번길 46, 12층 (중앙동4가,관정빌딩)</t>
        </is>
      </c>
    </row>
    <row r="573" ht="19.2" customHeight="1" s="1">
      <c r="A573" t="inlineStr">
        <is>
          <t>NICE:711268</t>
        </is>
      </c>
      <c r="B573" t="inlineStr">
        <is>
          <t>신세계센트럴</t>
        </is>
      </c>
      <c r="C573" t="inlineStr">
        <is>
          <t>박주형</t>
        </is>
      </c>
      <c r="D573" t="inlineStr">
        <is>
          <t>02-6282-0114</t>
        </is>
      </c>
      <c r="E573" t="inlineStr">
        <is>
          <t>02-6424-4059</t>
        </is>
      </c>
      <c r="F573" s="3">
        <f>HYPERLINK("http://www.shinsegaecentral.com", "http://www.shinsegaecentral.com")</f>
        <v/>
      </c>
      <c r="G573" t="inlineStr">
        <is>
          <t>1148100569</t>
        </is>
      </c>
      <c r="H573" t="inlineStr">
        <is>
          <t>1101110087612</t>
        </is>
      </c>
      <c r="I573" t="inlineStr">
        <is>
          <t>대상아님</t>
        </is>
      </c>
      <c r="J573" t="inlineStr">
        <is>
          <t>일반법인</t>
        </is>
      </c>
      <c r="K573" t="inlineStr">
        <is>
          <t>대기업</t>
        </is>
      </c>
      <c r="L573" t="inlineStr">
        <is>
          <t>외부감사대상</t>
        </is>
      </c>
      <c r="M573" s="6" t="inlineStr">
        <is>
          <t>1968-03-15</t>
        </is>
      </c>
      <c r="N573" t="inlineStr">
        <is>
          <t>KRI:10L6811200</t>
        </is>
      </c>
      <c r="O573" t="inlineStr">
        <is>
          <t>비주거용 건물 임대업</t>
        </is>
      </c>
      <c r="P573" t="inlineStr">
        <is>
          <t>부동산 임대/여객 터미널/관광 호텔</t>
        </is>
      </c>
      <c r="Q573" t="inlineStr">
        <is>
          <t>서울 서초구 반포동 19-3번지</t>
        </is>
      </c>
      <c r="R573" t="inlineStr">
        <is>
          <t>서울 서초구 신반포로 176</t>
        </is>
      </c>
    </row>
    <row r="574" ht="19.2" customHeight="1" s="1">
      <c r="A574" t="inlineStr">
        <is>
          <t>NICE:715492</t>
        </is>
      </c>
      <c r="B574" t="inlineStr">
        <is>
          <t>한울생약</t>
        </is>
      </c>
      <c r="C574" t="inlineStr">
        <is>
          <t>한영돈/한종우</t>
        </is>
      </c>
      <c r="D574" t="inlineStr">
        <is>
          <t>031-944-0015</t>
        </is>
      </c>
      <c r="E574" t="inlineStr">
        <is>
          <t>031-944-8515</t>
        </is>
      </c>
      <c r="F574" s="3">
        <f>HYPERLINK("http://www.hanul.co.kr", "http://www.hanul.co.kr")</f>
        <v/>
      </c>
      <c r="G574" t="inlineStr">
        <is>
          <t>1288110616</t>
        </is>
      </c>
      <c r="H574" t="inlineStr">
        <is>
          <t>1159110002031</t>
        </is>
      </c>
      <c r="I574" t="inlineStr">
        <is>
          <t>대상아님</t>
        </is>
      </c>
      <c r="J574" t="inlineStr">
        <is>
          <t>일반법인</t>
        </is>
      </c>
      <c r="K574" t="inlineStr">
        <is>
          <t>중소기업</t>
        </is>
      </c>
      <c r="L574" t="inlineStr">
        <is>
          <t>외부감사대상</t>
        </is>
      </c>
      <c r="M574" s="6" t="inlineStr">
        <is>
          <t>1991-08-09</t>
        </is>
      </c>
      <c r="N574" t="inlineStr">
        <is>
          <t>KRI:10C1790200</t>
        </is>
      </c>
      <c r="O574" t="inlineStr">
        <is>
          <t>위생용 종이제품 제조업</t>
        </is>
      </c>
      <c r="P574" t="inlineStr">
        <is>
          <t>위생용 종이제품(물티슈) 제조</t>
        </is>
      </c>
      <c r="Q574" t="inlineStr">
        <is>
          <t>경기 파주시 문산읍 선유리 1373-14번지</t>
        </is>
      </c>
      <c r="R574" t="inlineStr">
        <is>
          <t>경기 파주시 문산읍 돈유2로 170</t>
        </is>
      </c>
    </row>
    <row r="575" ht="19.2" customHeight="1" s="1">
      <c r="A575" t="inlineStr">
        <is>
          <t>NICE:719250</t>
        </is>
      </c>
      <c r="B575" t="inlineStr">
        <is>
          <t>한국퀄컴</t>
        </is>
      </c>
      <c r="C575" t="inlineStr">
        <is>
          <t>디셈버그린엔리케즈</t>
        </is>
      </c>
      <c r="D575" t="inlineStr">
        <is>
          <t>02-3404-1114</t>
        </is>
      </c>
      <c r="E575" t="inlineStr">
        <is>
          <t>02-3404-1123</t>
        </is>
      </c>
      <c r="F575" s="3">
        <f>HYPERLINK("http://www.qualcomm.com", "http://www.qualcomm.com")</f>
        <v/>
      </c>
      <c r="G575" t="inlineStr">
        <is>
          <t>1208176201</t>
        </is>
      </c>
      <c r="H575" t="inlineStr">
        <is>
          <t>1101140228898</t>
        </is>
      </c>
      <c r="I575" t="inlineStr">
        <is>
          <t>대상아님</t>
        </is>
      </c>
      <c r="J575" t="inlineStr">
        <is>
          <t>일반법인</t>
        </is>
      </c>
      <c r="K575" t="inlineStr">
        <is>
          <t>중소기업</t>
        </is>
      </c>
      <c r="L575" t="inlineStr">
        <is>
          <t>외부감사대상</t>
        </is>
      </c>
      <c r="M575" s="6" t="inlineStr">
        <is>
          <t>1997-09-12</t>
        </is>
      </c>
      <c r="N575" t="inlineStr">
        <is>
          <t>KRI:10H5210100</t>
        </is>
      </c>
      <c r="O575" t="inlineStr">
        <is>
          <t>일반 창고업</t>
        </is>
      </c>
      <c r="P575" t="inlineStr">
        <is>
          <t>창고/통신장비,전기용기계장비,관련기자재,산업용기계장비 도소매/무역,무역중개/토목공사,통신공사</t>
        </is>
      </c>
      <c r="Q575" t="inlineStr">
        <is>
          <t>서울 용산구 한강로2가 424번지 15층</t>
        </is>
      </c>
      <c r="R575" t="inlineStr">
        <is>
          <t>서울 용산구 한강대로 100, 15층</t>
        </is>
      </c>
    </row>
    <row r="576" ht="19.2" customHeight="1" s="1">
      <c r="A576" t="inlineStr">
        <is>
          <t>NICE:720496</t>
        </is>
      </c>
      <c r="B576" t="inlineStr">
        <is>
          <t>부관훼리</t>
        </is>
      </c>
      <c r="C576" t="inlineStr">
        <is>
          <t>무라카미키요타카/시라하타마사미치</t>
        </is>
      </c>
      <c r="D576" t="inlineStr">
        <is>
          <t>051-463-3161</t>
        </is>
      </c>
      <c r="E576" t="inlineStr">
        <is>
          <t>051-466-7252</t>
        </is>
      </c>
      <c r="F576" s="3">
        <f>HYPERLINK("http://www.pukwan.co.kr", "http://www.pukwan.co.kr")</f>
        <v/>
      </c>
      <c r="G576" t="inlineStr">
        <is>
          <t>6018103401</t>
        </is>
      </c>
      <c r="H576" t="inlineStr">
        <is>
          <t>1801110005511</t>
        </is>
      </c>
      <c r="I576" t="inlineStr">
        <is>
          <t>대상아님</t>
        </is>
      </c>
      <c r="J576" t="inlineStr">
        <is>
          <t>일반법인</t>
        </is>
      </c>
      <c r="K576" t="inlineStr">
        <is>
          <t>중소기업</t>
        </is>
      </c>
      <c r="L576" t="inlineStr">
        <is>
          <t>외부감사대상</t>
        </is>
      </c>
      <c r="M576" s="6" t="inlineStr">
        <is>
          <t>1969-08-30</t>
        </is>
      </c>
      <c r="N576" t="inlineStr">
        <is>
          <t>KRI:10H5011100</t>
        </is>
      </c>
      <c r="O576" t="inlineStr">
        <is>
          <t>외항 여객 운송업</t>
        </is>
      </c>
      <c r="P576" t="inlineStr">
        <is>
          <t>정기여객선,화물 운송</t>
        </is>
      </c>
      <c r="Q576" t="inlineStr">
        <is>
          <t>부산 동구 초량동 45-39번지 부산항국제여객터미널</t>
        </is>
      </c>
      <c r="R576" t="inlineStr">
        <is>
          <t>부산 동구 충장대로 206 (초량동,부산항국제여객터미널)</t>
        </is>
      </c>
    </row>
    <row r="577">
      <c r="A577" t="inlineStr">
        <is>
          <t>NICE:720631</t>
        </is>
      </c>
      <c r="B577" t="inlineStr">
        <is>
          <t>삼부해운</t>
        </is>
      </c>
      <c r="C577" t="inlineStr">
        <is>
          <t>허영환</t>
        </is>
      </c>
      <c r="D577" t="inlineStr">
        <is>
          <t>051-465-6501</t>
        </is>
      </c>
      <c r="E577" t="inlineStr">
        <is>
          <t>051-464-0525</t>
        </is>
      </c>
      <c r="G577" t="inlineStr">
        <is>
          <t>6018101970</t>
        </is>
      </c>
      <c r="H577" t="inlineStr">
        <is>
          <t>1801110007260</t>
        </is>
      </c>
      <c r="I577" t="inlineStr">
        <is>
          <t>대상아님</t>
        </is>
      </c>
      <c r="J577" t="inlineStr">
        <is>
          <t>일반법인</t>
        </is>
      </c>
      <c r="K577" t="inlineStr">
        <is>
          <t>중소기업</t>
        </is>
      </c>
      <c r="L577" t="inlineStr">
        <is>
          <t>외부감사대상</t>
        </is>
      </c>
      <c r="M577" s="6" t="inlineStr">
        <is>
          <t>1967-10-02</t>
        </is>
      </c>
      <c r="N577" t="inlineStr">
        <is>
          <t>KRI:10H5011200</t>
        </is>
      </c>
      <c r="O577" t="inlineStr">
        <is>
          <t>외항 화물 운송업</t>
        </is>
      </c>
      <c r="P577" t="inlineStr">
        <is>
          <t>해상화물(석유화학제품)외항,내항운송</t>
        </is>
      </c>
      <c r="Q577" t="inlineStr">
        <is>
          <t>서울 영등포구 여의도동 25-5번지 동화빌딩 1306호</t>
        </is>
      </c>
      <c r="R577" t="inlineStr">
        <is>
          <t>서울 영등포구 여의나루로 71, 1306호 (여의도동,동화빌딩)</t>
        </is>
      </c>
    </row>
    <row r="578">
      <c r="A578" t="inlineStr">
        <is>
          <t>NICE:723765</t>
        </is>
      </c>
      <c r="B578" t="inlineStr">
        <is>
          <t>킹스팜</t>
        </is>
      </c>
      <c r="C578" t="inlineStr">
        <is>
          <t>정성원</t>
        </is>
      </c>
      <c r="D578" t="inlineStr">
        <is>
          <t>031-456-1093</t>
        </is>
      </c>
      <c r="E578" t="inlineStr">
        <is>
          <t>031-455-7358</t>
        </is>
      </c>
      <c r="G578" t="inlineStr">
        <is>
          <t>1238603186</t>
        </is>
      </c>
      <c r="H578" t="inlineStr">
        <is>
          <t>1351110076749</t>
        </is>
      </c>
      <c r="I578" t="inlineStr">
        <is>
          <t>대상아님</t>
        </is>
      </c>
      <c r="J578" t="inlineStr">
        <is>
          <t>일반법인</t>
        </is>
      </c>
      <c r="K578" t="inlineStr">
        <is>
          <t>중소기업</t>
        </is>
      </c>
      <c r="L578" t="inlineStr">
        <is>
          <t>외부감사대상</t>
        </is>
      </c>
      <c r="M578" s="6" t="inlineStr">
        <is>
          <t>2005-07-29</t>
        </is>
      </c>
      <c r="N578" t="inlineStr">
        <is>
          <t>KRI:10G4644100</t>
        </is>
      </c>
      <c r="O578" t="inlineStr">
        <is>
          <t>의약품 도매업</t>
        </is>
      </c>
      <c r="P578" t="inlineStr">
        <is>
          <t>의약품,건강기능식품,시약 도소매</t>
        </is>
      </c>
      <c r="Q578" t="inlineStr">
        <is>
          <t>경기 군포시 금정동 689-22번지 3층</t>
        </is>
      </c>
      <c r="R578" t="inlineStr">
        <is>
          <t>경기 군포시 공단로 298-7, 3층</t>
        </is>
      </c>
    </row>
    <row r="579" ht="19.2" customHeight="1" s="1">
      <c r="A579" t="inlineStr">
        <is>
          <t>NICE:724475</t>
        </is>
      </c>
      <c r="B579" t="inlineStr">
        <is>
          <t>사마스전자</t>
        </is>
      </c>
      <c r="C579" t="inlineStr">
        <is>
          <t>박노원</t>
        </is>
      </c>
      <c r="D579" t="inlineStr">
        <is>
          <t>02-2143-5943</t>
        </is>
      </c>
      <c r="E579" t="inlineStr">
        <is>
          <t>02-3431-5941</t>
        </is>
      </c>
      <c r="F579" s="3">
        <f>HYPERLINK("http://www.samas.co.kr", "http://www.samas.co.kr")</f>
        <v/>
      </c>
      <c r="G579" t="inlineStr">
        <is>
          <t>3078111111</t>
        </is>
      </c>
      <c r="H579" t="inlineStr">
        <is>
          <t>1646110001379</t>
        </is>
      </c>
      <c r="I579" t="inlineStr">
        <is>
          <t>대상아님</t>
        </is>
      </c>
      <c r="J579" t="inlineStr">
        <is>
          <t>일반법인</t>
        </is>
      </c>
      <c r="K579" t="inlineStr">
        <is>
          <t>중소기업</t>
        </is>
      </c>
      <c r="L579" t="inlineStr">
        <is>
          <t>외부감사대상</t>
        </is>
      </c>
      <c r="M579" s="6" t="inlineStr">
        <is>
          <t>1997-09-19</t>
        </is>
      </c>
      <c r="N579" t="inlineStr">
        <is>
          <t>KRI:10C3039900</t>
        </is>
      </c>
      <c r="O579" t="inlineStr">
        <is>
          <t>그 외 자동차용 신품 부품 제조업</t>
        </is>
      </c>
      <c r="P579" t="inlineStr">
        <is>
          <t>자동차부품 제조,판매</t>
        </is>
      </c>
      <c r="Q579" t="inlineStr">
        <is>
          <t>서울 송파구 방이동 24-3번지 제이타워 6층</t>
        </is>
      </c>
      <c r="R579" t="inlineStr">
        <is>
          <t>서울 송파구 오금로11길 7, 6층 (방이동,제이타워)</t>
        </is>
      </c>
    </row>
    <row r="580" ht="19.2" customHeight="1" s="1">
      <c r="A580" t="inlineStr">
        <is>
          <t>NICE:731375</t>
        </is>
      </c>
      <c r="B580" t="inlineStr">
        <is>
          <t>평택당진항만</t>
        </is>
      </c>
      <c r="C580" t="inlineStr">
        <is>
          <t>배명조</t>
        </is>
      </c>
      <c r="D580" t="inlineStr">
        <is>
          <t>031-683-8833</t>
        </is>
      </c>
      <c r="E580" t="inlineStr">
        <is>
          <t>031-583-2994</t>
        </is>
      </c>
      <c r="F580" s="3">
        <f>HYPERLINK("http://www.ipdl.co.kr", "http://www.ipdl.co.kr")</f>
        <v/>
      </c>
      <c r="G580" t="inlineStr">
        <is>
          <t>1258157117</t>
        </is>
      </c>
      <c r="H580" t="inlineStr">
        <is>
          <t>1313110059208</t>
        </is>
      </c>
      <c r="I580" t="inlineStr">
        <is>
          <t>대상아님</t>
        </is>
      </c>
      <c r="J580" t="inlineStr">
        <is>
          <t>일반법인</t>
        </is>
      </c>
      <c r="K580" t="inlineStr">
        <is>
          <t>중소기업</t>
        </is>
      </c>
      <c r="L580" t="inlineStr">
        <is>
          <t>외부감사대상</t>
        </is>
      </c>
      <c r="M580" s="6" t="inlineStr">
        <is>
          <t>2005-04-18</t>
        </is>
      </c>
      <c r="N580" t="inlineStr">
        <is>
          <t>KRI:10H5294200</t>
        </is>
      </c>
      <c r="O580" t="inlineStr">
        <is>
          <t>수상 화물 취급업</t>
        </is>
      </c>
      <c r="P580" t="inlineStr">
        <is>
          <t>항만 하역</t>
        </is>
      </c>
      <c r="Q580" t="inlineStr">
        <is>
          <t>경기 평택시 포승읍 만호리 570-2번지</t>
        </is>
      </c>
      <c r="R580" t="inlineStr">
        <is>
          <t>경기 평택시 포승읍 평택항만길 75</t>
        </is>
      </c>
    </row>
    <row r="581" ht="19.2" customHeight="1" s="1">
      <c r="A581" t="inlineStr">
        <is>
          <t>NICE:736465</t>
        </is>
      </c>
      <c r="B581" t="inlineStr">
        <is>
          <t>아데카코리아</t>
        </is>
      </c>
      <c r="C581" t="inlineStr">
        <is>
          <t>박종석</t>
        </is>
      </c>
      <c r="D581" t="inlineStr">
        <is>
          <t>063-260-0400</t>
        </is>
      </c>
      <c r="E581" t="inlineStr">
        <is>
          <t>063-262-7338</t>
        </is>
      </c>
      <c r="F581" s="3">
        <f>HYPERLINK("http://www.adekakorea.co.kr", "http://www.adekakorea.co.kr")</f>
        <v/>
      </c>
      <c r="G581" t="inlineStr">
        <is>
          <t>4028114276</t>
        </is>
      </c>
      <c r="H581" t="inlineStr">
        <is>
          <t>2101110010282</t>
        </is>
      </c>
      <c r="I581" t="inlineStr">
        <is>
          <t>대상아님</t>
        </is>
      </c>
      <c r="J581" t="inlineStr">
        <is>
          <t>일반법인</t>
        </is>
      </c>
      <c r="K581" t="inlineStr">
        <is>
          <t>중견기업</t>
        </is>
      </c>
      <c r="L581" t="inlineStr">
        <is>
          <t>외부감사대상</t>
        </is>
      </c>
      <c r="M581" s="6" t="inlineStr">
        <is>
          <t>1991-11-02</t>
        </is>
      </c>
      <c r="N581" t="inlineStr">
        <is>
          <t>KRI:10C2049900</t>
        </is>
      </c>
      <c r="O581" t="inlineStr">
        <is>
          <t>그 외 기타 분류 안된 화학제품 제조업</t>
        </is>
      </c>
      <c r="P581" t="inlineStr">
        <is>
          <t>플라스틱 산화방지제,유기화학제품 제조,도매,무역</t>
        </is>
      </c>
      <c r="Q581" t="inlineStr">
        <is>
          <t>전북 완주군 봉동읍 용암리 839번지</t>
        </is>
      </c>
      <c r="R581" t="inlineStr">
        <is>
          <t>전북 완주군 봉동읍 완주산단2로 70</t>
        </is>
      </c>
    </row>
    <row r="582" ht="19.2" customHeight="1" s="1">
      <c r="A582" t="inlineStr">
        <is>
          <t>NICE:738441</t>
        </is>
      </c>
      <c r="B582" t="inlineStr">
        <is>
          <t>한국소방기구제작소</t>
        </is>
      </c>
      <c r="C582" t="inlineStr">
        <is>
          <t>정수현/정수환</t>
        </is>
      </c>
      <c r="D582" t="inlineStr">
        <is>
          <t>053-564-2201</t>
        </is>
      </c>
      <c r="E582" t="inlineStr">
        <is>
          <t>053-564-0708</t>
        </is>
      </c>
      <c r="F582" s="3">
        <f>HYPERLINK("http://www.koreafire.com", "http://www.koreafire.com")</f>
        <v/>
      </c>
      <c r="G582" t="inlineStr">
        <is>
          <t>5038111626</t>
        </is>
      </c>
      <c r="H582" t="inlineStr">
        <is>
          <t>1701110041509</t>
        </is>
      </c>
      <c r="I582" t="inlineStr">
        <is>
          <t>대상아님</t>
        </is>
      </c>
      <c r="J582" t="inlineStr">
        <is>
          <t>일반법인</t>
        </is>
      </c>
      <c r="K582" t="inlineStr">
        <is>
          <t>중소기업</t>
        </is>
      </c>
      <c r="L582" t="inlineStr">
        <is>
          <t>외부감사대상</t>
        </is>
      </c>
      <c r="M582" s="6" t="inlineStr">
        <is>
          <t>1961-11-01</t>
        </is>
      </c>
      <c r="N582" t="inlineStr">
        <is>
          <t>KRI:10C2919300</t>
        </is>
      </c>
      <c r="O582" t="inlineStr">
        <is>
          <t>분사기 및 소화기 제조업</t>
        </is>
      </c>
      <c r="P582" t="inlineStr">
        <is>
          <t>소화기,분사기,자동차부품,전자부품실장기판 제조/소방시설공사/전자상거래/소프트웨어 개발,판매</t>
        </is>
      </c>
      <c r="Q582" t="inlineStr">
        <is>
          <t>대구 서구 중리동 1155번지</t>
        </is>
      </c>
      <c r="R582" t="inlineStr">
        <is>
          <t>대구 서구 평리로29길 33</t>
        </is>
      </c>
    </row>
    <row r="583" ht="19.2" customHeight="1" s="1">
      <c r="A583" t="inlineStr">
        <is>
          <t>NICE:742856</t>
        </is>
      </c>
      <c r="B583" t="inlineStr">
        <is>
          <t>에이비이씨산업</t>
        </is>
      </c>
      <c r="C583" t="inlineStr">
        <is>
          <t>최동혁/최무길</t>
        </is>
      </c>
      <c r="D583" t="inlineStr">
        <is>
          <t>052-255-9000</t>
        </is>
      </c>
      <c r="E583" t="inlineStr">
        <is>
          <t>052-255-9090</t>
        </is>
      </c>
      <c r="F583" s="3">
        <f>HYPERLINK("http://www.abcindustries.co.kr", "http://www.abcindustries.co.kr")</f>
        <v/>
      </c>
      <c r="G583" t="inlineStr">
        <is>
          <t>6018114515</t>
        </is>
      </c>
      <c r="H583" t="inlineStr">
        <is>
          <t>1801110057538</t>
        </is>
      </c>
      <c r="I583" t="inlineStr">
        <is>
          <t>대상아님</t>
        </is>
      </c>
      <c r="J583" t="inlineStr">
        <is>
          <t>일반법인</t>
        </is>
      </c>
      <c r="K583" t="inlineStr">
        <is>
          <t>중소기업</t>
        </is>
      </c>
      <c r="L583" t="inlineStr">
        <is>
          <t>외부감사대상</t>
        </is>
      </c>
      <c r="M583" s="6" t="inlineStr">
        <is>
          <t>1985-07-02</t>
        </is>
      </c>
      <c r="N583" t="inlineStr">
        <is>
          <t>KRI:10G4673900</t>
        </is>
      </c>
      <c r="O583" t="inlineStr">
        <is>
          <t>기타 화학물질 및 화학제품 도매업</t>
        </is>
      </c>
      <c r="P583" t="inlineStr">
        <is>
          <t>화학물질,화학제품,주물용점결제(화학제품),주물부자재 도소매,수출입/산업용냉장,냉동장비 제조/부동산 임대</t>
        </is>
      </c>
      <c r="Q583" t="inlineStr">
        <is>
          <t>울산 울주군 언양읍 반천리 1023-70번지</t>
        </is>
      </c>
      <c r="R583" t="inlineStr">
        <is>
          <t>울산 울주군 언양읍 반천강변길 123</t>
        </is>
      </c>
    </row>
    <row r="584" ht="19.2" customHeight="1" s="1">
      <c r="A584" t="inlineStr">
        <is>
          <t>NICE:743976</t>
        </is>
      </c>
      <c r="B584" t="inlineStr">
        <is>
          <t>츄고쿠삼화페인트</t>
        </is>
      </c>
      <c r="C584" t="inlineStr">
        <is>
          <t>유상욱</t>
        </is>
      </c>
      <c r="D584" t="inlineStr">
        <is>
          <t>055-340-0777</t>
        </is>
      </c>
      <c r="E584" t="inlineStr">
        <is>
          <t>051-366-1809</t>
        </is>
      </c>
      <c r="F584" s="3">
        <f>HYPERLINK("http://www.csp.co.kr", "http://www.csp.co.kr")</f>
        <v/>
      </c>
      <c r="G584" t="inlineStr">
        <is>
          <t>6218111356</t>
        </is>
      </c>
      <c r="H584" t="inlineStr">
        <is>
          <t>1801110083088</t>
        </is>
      </c>
      <c r="I584" t="inlineStr">
        <is>
          <t>대상아님</t>
        </is>
      </c>
      <c r="J584" t="inlineStr">
        <is>
          <t>일반법인</t>
        </is>
      </c>
      <c r="K584" t="inlineStr">
        <is>
          <t>중견기업</t>
        </is>
      </c>
      <c r="L584" t="inlineStr">
        <is>
          <t>외부감사대상</t>
        </is>
      </c>
      <c r="M584" s="6" t="inlineStr">
        <is>
          <t>1988-10-07</t>
        </is>
      </c>
      <c r="N584" t="inlineStr">
        <is>
          <t>KRI:10C2041100</t>
        </is>
      </c>
      <c r="O584" t="inlineStr">
        <is>
          <t>일반용 도료 및 관련제품 제조업</t>
        </is>
      </c>
      <c r="P584" t="inlineStr">
        <is>
          <t>도료(선박용,공업용,컨테이너용,어망용),화공약품 제조,무역</t>
        </is>
      </c>
      <c r="Q584" t="inlineStr">
        <is>
          <t>경남 김해시 한림면 퇴래리 972번지</t>
        </is>
      </c>
      <c r="R584" t="inlineStr">
        <is>
          <t>경남 김해시 한림면 김해대로927번길 322</t>
        </is>
      </c>
    </row>
    <row r="585" ht="19.2" customHeight="1" s="1">
      <c r="A585" t="inlineStr">
        <is>
          <t>NICE:744964</t>
        </is>
      </c>
      <c r="B585" t="inlineStr">
        <is>
          <t>참손푸드</t>
        </is>
      </c>
      <c r="C585" t="inlineStr">
        <is>
          <t>윤재현</t>
        </is>
      </c>
      <c r="D585" t="inlineStr">
        <is>
          <t>051-250-7000</t>
        </is>
      </c>
      <c r="E585" t="inlineStr">
        <is>
          <t>051-250-7023</t>
        </is>
      </c>
      <c r="F585" s="3">
        <f>HYPERLINK("http://www.charmson.co.kr", "http://www.charmson.co.kr")</f>
        <v/>
      </c>
      <c r="G585" t="inlineStr">
        <is>
          <t>6038111606</t>
        </is>
      </c>
      <c r="H585" t="inlineStr">
        <is>
          <t>1101110428634</t>
        </is>
      </c>
      <c r="I585" t="inlineStr">
        <is>
          <t>대상아님</t>
        </is>
      </c>
      <c r="J585" t="inlineStr">
        <is>
          <t>일반법인</t>
        </is>
      </c>
      <c r="K585" t="inlineStr">
        <is>
          <t>중소기업</t>
        </is>
      </c>
      <c r="L585" t="inlineStr">
        <is>
          <t>외부감사대상</t>
        </is>
      </c>
      <c r="M585" s="6" t="inlineStr">
        <is>
          <t>1986-06-03</t>
        </is>
      </c>
      <c r="N585" t="inlineStr">
        <is>
          <t>KRI:10C1021900</t>
        </is>
      </c>
      <c r="O585" t="inlineStr">
        <is>
          <t>기타 수산동물 가공 및 저장 처리업</t>
        </is>
      </c>
      <c r="P585" t="inlineStr">
        <is>
          <t>수산물 가공,제조,수출입/선박어업</t>
        </is>
      </c>
      <c r="Q585" t="inlineStr">
        <is>
          <t>부산 서구 암남동 739번지</t>
        </is>
      </c>
      <c r="R585" t="inlineStr">
        <is>
          <t>부산 서구 원양로 171</t>
        </is>
      </c>
    </row>
    <row r="586">
      <c r="A586" t="inlineStr">
        <is>
          <t>NICE:761618</t>
        </is>
      </c>
      <c r="B586" t="inlineStr">
        <is>
          <t>엔에스하이텍</t>
        </is>
      </c>
      <c r="C586" t="inlineStr">
        <is>
          <t>김봉섭/김상희</t>
        </is>
      </c>
      <c r="D586" t="inlineStr">
        <is>
          <t>031-491-2806</t>
        </is>
      </c>
      <c r="E586" t="inlineStr">
        <is>
          <t>031-491-9030</t>
        </is>
      </c>
      <c r="G586" t="inlineStr">
        <is>
          <t>1348618374</t>
        </is>
      </c>
      <c r="H586" t="inlineStr">
        <is>
          <t>1314110160897</t>
        </is>
      </c>
      <c r="I586" t="inlineStr">
        <is>
          <t>대상아님</t>
        </is>
      </c>
      <c r="J586" t="inlineStr">
        <is>
          <t>일반법인</t>
        </is>
      </c>
      <c r="K586" t="inlineStr">
        <is>
          <t>중소기업</t>
        </is>
      </c>
      <c r="L586" t="inlineStr">
        <is>
          <t>외부감사대상</t>
        </is>
      </c>
      <c r="M586" s="6" t="inlineStr">
        <is>
          <t>2004-11-01</t>
        </is>
      </c>
      <c r="N586" t="inlineStr">
        <is>
          <t>KRI:10C3039900</t>
        </is>
      </c>
      <c r="O586" t="inlineStr">
        <is>
          <t>그 외 자동차용 신품 부품 제조업</t>
        </is>
      </c>
      <c r="P586" t="inlineStr">
        <is>
          <t>자동차부품,금형 제조</t>
        </is>
      </c>
      <c r="Q586" t="inlineStr">
        <is>
          <t>경기 안산시 단원구 원시동 724번지</t>
        </is>
      </c>
      <c r="R586" t="inlineStr">
        <is>
          <t>경기 안산시 단원구 산단로163번길 97-32</t>
        </is>
      </c>
    </row>
    <row r="587" ht="19.2" customHeight="1" s="1">
      <c r="A587" t="inlineStr">
        <is>
          <t>NICE:763497</t>
        </is>
      </c>
      <c r="B587" t="inlineStr">
        <is>
          <t>제이미크론</t>
        </is>
      </c>
      <c r="C587" t="inlineStr">
        <is>
          <t>황재익/황성민</t>
        </is>
      </c>
      <c r="D587" t="inlineStr">
        <is>
          <t>031-491-3001</t>
        </is>
      </c>
      <c r="E587" t="inlineStr">
        <is>
          <t>031-491-3005</t>
        </is>
      </c>
      <c r="F587" s="3">
        <f>HYPERLINK("http://www.j-micron.co.kr", "http://www.j-micron.co.kr")</f>
        <v/>
      </c>
      <c r="G587" t="inlineStr">
        <is>
          <t>1398104583</t>
        </is>
      </c>
      <c r="H587" t="inlineStr">
        <is>
          <t>1201110052580</t>
        </is>
      </c>
      <c r="I587" t="inlineStr">
        <is>
          <t>대상아님</t>
        </is>
      </c>
      <c r="J587" t="inlineStr">
        <is>
          <t>일반법인</t>
        </is>
      </c>
      <c r="K587" t="inlineStr">
        <is>
          <t>중소기업</t>
        </is>
      </c>
      <c r="L587" t="inlineStr">
        <is>
          <t>외부감사대상</t>
        </is>
      </c>
      <c r="M587" s="6" t="inlineStr">
        <is>
          <t>1986-07-17</t>
        </is>
      </c>
      <c r="N587" t="inlineStr">
        <is>
          <t>KRI:10C2592200</t>
        </is>
      </c>
      <c r="O587" t="inlineStr">
        <is>
          <t>도금업</t>
        </is>
      </c>
      <c r="P587" t="inlineStr">
        <is>
          <t>도금,표면처리,전자부품,통신부품 제조</t>
        </is>
      </c>
      <c r="Q587" t="inlineStr">
        <is>
          <t>경기 안산시 단원구 신길동 1048-9번지</t>
        </is>
      </c>
      <c r="R587" t="inlineStr">
        <is>
          <t>경기 안산시 단원구 해봉로273번길 12</t>
        </is>
      </c>
    </row>
    <row r="588" ht="19.2" customHeight="1" s="1">
      <c r="A588" t="inlineStr">
        <is>
          <t>NICE:767620</t>
        </is>
      </c>
      <c r="B588" t="inlineStr">
        <is>
          <t>한국무역정보통신</t>
        </is>
      </c>
      <c r="C588" t="inlineStr">
        <is>
          <t>고진</t>
        </is>
      </c>
      <c r="D588" t="inlineStr">
        <is>
          <t>02-6000-2114</t>
        </is>
      </c>
      <c r="E588" t="inlineStr">
        <is>
          <t>02-6000-2177</t>
        </is>
      </c>
      <c r="F588" s="3">
        <f>HYPERLINK("http://www.ktnet.co.kr", "http://www.ktnet.co.kr")</f>
        <v/>
      </c>
      <c r="G588" t="inlineStr">
        <is>
          <t>1208102922</t>
        </is>
      </c>
      <c r="H588" t="inlineStr">
        <is>
          <t>1101110310104</t>
        </is>
      </c>
      <c r="I588" t="inlineStr">
        <is>
          <t>대상아님</t>
        </is>
      </c>
      <c r="J588" t="inlineStr">
        <is>
          <t>일반법인</t>
        </is>
      </c>
      <c r="K588" t="inlineStr">
        <is>
          <t>중소기업</t>
        </is>
      </c>
      <c r="L588" t="inlineStr">
        <is>
          <t>외부감사대상</t>
        </is>
      </c>
      <c r="M588" s="6" t="inlineStr">
        <is>
          <t>1982-01-11</t>
        </is>
      </c>
      <c r="N588" t="inlineStr">
        <is>
          <t>KRI:10J6311100</t>
        </is>
      </c>
      <c r="O588" t="inlineStr">
        <is>
          <t>자료 처리업</t>
        </is>
      </c>
      <c r="P588" t="inlineStr">
        <is>
          <t>정보처리,소프트웨어개발,공급,주차장 운영/컴퓨터시스템 도매,통신판매/부동산 임대,개발</t>
        </is>
      </c>
      <c r="Q588" t="inlineStr">
        <is>
          <t>서울 강남구 삼성동 159-1번지</t>
        </is>
      </c>
      <c r="R588" t="inlineStr">
        <is>
          <t>서울 강남구 영동대로 511</t>
        </is>
      </c>
    </row>
    <row r="589" ht="19.2" customHeight="1" s="1">
      <c r="A589" t="inlineStr">
        <is>
          <t>NICE:769380</t>
        </is>
      </c>
      <c r="B589" t="inlineStr">
        <is>
          <t>우미건설</t>
        </is>
      </c>
      <c r="C589" t="inlineStr">
        <is>
          <t>곽수윤/김영길/김성철</t>
        </is>
      </c>
      <c r="D589" t="inlineStr">
        <is>
          <t>1588-9707</t>
        </is>
      </c>
      <c r="E589" t="inlineStr">
        <is>
          <t>02-6914-1899</t>
        </is>
      </c>
      <c r="F589" s="3">
        <f>HYPERLINK("http://www.woomi.co.kr", "http://www.woomi.co.kr")</f>
        <v/>
      </c>
      <c r="G589" t="inlineStr">
        <is>
          <t>4098131276</t>
        </is>
      </c>
      <c r="H589" t="inlineStr">
        <is>
          <t>2052110001385</t>
        </is>
      </c>
      <c r="I589" t="inlineStr">
        <is>
          <t>대상아님</t>
        </is>
      </c>
      <c r="J589" t="inlineStr">
        <is>
          <t>일반법인</t>
        </is>
      </c>
      <c r="K589" t="inlineStr">
        <is>
          <t>중견기업</t>
        </is>
      </c>
      <c r="L589" t="inlineStr">
        <is>
          <t>외부감사대상</t>
        </is>
      </c>
      <c r="M589" s="6" t="inlineStr">
        <is>
          <t>1991-02-28</t>
        </is>
      </c>
      <c r="N589" t="inlineStr">
        <is>
          <t>KRI:10F4111200</t>
        </is>
      </c>
      <c r="O589" t="inlineStr">
        <is>
          <t>아파트 건설업</t>
        </is>
      </c>
      <c r="P589" t="inlineStr">
        <is>
          <t>주택공사,토목건축공사,건물용기계,장비설치공사,전기공사,정보통신공사/신재생에너지사업/건물,토목 엔지니어링</t>
        </is>
      </c>
      <c r="Q589" t="inlineStr">
        <is>
          <t>광주 광산구 우산동 1582-2번지 2층</t>
        </is>
      </c>
      <c r="R589" t="inlineStr">
        <is>
          <t>광주 광산구 사암로 209, 2층</t>
        </is>
      </c>
    </row>
    <row r="590" ht="19.2" customHeight="1" s="1">
      <c r="A590" t="inlineStr">
        <is>
          <t>NICE:769568</t>
        </is>
      </c>
      <c r="B590" t="inlineStr">
        <is>
          <t>아이파크리조트</t>
        </is>
      </c>
      <c r="C590" t="inlineStr">
        <is>
          <t>조영환</t>
        </is>
      </c>
      <c r="D590" t="inlineStr">
        <is>
          <t>033-730-3135</t>
        </is>
      </c>
      <c r="E590" t="inlineStr">
        <is>
          <t>033-730-3849</t>
        </is>
      </c>
      <c r="F590" s="3">
        <f>HYPERLINK("http://www.hdc-resort.com", "http://www.hdc-resort.com")</f>
        <v/>
      </c>
      <c r="G590" t="inlineStr">
        <is>
          <t>2248106308</t>
        </is>
      </c>
      <c r="H590" t="inlineStr">
        <is>
          <t>1412110005540</t>
        </is>
      </c>
      <c r="I590" t="inlineStr">
        <is>
          <t>대상아님</t>
        </is>
      </c>
      <c r="J590" t="inlineStr">
        <is>
          <t>일반법인</t>
        </is>
      </c>
      <c r="K590" t="inlineStr">
        <is>
          <t>대기업</t>
        </is>
      </c>
      <c r="L590" t="inlineStr">
        <is>
          <t>외부감사대상</t>
        </is>
      </c>
      <c r="M590" s="6" t="inlineStr">
        <is>
          <t>1992-09-24</t>
        </is>
      </c>
      <c r="N590" t="inlineStr">
        <is>
          <t>KRI:10I5510300</t>
        </is>
      </c>
      <c r="O590" t="inlineStr">
        <is>
          <t>휴양콘도 운영업</t>
        </is>
      </c>
      <c r="P590" t="inlineStr">
        <is>
          <t>리조트,골프장 운영/조경공사,토목공사,건축공사/슈퍼마켓/담배 소매</t>
        </is>
      </c>
      <c r="Q590" t="inlineStr">
        <is>
          <t>강원 원주시 지정면 월송리 1061번지</t>
        </is>
      </c>
      <c r="R590" t="inlineStr">
        <is>
          <t>강원 원주시 지정면 오크밸리1길 66</t>
        </is>
      </c>
    </row>
    <row r="591" ht="19.2" customHeight="1" s="1">
      <c r="A591" t="inlineStr">
        <is>
          <t>NICE:774626</t>
        </is>
      </c>
      <c r="B591" t="inlineStr">
        <is>
          <t>대지정공</t>
        </is>
      </c>
      <c r="C591" t="inlineStr">
        <is>
          <t>조효상</t>
        </is>
      </c>
      <c r="D591" t="inlineStr">
        <is>
          <t>031-336-1151</t>
        </is>
      </c>
      <c r="E591" t="inlineStr">
        <is>
          <t>031-336-1150</t>
        </is>
      </c>
      <c r="F591" s="3">
        <f>HYPERLINK("http://www.daejicar.com", "http://www.daejicar.com")</f>
        <v/>
      </c>
      <c r="G591" t="inlineStr">
        <is>
          <t>1358103210</t>
        </is>
      </c>
      <c r="H591" t="inlineStr">
        <is>
          <t>1345110000262</t>
        </is>
      </c>
      <c r="I591" t="inlineStr">
        <is>
          <t>대상아님</t>
        </is>
      </c>
      <c r="J591" t="inlineStr">
        <is>
          <t>일반법인</t>
        </is>
      </c>
      <c r="K591" t="inlineStr">
        <is>
          <t>중소기업</t>
        </is>
      </c>
      <c r="L591" t="inlineStr">
        <is>
          <t>외부감사대상</t>
        </is>
      </c>
      <c r="M591" s="6" t="inlineStr">
        <is>
          <t>1974-02-20</t>
        </is>
      </c>
      <c r="N591" t="inlineStr">
        <is>
          <t>KRI:10C3020100</t>
        </is>
      </c>
      <c r="O591" t="inlineStr">
        <is>
          <t>차체 및 특장차 제조업</t>
        </is>
      </c>
      <c r="P591" t="inlineStr">
        <is>
          <t>특장차,탱크로리,자동차부품 제조</t>
        </is>
      </c>
      <c r="Q591" t="inlineStr">
        <is>
          <t>경기 용인시 처인구 고림동 696-1번지</t>
        </is>
      </c>
      <c r="R591" t="inlineStr">
        <is>
          <t>경기 용인시 처인구 경안천로 170</t>
        </is>
      </c>
    </row>
    <row r="592" ht="19.2" customHeight="1" s="1">
      <c r="A592" t="inlineStr">
        <is>
          <t>NICE:774774</t>
        </is>
      </c>
      <c r="B592" t="inlineStr">
        <is>
          <t>하나에어로다이내믹스</t>
        </is>
      </c>
      <c r="C592" t="inlineStr">
        <is>
          <t>이명진/손창환</t>
        </is>
      </c>
      <c r="D592" t="inlineStr">
        <is>
          <t>055-830-3800</t>
        </is>
      </c>
      <c r="E592" t="inlineStr">
        <is>
          <t>055-901-0230</t>
        </is>
      </c>
      <c r="F592" s="3">
        <f>HYPERLINK("http://www.hanaaero.com/", "http://www.hanaaero.com/")</f>
        <v/>
      </c>
      <c r="G592" t="inlineStr">
        <is>
          <t>6138142839</t>
        </is>
      </c>
      <c r="H592" t="inlineStr">
        <is>
          <t>1954110013446</t>
        </is>
      </c>
      <c r="I592" t="inlineStr">
        <is>
          <t>대상아님</t>
        </is>
      </c>
      <c r="J592" t="inlineStr">
        <is>
          <t>일반법인</t>
        </is>
      </c>
      <c r="K592" t="inlineStr">
        <is>
          <t>중소기업</t>
        </is>
      </c>
      <c r="L592" t="inlineStr">
        <is>
          <t>외부감사대상</t>
        </is>
      </c>
      <c r="M592" s="6" t="inlineStr">
        <is>
          <t>1990-01-03</t>
        </is>
      </c>
      <c r="N592" t="inlineStr">
        <is>
          <t>KRI:10C3132200</t>
        </is>
      </c>
      <c r="O592" t="inlineStr">
        <is>
          <t>항공기용 부품 제조업</t>
        </is>
      </c>
      <c r="P592" t="inlineStr">
        <is>
          <t>항공기부품,치공구 제조</t>
        </is>
      </c>
      <c r="Q592" t="inlineStr">
        <is>
          <t>경남 사천시 용현면 신복리 383번지</t>
        </is>
      </c>
      <c r="R592" t="inlineStr">
        <is>
          <t>경남 사천시 용현면 안점봉수대길 87</t>
        </is>
      </c>
    </row>
    <row r="593" ht="19.2" customHeight="1" s="1">
      <c r="A593" t="inlineStr">
        <is>
          <t>NICE:776939</t>
        </is>
      </c>
      <c r="B593" t="inlineStr">
        <is>
          <t>닛폰산소메티슨코리아</t>
        </is>
      </c>
      <c r="C593" t="inlineStr">
        <is>
          <t>송상우</t>
        </is>
      </c>
      <c r="D593" t="inlineStr">
        <is>
          <t>041-539-7400</t>
        </is>
      </c>
      <c r="E593" t="inlineStr">
        <is>
          <t>041-539-7499</t>
        </is>
      </c>
      <c r="F593" s="3">
        <f>HYPERLINK("http://www.mgpk.co.kr", "http://www.mgpk.co.kr")</f>
        <v/>
      </c>
      <c r="G593" t="inlineStr">
        <is>
          <t>1148167712</t>
        </is>
      </c>
      <c r="H593" t="inlineStr">
        <is>
          <t>1101111193228</t>
        </is>
      </c>
      <c r="I593" t="inlineStr">
        <is>
          <t>대상아님</t>
        </is>
      </c>
      <c r="J593" t="inlineStr">
        <is>
          <t>일반법인</t>
        </is>
      </c>
      <c r="K593" t="inlineStr">
        <is>
          <t>중소기업</t>
        </is>
      </c>
      <c r="L593" t="inlineStr">
        <is>
          <t>외부감사대상</t>
        </is>
      </c>
      <c r="M593" s="6" t="inlineStr">
        <is>
          <t>1995-09-01</t>
        </is>
      </c>
      <c r="N593" t="inlineStr">
        <is>
          <t>KRI:10G4673900</t>
        </is>
      </c>
      <c r="O593" t="inlineStr">
        <is>
          <t>기타 화학물질 및 화학제품 도매업</t>
        </is>
      </c>
      <c r="P593" t="inlineStr">
        <is>
          <t>반도체제조용 특수가스(헬륨,이산화질소) 도매,제조</t>
        </is>
      </c>
      <c r="Q593" t="inlineStr">
        <is>
          <t>충남 아산시 음봉면 삼거리 91-1번지</t>
        </is>
      </c>
      <c r="R593" t="inlineStr">
        <is>
          <t>충남 아산시 음봉면 음봉면로 94</t>
        </is>
      </c>
    </row>
    <row r="594" ht="19.2" customHeight="1" s="1">
      <c r="A594" t="inlineStr">
        <is>
          <t>NICE:777871</t>
        </is>
      </c>
      <c r="B594" t="inlineStr">
        <is>
          <t>신우프레스</t>
        </is>
      </c>
      <c r="C594" t="inlineStr">
        <is>
          <t>백성옥/왕진</t>
        </is>
      </c>
      <c r="D594" t="inlineStr">
        <is>
          <t>031-945-3205</t>
        </is>
      </c>
      <c r="E594" t="inlineStr">
        <is>
          <t>031-945-6744</t>
        </is>
      </c>
      <c r="F594" s="3">
        <f>HYPERLINK("http://www.swpress.co.kr", "http://www.swpress.co.kr")</f>
        <v/>
      </c>
      <c r="G594" t="inlineStr">
        <is>
          <t>1288127437</t>
        </is>
      </c>
      <c r="H594" t="inlineStr">
        <is>
          <t>1156110012903</t>
        </is>
      </c>
      <c r="I594" t="inlineStr">
        <is>
          <t>대상아님</t>
        </is>
      </c>
      <c r="J594" t="inlineStr">
        <is>
          <t>일반법인</t>
        </is>
      </c>
      <c r="K594" t="inlineStr">
        <is>
          <t>중소기업</t>
        </is>
      </c>
      <c r="L594" t="inlineStr">
        <is>
          <t>외부감사대상</t>
        </is>
      </c>
      <c r="M594" s="6" t="inlineStr">
        <is>
          <t>1991-01-01</t>
        </is>
      </c>
      <c r="N594" t="inlineStr">
        <is>
          <t>KRI:10C1811900</t>
        </is>
      </c>
      <c r="O594" t="inlineStr">
        <is>
          <t>기타 인쇄업</t>
        </is>
      </c>
      <c r="P594" t="inlineStr">
        <is>
          <t>인쇄,각종도서인쇄물의제책업,출판．지류(인쇄)</t>
        </is>
      </c>
      <c r="Q594" t="inlineStr">
        <is>
          <t>경기 파주시 맥금동 714-3번지</t>
        </is>
      </c>
      <c r="R594" t="inlineStr">
        <is>
          <t>경기 파주시 방촌로396번길 48-7</t>
        </is>
      </c>
    </row>
    <row r="595" ht="19.2" customHeight="1" s="1">
      <c r="A595" t="inlineStr">
        <is>
          <t>NICE:786151</t>
        </is>
      </c>
      <c r="B595" t="inlineStr">
        <is>
          <t>유선인터내셔날</t>
        </is>
      </c>
      <c r="C595" t="inlineStr">
        <is>
          <t>권현정</t>
        </is>
      </c>
      <c r="D595" t="inlineStr">
        <is>
          <t>02-3288-1559</t>
        </is>
      </c>
      <c r="E595" t="inlineStr">
        <is>
          <t>02-565-1559</t>
        </is>
      </c>
      <c r="F595" s="3">
        <f>HYPERLINK("http://www.yousun.co.kr", "http://www.yousun.co.kr")</f>
        <v/>
      </c>
      <c r="G595" t="inlineStr">
        <is>
          <t>2208692205</t>
        </is>
      </c>
      <c r="H595" t="inlineStr">
        <is>
          <t>1101113088386</t>
        </is>
      </c>
      <c r="I595" t="inlineStr">
        <is>
          <t>대상아님</t>
        </is>
      </c>
      <c r="J595" t="inlineStr">
        <is>
          <t>일반법인</t>
        </is>
      </c>
      <c r="K595" t="inlineStr">
        <is>
          <t>중소기업</t>
        </is>
      </c>
      <c r="L595" t="inlineStr">
        <is>
          <t>외부감사대상</t>
        </is>
      </c>
      <c r="M595" s="6" t="inlineStr">
        <is>
          <t>2004-09-21</t>
        </is>
      </c>
      <c r="N595" t="inlineStr">
        <is>
          <t>KRI:10G4659900</t>
        </is>
      </c>
      <c r="O595" t="inlineStr">
        <is>
          <t>그 외 기타 기계 및 장비 도매업</t>
        </is>
      </c>
      <c r="P595" t="inlineStr">
        <is>
          <t>기계,장비 도소매/밸브,유사장치 제조</t>
        </is>
      </c>
      <c r="Q595" t="inlineStr">
        <is>
          <t>서울 강남구 역삼동 707-34번지 한신인터밸리24빌딩 동관 1316호</t>
        </is>
      </c>
      <c r="R595" t="inlineStr">
        <is>
          <t>서울 강남구 테헤란로 322, 동관 1316호 (역삼동,한신인터밸리24빌딩)</t>
        </is>
      </c>
    </row>
    <row r="596" ht="19.2" customHeight="1" s="1">
      <c r="A596" t="inlineStr">
        <is>
          <t>NICE:786225</t>
        </is>
      </c>
      <c r="B596" t="inlineStr">
        <is>
          <t>우진전기</t>
        </is>
      </c>
      <c r="C596" t="inlineStr">
        <is>
          <t>이준희</t>
        </is>
      </c>
      <c r="D596" t="inlineStr">
        <is>
          <t>043-731-5970</t>
        </is>
      </c>
      <c r="E596" t="inlineStr">
        <is>
          <t>043-731-5969</t>
        </is>
      </c>
      <c r="F596" s="3">
        <f>HYPERLINK("http://www.amcore.co.kr", "http://www.amcore.co.kr")</f>
        <v/>
      </c>
      <c r="G596" t="inlineStr">
        <is>
          <t>3028106802</t>
        </is>
      </c>
      <c r="H596" t="inlineStr">
        <is>
          <t>1542110003432</t>
        </is>
      </c>
      <c r="I596" t="inlineStr">
        <is>
          <t>대상아님</t>
        </is>
      </c>
      <c r="J596" t="inlineStr">
        <is>
          <t>일반법인</t>
        </is>
      </c>
      <c r="K596" t="inlineStr">
        <is>
          <t>중소기업</t>
        </is>
      </c>
      <c r="L596" t="inlineStr">
        <is>
          <t>외부감사대상</t>
        </is>
      </c>
      <c r="M596" s="6" t="inlineStr">
        <is>
          <t>1996-11-14</t>
        </is>
      </c>
      <c r="N596" t="inlineStr">
        <is>
          <t>KRI:10C2811200</t>
        </is>
      </c>
      <c r="O596" t="inlineStr">
        <is>
          <t>변압기 제조업</t>
        </is>
      </c>
      <c r="P596" t="inlineStr">
        <is>
          <t>전력용변압기(아몰퍼스코아) 제조/전기기자재 도소매</t>
        </is>
      </c>
      <c r="Q596" t="inlineStr">
        <is>
          <t>충북 옥천군 옥천읍 구일리 832번지</t>
        </is>
      </c>
      <c r="R596" t="inlineStr">
        <is>
          <t>충북 옥천군 옥천읍 옥천동이로 387-41</t>
        </is>
      </c>
    </row>
    <row r="597" ht="19.2" customHeight="1" s="1">
      <c r="A597" t="inlineStr">
        <is>
          <t>NICE:790028</t>
        </is>
      </c>
      <c r="B597" t="inlineStr">
        <is>
          <t>한국도심공항자산관리</t>
        </is>
      </c>
      <c r="C597" t="inlineStr">
        <is>
          <t>김고현</t>
        </is>
      </c>
      <c r="D597" t="inlineStr">
        <is>
          <t>02-551-0077</t>
        </is>
      </c>
      <c r="E597" t="inlineStr">
        <is>
          <t>02-551-0803</t>
        </is>
      </c>
      <c r="F597" s="3">
        <f>HYPERLINK("http://www.caltasset.co.kr", "http://www.caltasset.co.kr")</f>
        <v/>
      </c>
      <c r="G597" t="inlineStr">
        <is>
          <t>1208102048</t>
        </is>
      </c>
      <c r="H597" t="inlineStr">
        <is>
          <t>1101110274368</t>
        </is>
      </c>
      <c r="I597" t="inlineStr">
        <is>
          <t>대상아님</t>
        </is>
      </c>
      <c r="J597" t="inlineStr">
        <is>
          <t>일반법인</t>
        </is>
      </c>
      <c r="K597" t="inlineStr">
        <is>
          <t>중견기업</t>
        </is>
      </c>
      <c r="L597" t="inlineStr">
        <is>
          <t>외부감사대상</t>
        </is>
      </c>
      <c r="M597" s="6" t="inlineStr">
        <is>
          <t>1980-04-26</t>
        </is>
      </c>
      <c r="N597" t="inlineStr">
        <is>
          <t>KRI:10H5293100</t>
        </is>
      </c>
      <c r="O597" t="inlineStr">
        <is>
          <t>공항 운영업</t>
        </is>
      </c>
      <c r="P597" t="inlineStr">
        <is>
          <t>도심공항터미널/공항리무진버스 운행,항공 운송보조/여행사/부동산 임대,관리</t>
        </is>
      </c>
      <c r="Q597" t="inlineStr">
        <is>
          <t>서울 강남구 삼성동 159-6번지</t>
        </is>
      </c>
      <c r="R597" t="inlineStr">
        <is>
          <t>서울 강남구 테헤란로87길 22</t>
        </is>
      </c>
    </row>
    <row r="598" ht="19.2" customHeight="1" s="1">
      <c r="A598" t="inlineStr">
        <is>
          <t>NICE:790150</t>
        </is>
      </c>
      <c r="B598" t="inlineStr">
        <is>
          <t>켐허브탱크터미널</t>
        </is>
      </c>
      <c r="C598" t="inlineStr">
        <is>
          <t>이진행</t>
        </is>
      </c>
      <c r="D598" t="inlineStr">
        <is>
          <t>02-3275-9946</t>
        </is>
      </c>
      <c r="E598" t="inlineStr">
        <is>
          <t>02-3275-9999</t>
        </is>
      </c>
      <c r="F598" s="3">
        <f>HYPERLINK("http://www.vopak.co.kr", "http://www.vopak.co.kr")</f>
        <v/>
      </c>
      <c r="G598" t="inlineStr">
        <is>
          <t>1068151067</t>
        </is>
      </c>
      <c r="H598" t="inlineStr">
        <is>
          <t>1101110053374</t>
        </is>
      </c>
      <c r="I598" t="inlineStr">
        <is>
          <t>대상아님</t>
        </is>
      </c>
      <c r="J598" t="inlineStr">
        <is>
          <t>일반법인</t>
        </is>
      </c>
      <c r="K598" t="inlineStr">
        <is>
          <t>중소기업</t>
        </is>
      </c>
      <c r="L598" t="inlineStr">
        <is>
          <t>외부감사대상</t>
        </is>
      </c>
      <c r="M598" s="6" t="inlineStr">
        <is>
          <t>1970-12-11</t>
        </is>
      </c>
      <c r="N598" t="inlineStr">
        <is>
          <t>KRI:10H4950000</t>
        </is>
      </c>
      <c r="O598" t="inlineStr">
        <is>
          <t>파이프라인 운송업</t>
        </is>
      </c>
      <c r="P598" t="inlineStr">
        <is>
          <t>액체화학물 운송,보관,창고/화학물질 저장용탱크 임대</t>
        </is>
      </c>
      <c r="Q598" t="inlineStr">
        <is>
          <t>서울 종로구 인사동 194-4번지 하나로빌딩 3층</t>
        </is>
      </c>
      <c r="R598" t="inlineStr">
        <is>
          <t>서울 종로구 인사동5길 25, 3층 (인사동,하나로빌딩)</t>
        </is>
      </c>
    </row>
    <row r="599" ht="19.2" customHeight="1" s="1">
      <c r="A599" t="inlineStr">
        <is>
          <t>NICE:790303</t>
        </is>
      </c>
      <c r="B599" t="inlineStr">
        <is>
          <t>한성홀딩스</t>
        </is>
      </c>
      <c r="C599" t="inlineStr">
        <is>
          <t>전영자</t>
        </is>
      </c>
      <c r="D599" t="inlineStr">
        <is>
          <t>031-284-3831</t>
        </is>
      </c>
      <c r="E599" t="inlineStr">
        <is>
          <t>031-283-8847</t>
        </is>
      </c>
      <c r="F599" s="3">
        <f>HYPERLINK("http://www.hansung-cc.co.kr", "http://www.hansung-cc.co.kr")</f>
        <v/>
      </c>
      <c r="G599" t="inlineStr">
        <is>
          <t>1358105765</t>
        </is>
      </c>
      <c r="H599" t="inlineStr">
        <is>
          <t>1345110003456</t>
        </is>
      </c>
      <c r="I599" t="inlineStr">
        <is>
          <t>대상아님</t>
        </is>
      </c>
      <c r="J599" t="inlineStr">
        <is>
          <t>일반법인</t>
        </is>
      </c>
      <c r="K599" t="inlineStr">
        <is>
          <t>중소기업</t>
        </is>
      </c>
      <c r="L599" t="inlineStr">
        <is>
          <t>외부감사대상</t>
        </is>
      </c>
      <c r="M599" s="6" t="inlineStr">
        <is>
          <t>1973-10-06</t>
        </is>
      </c>
      <c r="N599" t="inlineStr">
        <is>
          <t>KRI:10R9112100</t>
        </is>
      </c>
      <c r="O599" t="inlineStr">
        <is>
          <t>골프장 운영업</t>
        </is>
      </c>
      <c r="P599" t="inlineStr">
        <is>
          <t>골프장 운영</t>
        </is>
      </c>
      <c r="Q599" t="inlineStr">
        <is>
          <t>경기 용인시 기흥구 마북동 153-1번지</t>
        </is>
      </c>
      <c r="R599" t="inlineStr">
        <is>
          <t>경기 용인시 기흥구 구교동로 151</t>
        </is>
      </c>
    </row>
    <row r="600" ht="19.2" customHeight="1" s="1">
      <c r="A600" t="inlineStr">
        <is>
          <t>NICE:790311</t>
        </is>
      </c>
      <c r="B600" t="inlineStr">
        <is>
          <t>오일관광</t>
        </is>
      </c>
      <c r="C600" t="inlineStr">
        <is>
          <t>이준창</t>
        </is>
      </c>
      <c r="D600" t="inlineStr">
        <is>
          <t>02-2280-7000</t>
        </is>
      </c>
      <c r="E600" t="inlineStr">
        <is>
          <t>02-2274-5734</t>
        </is>
      </c>
      <c r="F600" s="3">
        <f>HYPERLINK("http://www.hotelpj.co.kr", "http://www.hotelpj.co.kr")</f>
        <v/>
      </c>
      <c r="G600" t="inlineStr">
        <is>
          <t>2018148299</t>
        </is>
      </c>
      <c r="H600" t="inlineStr">
        <is>
          <t>1101110023137</t>
        </is>
      </c>
      <c r="I600" t="inlineStr">
        <is>
          <t>대상아님</t>
        </is>
      </c>
      <c r="J600" t="inlineStr">
        <is>
          <t>일반법인</t>
        </is>
      </c>
      <c r="K600" t="inlineStr">
        <is>
          <t>중소기업</t>
        </is>
      </c>
      <c r="L600" t="inlineStr">
        <is>
          <t>외부감사대상</t>
        </is>
      </c>
      <c r="M600" s="6" t="inlineStr">
        <is>
          <t>1970-04-29</t>
        </is>
      </c>
      <c r="N600" t="inlineStr">
        <is>
          <t>KRI:10I5510100</t>
        </is>
      </c>
      <c r="O600" t="inlineStr">
        <is>
          <t>호텔업</t>
        </is>
      </c>
      <c r="P600" t="inlineStr">
        <is>
          <t>호텔/한식일반음식점/환전</t>
        </is>
      </c>
      <c r="Q600" t="inlineStr">
        <is>
          <t>서울 중구 인현동1가 2-35번지</t>
        </is>
      </c>
      <c r="R600" t="inlineStr">
        <is>
          <t>서울 중구 마른내로 71</t>
        </is>
      </c>
    </row>
    <row r="601" ht="19.2" customHeight="1" s="1">
      <c r="A601" t="inlineStr">
        <is>
          <t>NICE:790320</t>
        </is>
      </c>
      <c r="B601" t="inlineStr">
        <is>
          <t>서울파이낸스센터</t>
        </is>
      </c>
      <c r="C601" t="inlineStr">
        <is>
          <t>최인원</t>
        </is>
      </c>
      <c r="D601" t="inlineStr">
        <is>
          <t>02-2112-0956</t>
        </is>
      </c>
      <c r="E601" t="inlineStr">
        <is>
          <t>02-2112-0939</t>
        </is>
      </c>
      <c r="F601" s="3">
        <f>HYPERLINK("http://www.sfckorea.co.kr", "http://www.sfckorea.co.kr")</f>
        <v/>
      </c>
      <c r="G601" t="inlineStr">
        <is>
          <t>2028144919</t>
        </is>
      </c>
      <c r="H601" t="inlineStr">
        <is>
          <t>1101110158190</t>
        </is>
      </c>
      <c r="I601" t="inlineStr">
        <is>
          <t>대상아님</t>
        </is>
      </c>
      <c r="J601" t="inlineStr">
        <is>
          <t>일반법인</t>
        </is>
      </c>
      <c r="K601" t="inlineStr">
        <is>
          <t>중견기업</t>
        </is>
      </c>
      <c r="L601" t="inlineStr">
        <is>
          <t>외부감사대상</t>
        </is>
      </c>
      <c r="M601" s="6" t="inlineStr">
        <is>
          <t>1974-01-11</t>
        </is>
      </c>
      <c r="N601" t="inlineStr">
        <is>
          <t>KRI:10L6811200</t>
        </is>
      </c>
      <c r="O601" t="inlineStr">
        <is>
          <t>비주거용 건물 임대업</t>
        </is>
      </c>
      <c r="P601" t="inlineStr">
        <is>
          <t>부동산(빌딩) 임대,매매</t>
        </is>
      </c>
      <c r="Q601" t="inlineStr">
        <is>
          <t>서울 중구 태평로1가 84번지</t>
        </is>
      </c>
      <c r="R601" t="inlineStr">
        <is>
          <t>서울 중구 세종대로 136</t>
        </is>
      </c>
    </row>
    <row r="602" ht="19.2" customHeight="1" s="1">
      <c r="A602" t="inlineStr">
        <is>
          <t>NICE:790613</t>
        </is>
      </c>
      <c r="B602" t="inlineStr">
        <is>
          <t>정일스톨트헤븐울산</t>
        </is>
      </c>
      <c r="C602" t="inlineStr">
        <is>
          <t>이승만</t>
        </is>
      </c>
      <c r="D602" t="inlineStr">
        <is>
          <t>052-238-8881</t>
        </is>
      </c>
      <c r="E602" t="inlineStr">
        <is>
          <t>052-238-8897</t>
        </is>
      </c>
      <c r="F602" s="3">
        <f>HYPERLINK("http://www.jstt.co.kr", "http://www.jstt.co.kr")</f>
        <v/>
      </c>
      <c r="G602" t="inlineStr">
        <is>
          <t>6108106979</t>
        </is>
      </c>
      <c r="H602" t="inlineStr">
        <is>
          <t>1812110004354</t>
        </is>
      </c>
      <c r="I602" t="inlineStr">
        <is>
          <t>대상아님</t>
        </is>
      </c>
      <c r="J602" t="inlineStr">
        <is>
          <t>일반법인</t>
        </is>
      </c>
      <c r="K602" t="inlineStr">
        <is>
          <t>중견기업</t>
        </is>
      </c>
      <c r="L602" t="inlineStr">
        <is>
          <t>외부감사대상</t>
        </is>
      </c>
      <c r="M602" s="6" t="inlineStr">
        <is>
          <t>1985-12-12</t>
        </is>
      </c>
      <c r="N602" t="inlineStr">
        <is>
          <t>KRI:10H5210400</t>
        </is>
      </c>
      <c r="O602" t="inlineStr">
        <is>
          <t>위험물품 보관업</t>
        </is>
      </c>
      <c r="P602" t="inlineStr">
        <is>
          <t>위험물(액체화학기초연료,액화물 운보,항만하역,석유류 제품) 보관</t>
        </is>
      </c>
      <c r="Q602" t="inlineStr">
        <is>
          <t>울산 울주군 온산읍 산암리 3번지</t>
        </is>
      </c>
      <c r="R602" t="inlineStr">
        <is>
          <t>울산 울주군 온산읍 산암로 297</t>
        </is>
      </c>
    </row>
    <row r="603" ht="19.2" customHeight="1" s="1">
      <c r="A603" t="inlineStr">
        <is>
          <t>NICE:790656</t>
        </is>
      </c>
      <c r="B603" t="inlineStr">
        <is>
          <t>에스와이탱크터미널</t>
        </is>
      </c>
      <c r="C603" t="inlineStr">
        <is>
          <t>박태경</t>
        </is>
      </c>
      <c r="D603" t="inlineStr">
        <is>
          <t>02-3476-5151</t>
        </is>
      </c>
      <c r="E603" t="inlineStr">
        <is>
          <t>02-3476-5155</t>
        </is>
      </c>
      <c r="F603" s="3">
        <f>HYPERLINK("http://www.sytankterminal.co.kr/", "http://www.sytankterminal.co.kr/")</f>
        <v/>
      </c>
      <c r="G603" t="inlineStr">
        <is>
          <t>1148174697</t>
        </is>
      </c>
      <c r="H603" t="inlineStr">
        <is>
          <t>1101110626139</t>
        </is>
      </c>
      <c r="I603" t="inlineStr">
        <is>
          <t>대상아님</t>
        </is>
      </c>
      <c r="J603" t="inlineStr">
        <is>
          <t>일반법인</t>
        </is>
      </c>
      <c r="K603" t="inlineStr">
        <is>
          <t>중소기업</t>
        </is>
      </c>
      <c r="L603" t="inlineStr">
        <is>
          <t>외부감사대상</t>
        </is>
      </c>
      <c r="M603" s="6" t="inlineStr">
        <is>
          <t>1989-05-01</t>
        </is>
      </c>
      <c r="N603" t="inlineStr">
        <is>
          <t>KRI:10H5210400</t>
        </is>
      </c>
      <c r="O603" t="inlineStr">
        <is>
          <t>위험물품 보관업</t>
        </is>
      </c>
      <c r="P603" t="inlineStr">
        <is>
          <t>파이프라인(나프타) 보관,운송/항만시설 운영,하역</t>
        </is>
      </c>
      <c r="Q603" t="inlineStr">
        <is>
          <t>서울 강남구 삼성동 77-20번지 3층</t>
        </is>
      </c>
      <c r="R603" t="inlineStr">
        <is>
          <t>서울 강남구 봉은사로 541, 3층</t>
        </is>
      </c>
    </row>
    <row r="604">
      <c r="A604" t="inlineStr">
        <is>
          <t>NICE:801589</t>
        </is>
      </c>
      <c r="B604" t="inlineStr">
        <is>
          <t>원건설산업</t>
        </is>
      </c>
      <c r="C604" t="inlineStr">
        <is>
          <t>김규원</t>
        </is>
      </c>
      <c r="D604" t="inlineStr">
        <is>
          <t>043-224-3100</t>
        </is>
      </c>
      <c r="E604" t="inlineStr">
        <is>
          <t>043-259-4434</t>
        </is>
      </c>
      <c r="G604" t="inlineStr">
        <is>
          <t>3018185653</t>
        </is>
      </c>
      <c r="H604" t="inlineStr">
        <is>
          <t>1501110091235</t>
        </is>
      </c>
      <c r="I604" t="inlineStr">
        <is>
          <t>대상아님</t>
        </is>
      </c>
      <c r="J604" t="inlineStr">
        <is>
          <t>일반법인</t>
        </is>
      </c>
      <c r="K604" t="inlineStr">
        <is>
          <t>중소기업</t>
        </is>
      </c>
      <c r="L604" t="inlineStr">
        <is>
          <t>외부감사대상</t>
        </is>
      </c>
      <c r="M604" s="6" t="inlineStr">
        <is>
          <t>2005-09-22</t>
        </is>
      </c>
      <c r="N604" t="inlineStr">
        <is>
          <t>KRI:10F4111000</t>
        </is>
      </c>
      <c r="O604" t="inlineStr">
        <is>
          <t>주거용 건물 건설업</t>
        </is>
      </c>
      <c r="P604" t="inlineStr">
        <is>
          <t>주택공사,토목건축공사,대지조성공사</t>
        </is>
      </c>
      <c r="Q604" t="inlineStr">
        <is>
          <t>세종 장군면 평기리 10번지</t>
        </is>
      </c>
      <c r="R604" t="inlineStr">
        <is>
          <t>세종 장군면 평기산양길 29-4</t>
        </is>
      </c>
    </row>
    <row r="605" ht="19.2" customHeight="1" s="1">
      <c r="A605" t="inlineStr">
        <is>
          <t>NICE:804102</t>
        </is>
      </c>
      <c r="B605" t="inlineStr">
        <is>
          <t>켐가스코리아</t>
        </is>
      </c>
      <c r="C605" t="inlineStr">
        <is>
          <t>어준</t>
        </is>
      </c>
      <c r="D605" t="inlineStr">
        <is>
          <t>043-873-3591</t>
        </is>
      </c>
      <c r="E605" t="inlineStr">
        <is>
          <t>043-878-3596</t>
        </is>
      </c>
      <c r="F605" s="3">
        <f>HYPERLINK("http://www.chemgas.co.kr", "http://www.chemgas.co.kr")</f>
        <v/>
      </c>
      <c r="G605" t="inlineStr">
        <is>
          <t>3038143270</t>
        </is>
      </c>
      <c r="H605" t="inlineStr">
        <is>
          <t>1545110031172</t>
        </is>
      </c>
      <c r="I605" t="inlineStr">
        <is>
          <t>대상아님</t>
        </is>
      </c>
      <c r="J605" t="inlineStr">
        <is>
          <t>일반법인</t>
        </is>
      </c>
      <c r="K605" t="inlineStr">
        <is>
          <t>대기업</t>
        </is>
      </c>
      <c r="L605" t="inlineStr">
        <is>
          <t>외부감사대상</t>
        </is>
      </c>
      <c r="M605" s="6" t="inlineStr">
        <is>
          <t>2005-08-05</t>
        </is>
      </c>
      <c r="N605" t="inlineStr">
        <is>
          <t>KRI:10C2012900</t>
        </is>
      </c>
      <c r="O605" t="inlineStr">
        <is>
          <t>기타 기초 무기 화학물질 제조업</t>
        </is>
      </c>
      <c r="P605" t="inlineStr">
        <is>
          <t>산업용가스 제조/무역(산업용가스기기)/산업시스템 엔지니어링</t>
        </is>
      </c>
      <c r="Q605" t="inlineStr">
        <is>
          <t>충북 음성군 원남면 상당리 732번지</t>
        </is>
      </c>
      <c r="R605" t="inlineStr">
        <is>
          <t>충북 음성군 원남면 원남산단로 226</t>
        </is>
      </c>
    </row>
    <row r="606" ht="19.2" customHeight="1" s="1">
      <c r="A606" t="inlineStr">
        <is>
          <t>NICE:807770</t>
        </is>
      </c>
      <c r="B606" t="inlineStr">
        <is>
          <t>백제컨트리클럽</t>
        </is>
      </c>
      <c r="C606" t="inlineStr">
        <is>
          <t>형남순</t>
        </is>
      </c>
      <c r="D606" t="inlineStr">
        <is>
          <t>041-830-0713</t>
        </is>
      </c>
      <c r="E606" t="inlineStr">
        <is>
          <t>041-834-0707</t>
        </is>
      </c>
      <c r="F606" s="3">
        <f>HYPERLINK("http://www.baekjecc.com", "http://www.baekjecc.com")</f>
        <v/>
      </c>
      <c r="G606" t="inlineStr">
        <is>
          <t>3078106923</t>
        </is>
      </c>
      <c r="H606" t="inlineStr">
        <is>
          <t>1601110042517</t>
        </is>
      </c>
      <c r="I606" t="inlineStr">
        <is>
          <t>대상아님</t>
        </is>
      </c>
      <c r="J606" t="inlineStr">
        <is>
          <t>일반법인</t>
        </is>
      </c>
      <c r="K606" t="inlineStr">
        <is>
          <t>중소기업</t>
        </is>
      </c>
      <c r="L606" t="inlineStr">
        <is>
          <t>외부감사대상</t>
        </is>
      </c>
      <c r="M606" s="6" t="inlineStr">
        <is>
          <t>1994-10-04</t>
        </is>
      </c>
      <c r="N606" t="inlineStr">
        <is>
          <t>KRI:10R9112100</t>
        </is>
      </c>
      <c r="O606" t="inlineStr">
        <is>
          <t>골프장 운영업</t>
        </is>
      </c>
      <c r="P606" t="inlineStr">
        <is>
          <t>골프장 운영/부동산 임대</t>
        </is>
      </c>
      <c r="Q606" t="inlineStr">
        <is>
          <t>충남 부여군 은산면 나령리 274-1번지 클럽하우스 1동</t>
        </is>
      </c>
      <c r="R606" t="inlineStr">
        <is>
          <t>충남 부여군 은산면 충절로 3734-82, 1동 (나령리,클럽하우스)</t>
        </is>
      </c>
    </row>
    <row r="607" ht="19.2" customHeight="1" s="1">
      <c r="A607" t="inlineStr">
        <is>
          <t>NICE:811238</t>
        </is>
      </c>
      <c r="B607" t="inlineStr">
        <is>
          <t>디에스디엘</t>
        </is>
      </c>
      <c r="C607" t="inlineStr">
        <is>
          <t>조현강</t>
        </is>
      </c>
      <c r="D607" t="inlineStr">
        <is>
          <t>02-2098-0702</t>
        </is>
      </c>
      <c r="E607" t="inlineStr">
        <is>
          <t>02-775-5835</t>
        </is>
      </c>
      <c r="F607" s="3">
        <f>HYPERLINK("http://www.dsdl.co.kr", "http://www.dsdl.co.kr")</f>
        <v/>
      </c>
      <c r="G607" t="inlineStr">
        <is>
          <t>1048112068</t>
        </is>
      </c>
      <c r="H607" t="inlineStr">
        <is>
          <t>1101110013229</t>
        </is>
      </c>
      <c r="I607" t="inlineStr">
        <is>
          <t>대상아님</t>
        </is>
      </c>
      <c r="J607" t="inlineStr">
        <is>
          <t>일반법인</t>
        </is>
      </c>
      <c r="K607" t="inlineStr">
        <is>
          <t>중소기업</t>
        </is>
      </c>
      <c r="L607" t="inlineStr">
        <is>
          <t>외부감사대상</t>
        </is>
      </c>
      <c r="M607" s="6" t="inlineStr">
        <is>
          <t>1963-12-04</t>
        </is>
      </c>
      <c r="N607" t="inlineStr">
        <is>
          <t>KRI:10I5510100</t>
        </is>
      </c>
      <c r="O607" t="inlineStr">
        <is>
          <t>호텔업</t>
        </is>
      </c>
      <c r="P607" t="inlineStr">
        <is>
          <t>호텔 운영/부동산 임대,주택분양</t>
        </is>
      </c>
      <c r="Q607" t="inlineStr">
        <is>
          <t>서울 중구 남대문로4가 17-7번지</t>
        </is>
      </c>
      <c r="R607" t="inlineStr">
        <is>
          <t>서울 중구 세종대로 58</t>
        </is>
      </c>
    </row>
    <row r="608" ht="19.2" customHeight="1" s="1">
      <c r="A608" t="inlineStr">
        <is>
          <t>NICE:813753</t>
        </is>
      </c>
      <c r="B608" t="inlineStr">
        <is>
          <t>금보개발</t>
        </is>
      </c>
      <c r="C608" t="inlineStr">
        <is>
          <t>정원석</t>
        </is>
      </c>
      <c r="D608" t="inlineStr">
        <is>
          <t>031-280-4130</t>
        </is>
      </c>
      <c r="E608" t="inlineStr">
        <is>
          <t>031-280-4115</t>
        </is>
      </c>
      <c r="F608" s="3">
        <f>HYPERLINK("http://www.namboocc.co.kr", "http://www.namboocc.co.kr")</f>
        <v/>
      </c>
      <c r="G608" t="inlineStr">
        <is>
          <t>1358108307</t>
        </is>
      </c>
      <c r="H608" t="inlineStr">
        <is>
          <t>1301110004422</t>
        </is>
      </c>
      <c r="I608" t="inlineStr">
        <is>
          <t>대상아님</t>
        </is>
      </c>
      <c r="J608" t="inlineStr">
        <is>
          <t>일반법인</t>
        </is>
      </c>
      <c r="K608" t="inlineStr">
        <is>
          <t>중견기업</t>
        </is>
      </c>
      <c r="L608" t="inlineStr">
        <is>
          <t>외부감사대상</t>
        </is>
      </c>
      <c r="M608" s="6" t="inlineStr">
        <is>
          <t>1979-04-13</t>
        </is>
      </c>
      <c r="N608" t="inlineStr">
        <is>
          <t>KRI:10R9112100</t>
        </is>
      </c>
      <c r="O608" t="inlineStr">
        <is>
          <t>골프장 운영업</t>
        </is>
      </c>
      <c r="P608" t="inlineStr">
        <is>
          <t>골프장,관광호텔 운영</t>
        </is>
      </c>
      <c r="Q608" t="inlineStr">
        <is>
          <t>경기 용인시 기흥구 보라동 1-35번지</t>
        </is>
      </c>
      <c r="R608" t="inlineStr">
        <is>
          <t>경기 용인시 기흥구 사은로 163</t>
        </is>
      </c>
    </row>
    <row r="609" ht="19.2" customHeight="1" s="1">
      <c r="A609" t="inlineStr">
        <is>
          <t>NICE:813796</t>
        </is>
      </c>
      <c r="B609" t="inlineStr">
        <is>
          <t>메타넷디지털</t>
        </is>
      </c>
      <c r="C609" t="inlineStr">
        <is>
          <t>이창열/정일</t>
        </is>
      </c>
      <c r="D609" t="inlineStr">
        <is>
          <t>02-3704-5114</t>
        </is>
      </c>
      <c r="E609" t="inlineStr">
        <is>
          <t>02-6007-9825</t>
        </is>
      </c>
      <c r="F609" s="3">
        <f>HYPERLINK("http://www.metanetdigital.com", "http://www.metanetdigital.com")</f>
        <v/>
      </c>
      <c r="G609" t="inlineStr">
        <is>
          <t>1048118820</t>
        </is>
      </c>
      <c r="H609" t="inlineStr">
        <is>
          <t>1101110625991</t>
        </is>
      </c>
      <c r="I609" t="inlineStr">
        <is>
          <t>대상아님</t>
        </is>
      </c>
      <c r="J609" t="inlineStr">
        <is>
          <t>일반법인</t>
        </is>
      </c>
      <c r="K609" t="inlineStr">
        <is>
          <t>중견기업</t>
        </is>
      </c>
      <c r="L609" t="inlineStr">
        <is>
          <t>외부감사대상</t>
        </is>
      </c>
      <c r="M609" s="6" t="inlineStr">
        <is>
          <t>1989-04-29</t>
        </is>
      </c>
      <c r="N609" t="inlineStr">
        <is>
          <t>KRI:10J6202100</t>
        </is>
      </c>
      <c r="O609" t="inlineStr">
        <is>
          <t>컴퓨터시스템 통합 자문 및 구축 서비스업</t>
        </is>
      </c>
      <c r="P609" t="inlineStr">
        <is>
          <t>소프트웨어 자문,개발,공급,전기,별정 통신,컨설팅/하드웨어 제조/통신장비,부품 도소매</t>
        </is>
      </c>
      <c r="Q609" t="inlineStr">
        <is>
          <t>서울 종로구 연지동 270번지 연강빌딩</t>
        </is>
      </c>
      <c r="R609" t="inlineStr">
        <is>
          <t>서울 종로구 종로33길 15 (연지동,연강빌딩)</t>
        </is>
      </c>
    </row>
    <row r="610" ht="19.2" customHeight="1" s="1">
      <c r="A610" t="inlineStr">
        <is>
          <t>NICE:820806</t>
        </is>
      </c>
      <c r="B610" t="inlineStr">
        <is>
          <t>효성티앤에스</t>
        </is>
      </c>
      <c r="C610" t="inlineStr">
        <is>
          <t>최방섭</t>
        </is>
      </c>
      <c r="D610" t="inlineStr">
        <is>
          <t>02-6181-2114</t>
        </is>
      </c>
      <c r="E610" t="inlineStr">
        <is>
          <t>02-6181-2222</t>
        </is>
      </c>
      <c r="F610" s="3">
        <f>HYPERLINK("http://www.hyosung-tns.co.kr", "http://www.hyosung-tns.co.kr")</f>
        <v/>
      </c>
      <c r="G610" t="inlineStr">
        <is>
          <t>1208130675</t>
        </is>
      </c>
      <c r="H610" t="inlineStr">
        <is>
          <t>1101110511546</t>
        </is>
      </c>
      <c r="I610" t="inlineStr">
        <is>
          <t>대상아님</t>
        </is>
      </c>
      <c r="J610" t="inlineStr">
        <is>
          <t>일반법인</t>
        </is>
      </c>
      <c r="K610" t="inlineStr">
        <is>
          <t>대기업</t>
        </is>
      </c>
      <c r="L610" t="inlineStr">
        <is>
          <t>외부감사대상</t>
        </is>
      </c>
      <c r="M610" s="6" t="inlineStr">
        <is>
          <t>1986-11-27</t>
        </is>
      </c>
      <c r="N610" t="inlineStr">
        <is>
          <t>KRI:10C2918000</t>
        </is>
      </c>
      <c r="O610" t="inlineStr">
        <is>
          <t>사무용 기계 및 장비 제조업</t>
        </is>
      </c>
      <c r="P610" t="inlineStr">
        <is>
          <t>금융자동화기기,네트워크장비 제조,판매/프로그램,전자금융결재시스템(전자금융사업) 개발,시스템분석,CD VAN,CMS,EDI 서비스</t>
        </is>
      </c>
      <c r="Q610" t="inlineStr">
        <is>
          <t>서울 강남구 수서동 715번지 수서빌딩</t>
        </is>
      </c>
      <c r="R610" t="inlineStr">
        <is>
          <t>서울 강남구 광평로 281 (수서동,수서빌딩)</t>
        </is>
      </c>
    </row>
    <row r="611">
      <c r="A611" t="inlineStr">
        <is>
          <t>NICE:820880</t>
        </is>
      </c>
      <c r="B611" t="inlineStr">
        <is>
          <t>사호축산영농조합법인</t>
        </is>
      </c>
      <c r="C611" t="inlineStr">
        <is>
          <t>이창주</t>
        </is>
      </c>
      <c r="D611" t="inlineStr">
        <is>
          <t>041-641-9600</t>
        </is>
      </c>
      <c r="E611" t="inlineStr">
        <is>
          <t>041-641-2158</t>
        </is>
      </c>
      <c r="G611" t="inlineStr">
        <is>
          <t>3138103580</t>
        </is>
      </c>
      <c r="H611" t="inlineStr">
        <is>
          <t>1645710001953</t>
        </is>
      </c>
      <c r="I611" t="inlineStr">
        <is>
          <t>대상아님</t>
        </is>
      </c>
      <c r="J611" t="inlineStr">
        <is>
          <t>일반법인</t>
        </is>
      </c>
      <c r="K611" t="inlineStr">
        <is>
          <t>중견기업</t>
        </is>
      </c>
      <c r="L611" t="inlineStr">
        <is>
          <t>외부감사비대상</t>
        </is>
      </c>
      <c r="M611" s="6" t="inlineStr">
        <is>
          <t>1996-09-21</t>
        </is>
      </c>
      <c r="N611" t="inlineStr">
        <is>
          <t>KRI:10A0122000</t>
        </is>
      </c>
      <c r="O611" t="inlineStr">
        <is>
          <t>양돈업</t>
        </is>
      </c>
      <c r="P611" t="inlineStr">
        <is>
          <t>양돈</t>
        </is>
      </c>
      <c r="Q611" t="inlineStr">
        <is>
          <t>충남 보령시 천북면 학성리 428-1번지</t>
        </is>
      </c>
      <c r="R611" t="inlineStr">
        <is>
          <t>충남 보령시 천북면 사호장은로 107-107</t>
        </is>
      </c>
    </row>
    <row r="612" ht="19.2" customHeight="1" s="1">
      <c r="A612" t="inlineStr">
        <is>
          <t>NICE:823643</t>
        </is>
      </c>
      <c r="B612" t="inlineStr">
        <is>
          <t>코펙</t>
        </is>
      </c>
      <c r="C612" t="inlineStr">
        <is>
          <t>서성호</t>
        </is>
      </c>
      <c r="D612" t="inlineStr">
        <is>
          <t>055-329-0356</t>
        </is>
      </c>
      <c r="E612" t="inlineStr">
        <is>
          <t>055-329-0359</t>
        </is>
      </c>
      <c r="F612" s="3">
        <f>HYPERLINK("http://www.kopecworld.com", "http://www.kopecworld.com")</f>
        <v/>
      </c>
      <c r="G612" t="inlineStr">
        <is>
          <t>6228109682</t>
        </is>
      </c>
      <c r="H612" t="inlineStr">
        <is>
          <t>1846110013966</t>
        </is>
      </c>
      <c r="I612" t="inlineStr">
        <is>
          <t>대상아님</t>
        </is>
      </c>
      <c r="J612" t="inlineStr">
        <is>
          <t>일반법인</t>
        </is>
      </c>
      <c r="K612" t="inlineStr">
        <is>
          <t>중소기업</t>
        </is>
      </c>
      <c r="L612" t="inlineStr">
        <is>
          <t>외부감사대상</t>
        </is>
      </c>
      <c r="M612" s="6" t="inlineStr">
        <is>
          <t>1970-03-05</t>
        </is>
      </c>
      <c r="N612" t="inlineStr">
        <is>
          <t>KRI:10C2322100</t>
        </is>
      </c>
      <c r="O612" t="inlineStr">
        <is>
          <t>가정용 및 장식용 도자기 제조업</t>
        </is>
      </c>
      <c r="P612" t="inlineStr">
        <is>
          <t>법랑제품 제조</t>
        </is>
      </c>
      <c r="Q612" t="inlineStr">
        <is>
          <t>경남 김해시 어방동 1048-4번지</t>
        </is>
      </c>
      <c r="R612" t="inlineStr">
        <is>
          <t>경남 김해시 분성로569번길 40</t>
        </is>
      </c>
    </row>
    <row r="613" ht="19.2" customHeight="1" s="1">
      <c r="A613" t="inlineStr">
        <is>
          <t>NICE:827631</t>
        </is>
      </c>
      <c r="B613" t="inlineStr">
        <is>
          <t>강남대성학원</t>
        </is>
      </c>
      <c r="C613" t="inlineStr">
        <is>
          <t>김대연/김인규</t>
        </is>
      </c>
      <c r="D613" t="inlineStr">
        <is>
          <t>02-581-7888</t>
        </is>
      </c>
      <c r="E613" t="inlineStr">
        <is>
          <t>02-583-6270</t>
        </is>
      </c>
      <c r="F613" s="3">
        <f>HYPERLINK("http://www.kangnamds.co.kr", "http://www.kangnamds.co.kr")</f>
        <v/>
      </c>
      <c r="G613" t="inlineStr">
        <is>
          <t>2148615862</t>
        </is>
      </c>
      <c r="H613" t="inlineStr">
        <is>
          <t>1101111407968</t>
        </is>
      </c>
      <c r="I613" t="inlineStr">
        <is>
          <t>대상아님</t>
        </is>
      </c>
      <c r="J613" t="inlineStr">
        <is>
          <t>일반법인</t>
        </is>
      </c>
      <c r="K613" t="inlineStr">
        <is>
          <t>중소기업</t>
        </is>
      </c>
      <c r="L613" t="inlineStr">
        <is>
          <t>외부감사대상</t>
        </is>
      </c>
      <c r="M613" s="6" t="inlineStr">
        <is>
          <t>1997-04-25</t>
        </is>
      </c>
      <c r="N613" t="inlineStr">
        <is>
          <t>KRI:10P8550100</t>
        </is>
      </c>
      <c r="O613" t="inlineStr">
        <is>
          <t>일반 교과 학원</t>
        </is>
      </c>
      <c r="P613" t="inlineStr">
        <is>
          <t>입시전문학원</t>
        </is>
      </c>
      <c r="Q613" t="inlineStr">
        <is>
          <t>서울 강남구 역삼동 827-15번지 강남대성빌딩</t>
        </is>
      </c>
      <c r="R613" t="inlineStr">
        <is>
          <t>서울 강남구 테헤란로4길 39 (역삼동,강남대성빌딩)</t>
        </is>
      </c>
    </row>
    <row r="614" ht="19.2" customHeight="1" s="1">
      <c r="A614" t="inlineStr">
        <is>
          <t>NICE:831069</t>
        </is>
      </c>
      <c r="B614" t="inlineStr">
        <is>
          <t>미쓰비시케미칼어드밴스드머티리얼즈코리아</t>
        </is>
      </c>
      <c r="C614" t="inlineStr">
        <is>
          <t>김현철</t>
        </is>
      </c>
      <c r="D614" t="inlineStr">
        <is>
          <t>041-411-9900</t>
        </is>
      </c>
      <c r="E614" t="inlineStr">
        <is>
          <t>041-411-9981</t>
        </is>
      </c>
      <c r="F614" s="3">
        <f>HYPERLINK("http://mcam.com", "http://mcam.com")</f>
        <v/>
      </c>
      <c r="G614" t="inlineStr">
        <is>
          <t>1258112032</t>
        </is>
      </c>
      <c r="H614" t="inlineStr">
        <is>
          <t>1347110010283</t>
        </is>
      </c>
      <c r="I614" t="inlineStr">
        <is>
          <t>대상아님</t>
        </is>
      </c>
      <c r="J614" t="inlineStr">
        <is>
          <t>일반법인</t>
        </is>
      </c>
      <c r="K614" t="inlineStr">
        <is>
          <t>중소기업</t>
        </is>
      </c>
      <c r="L614" t="inlineStr">
        <is>
          <t>외부감사대상</t>
        </is>
      </c>
      <c r="M614" s="6" t="inlineStr">
        <is>
          <t>1993-12-16</t>
        </is>
      </c>
      <c r="N614" t="inlineStr">
        <is>
          <t>KRI:10C2221100</t>
        </is>
      </c>
      <c r="O614" t="inlineStr">
        <is>
          <t>플라스틱 선, 봉, 관 및 호스 제조업</t>
        </is>
      </c>
      <c r="P614" t="inlineStr">
        <is>
          <t>프라스틱가공제품 제조</t>
        </is>
      </c>
      <c r="Q614" t="inlineStr">
        <is>
          <t>충남 천안시 서북구 성거읍 문덕리 173번지</t>
        </is>
      </c>
      <c r="R614" t="inlineStr">
        <is>
          <t>충남 천안시 서북구 성거읍 문성2길 33</t>
        </is>
      </c>
    </row>
    <row r="615" ht="19.2" customHeight="1" s="1">
      <c r="A615" t="inlineStr">
        <is>
          <t>NICE:838314</t>
        </is>
      </c>
      <c r="B615" t="inlineStr">
        <is>
          <t>코텍전자</t>
        </is>
      </c>
      <c r="C615" t="inlineStr">
        <is>
          <t>김인기</t>
        </is>
      </c>
      <c r="D615" t="inlineStr">
        <is>
          <t>031-790-1880</t>
        </is>
      </c>
      <c r="E615" t="inlineStr">
        <is>
          <t>031-790-1808</t>
        </is>
      </c>
      <c r="F615" s="3">
        <f>HYPERLINK("http://www.e-kotech.co.kr", "http://www.e-kotech.co.kr")</f>
        <v/>
      </c>
      <c r="G615" t="inlineStr">
        <is>
          <t>2048146553</t>
        </is>
      </c>
      <c r="H615" t="inlineStr">
        <is>
          <t>1101111849376</t>
        </is>
      </c>
      <c r="I615" t="inlineStr">
        <is>
          <t>대상아님</t>
        </is>
      </c>
      <c r="J615" t="inlineStr">
        <is>
          <t>일반법인</t>
        </is>
      </c>
      <c r="K615" t="inlineStr">
        <is>
          <t>중소기업</t>
        </is>
      </c>
      <c r="L615" t="inlineStr">
        <is>
          <t>외부감사대상</t>
        </is>
      </c>
      <c r="M615" s="6" t="inlineStr">
        <is>
          <t>1988-02-01</t>
        </is>
      </c>
      <c r="N615" t="inlineStr">
        <is>
          <t>KRI:10C2629900</t>
        </is>
      </c>
      <c r="O615" t="inlineStr">
        <is>
          <t>그 외 기타 전자부품 제조업</t>
        </is>
      </c>
      <c r="P615" t="inlineStr">
        <is>
          <t>전자기기(물류자동화시스템),컴퓨터주변기기 제조/물류자동화설비,전자기기,컴퓨터주변기기 도매,무역</t>
        </is>
      </c>
      <c r="Q615" t="inlineStr">
        <is>
          <t>경기 하남시 덕풍동 762번지 아이테코 114호, 560호</t>
        </is>
      </c>
      <c r="R615" t="inlineStr">
        <is>
          <t>경기 하남시 조정대로 150, 114호, 560호 (덕풍동,아이테코)</t>
        </is>
      </c>
    </row>
    <row r="616" ht="19.2" customHeight="1" s="1">
      <c r="A616" t="inlineStr">
        <is>
          <t>NICE:838543</t>
        </is>
      </c>
      <c r="B616" t="inlineStr">
        <is>
          <t>득영</t>
        </is>
      </c>
      <c r="C616" t="inlineStr">
        <is>
          <t>이성욱</t>
        </is>
      </c>
      <c r="D616" t="inlineStr">
        <is>
          <t>043-882-2451</t>
        </is>
      </c>
      <c r="E616" t="inlineStr">
        <is>
          <t>043-882-2457</t>
        </is>
      </c>
      <c r="F616" s="3">
        <f>HYPERLINK("http://www.deukyoung.co.kr", "http://www.deukyoung.co.kr")</f>
        <v/>
      </c>
      <c r="G616" t="inlineStr">
        <is>
          <t>3038114872</t>
        </is>
      </c>
      <c r="H616" t="inlineStr">
        <is>
          <t>1545110008832</t>
        </is>
      </c>
      <c r="I616" t="inlineStr">
        <is>
          <t>대상아님</t>
        </is>
      </c>
      <c r="J616" t="inlineStr">
        <is>
          <t>일반법인</t>
        </is>
      </c>
      <c r="K616" t="inlineStr">
        <is>
          <t>중소기업</t>
        </is>
      </c>
      <c r="L616" t="inlineStr">
        <is>
          <t>외부감사대상</t>
        </is>
      </c>
      <c r="M616" s="6" t="inlineStr">
        <is>
          <t>1996-01-23</t>
        </is>
      </c>
      <c r="N616" t="inlineStr">
        <is>
          <t>KRI:10C1399200</t>
        </is>
      </c>
      <c r="O616" t="inlineStr">
        <is>
          <t>부직포 및 펠트 제조업</t>
        </is>
      </c>
      <c r="P616" t="inlineStr">
        <is>
          <t>부직포,펠트 제조</t>
        </is>
      </c>
      <c r="Q616" t="inlineStr">
        <is>
          <t>충북 음성군 삼성면 양덕리 817번지</t>
        </is>
      </c>
      <c r="R616" t="inlineStr">
        <is>
          <t>충북 음성군 삼성면 금일로 1087-16</t>
        </is>
      </c>
    </row>
    <row r="617" ht="19.2" customHeight="1" s="1">
      <c r="A617" t="inlineStr">
        <is>
          <t>NICE:847232</t>
        </is>
      </c>
      <c r="B617" t="inlineStr">
        <is>
          <t>하나마린</t>
        </is>
      </c>
      <c r="C617" t="inlineStr">
        <is>
          <t>강석심/강성구</t>
        </is>
      </c>
      <c r="D617" t="inlineStr">
        <is>
          <t>02-562-9391</t>
        </is>
      </c>
      <c r="E617" t="inlineStr">
        <is>
          <t>02-562-3833</t>
        </is>
      </c>
      <c r="F617" s="3">
        <f>HYPERLINK("http://www.hana-marine.com", "http://www.hana-marine.com")</f>
        <v/>
      </c>
      <c r="G617" t="inlineStr">
        <is>
          <t>1208170361</t>
        </is>
      </c>
      <c r="H617" t="inlineStr">
        <is>
          <t>1101111355753</t>
        </is>
      </c>
      <c r="I617" t="inlineStr">
        <is>
          <t>대상아님</t>
        </is>
      </c>
      <c r="J617" t="inlineStr">
        <is>
          <t>일반법인</t>
        </is>
      </c>
      <c r="K617" t="inlineStr">
        <is>
          <t>중소기업</t>
        </is>
      </c>
      <c r="L617" t="inlineStr">
        <is>
          <t>외부감사대상</t>
        </is>
      </c>
      <c r="M617" s="6" t="inlineStr">
        <is>
          <t>1996-12-23</t>
        </is>
      </c>
      <c r="N617" t="inlineStr">
        <is>
          <t>KRI:10H5011200</t>
        </is>
      </c>
      <c r="O617" t="inlineStr">
        <is>
          <t>외항 화물 운송업</t>
        </is>
      </c>
      <c r="P617" t="inlineStr">
        <is>
          <t>해상 운송/해운 중개</t>
        </is>
      </c>
      <c r="Q617" t="inlineStr">
        <is>
          <t>서울 강남구 대치동 903-4번지 하나빌딩 4층</t>
        </is>
      </c>
      <c r="R617" t="inlineStr">
        <is>
          <t>서울 강남구 역삼로 455, 4층 (대치동,하나빌딩)</t>
        </is>
      </c>
    </row>
    <row r="618" ht="19.2" customHeight="1" s="1">
      <c r="A618" t="inlineStr">
        <is>
          <t>NICE:873519</t>
        </is>
      </c>
      <c r="B618" t="inlineStr">
        <is>
          <t>한국신용평가</t>
        </is>
      </c>
      <c r="C618" t="inlineStr">
        <is>
          <t>윤패트릭</t>
        </is>
      </c>
      <c r="D618" t="inlineStr">
        <is>
          <t>02-787-2200</t>
        </is>
      </c>
      <c r="E618" t="inlineStr">
        <is>
          <t>02-787-2360</t>
        </is>
      </c>
      <c r="F618" s="3">
        <f>HYPERLINK("http://www.kisrating.com", "http://www.kisrating.com")</f>
        <v/>
      </c>
      <c r="G618" t="inlineStr">
        <is>
          <t>1168169360</t>
        </is>
      </c>
      <c r="H618" t="inlineStr">
        <is>
          <t>1101111576458</t>
        </is>
      </c>
      <c r="I618" t="inlineStr">
        <is>
          <t>대상아님</t>
        </is>
      </c>
      <c r="J618" t="inlineStr">
        <is>
          <t>일반법인</t>
        </is>
      </c>
      <c r="K618" t="inlineStr">
        <is>
          <t>중견기업</t>
        </is>
      </c>
      <c r="L618" t="inlineStr">
        <is>
          <t>외부감사대상</t>
        </is>
      </c>
      <c r="M618" s="6" t="inlineStr">
        <is>
          <t>1998-08-18</t>
        </is>
      </c>
      <c r="N618" t="inlineStr">
        <is>
          <t>KRI:10M7390900</t>
        </is>
      </c>
      <c r="O618" t="inlineStr">
        <is>
          <t>그 외 기타 분류 안된 전문, 과학 및 기술 서비스업</t>
        </is>
      </c>
      <c r="P618" t="inlineStr">
        <is>
          <t>신용평가,주식평가,경영진단/출판/도서판매</t>
        </is>
      </c>
      <c r="Q618" t="inlineStr">
        <is>
          <t>서울 영등포구 여의도동 60번지 63빌딩 55층</t>
        </is>
      </c>
      <c r="R618" t="inlineStr">
        <is>
          <t>서울 영등포구 63로 50, 55층 (여의도동,63빌딩)</t>
        </is>
      </c>
    </row>
    <row r="619" ht="19.2" customHeight="1" s="1">
      <c r="A619" t="inlineStr">
        <is>
          <t>NICE:891428</t>
        </is>
      </c>
      <c r="B619" t="inlineStr">
        <is>
          <t>기산전자</t>
        </is>
      </c>
      <c r="C619" t="inlineStr">
        <is>
          <t>장상환</t>
        </is>
      </c>
      <c r="D619" t="inlineStr">
        <is>
          <t>02-2204-7890</t>
        </is>
      </c>
      <c r="E619" t="inlineStr">
        <is>
          <t>02-2204-7899</t>
        </is>
      </c>
      <c r="F619" s="3">
        <f>HYPERLINK("http://www.kisane.com", "http://www.kisane.com")</f>
        <v/>
      </c>
      <c r="G619" t="inlineStr">
        <is>
          <t>6068155578</t>
        </is>
      </c>
      <c r="H619" t="inlineStr">
        <is>
          <t>1801110169341</t>
        </is>
      </c>
      <c r="I619" t="inlineStr">
        <is>
          <t>대상아님</t>
        </is>
      </c>
      <c r="J619" t="inlineStr">
        <is>
          <t>일반법인</t>
        </is>
      </c>
      <c r="K619" t="inlineStr">
        <is>
          <t>중소기업</t>
        </is>
      </c>
      <c r="L619" t="inlineStr">
        <is>
          <t>외부감사대상</t>
        </is>
      </c>
      <c r="M619" s="6" t="inlineStr">
        <is>
          <t>1988-03-02</t>
        </is>
      </c>
      <c r="N619" t="inlineStr">
        <is>
          <t>KRI:10C2918000</t>
        </is>
      </c>
      <c r="O619" t="inlineStr">
        <is>
          <t>사무용 기계 및 장비 제조업</t>
        </is>
      </c>
      <c r="P619" t="inlineStr">
        <is>
          <t>금융사무기기,전자기계,통신기기 제조/부동산 임대,투자,자문/컴퓨터프로그래밍,컴퓨터시스템 통합자문,구축/소프트웨어,정보기술,컴퓨터 운영 서비스</t>
        </is>
      </c>
      <c r="Q619" t="inlineStr">
        <is>
          <t>서울 성동구 성수동2가 273-1번지</t>
        </is>
      </c>
      <c r="R619" t="inlineStr">
        <is>
          <t>서울 성동구 성수이로20길 35</t>
        </is>
      </c>
    </row>
    <row r="620" ht="19.2" customHeight="1" s="1">
      <c r="A620" t="inlineStr">
        <is>
          <t>NICE:897077</t>
        </is>
      </c>
      <c r="B620" t="inlineStr">
        <is>
          <t>한국이구스</t>
        </is>
      </c>
      <c r="C620" t="inlineStr">
        <is>
          <t>칼스텐헤커/윤창원</t>
        </is>
      </c>
      <c r="D620" t="inlineStr">
        <is>
          <t>032-821-2911</t>
        </is>
      </c>
      <c r="E620" t="inlineStr">
        <is>
          <t>032-821-2921</t>
        </is>
      </c>
      <c r="F620" s="3">
        <f>HYPERLINK("http://www.igus.kr", "http://www.igus.kr")</f>
        <v/>
      </c>
      <c r="G620" t="inlineStr">
        <is>
          <t>1318160863</t>
        </is>
      </c>
      <c r="H620" t="inlineStr">
        <is>
          <t>1246110241668</t>
        </is>
      </c>
      <c r="I620" t="inlineStr">
        <is>
          <t>대상아님</t>
        </is>
      </c>
      <c r="J620" t="inlineStr">
        <is>
          <t>일반법인</t>
        </is>
      </c>
      <c r="K620" t="inlineStr">
        <is>
          <t>중소기업</t>
        </is>
      </c>
      <c r="L620" t="inlineStr">
        <is>
          <t>외부감사대상</t>
        </is>
      </c>
      <c r="M620" s="6" t="inlineStr">
        <is>
          <t>2001-01-26</t>
        </is>
      </c>
      <c r="N620" t="inlineStr">
        <is>
          <t>KRI:10G4659600</t>
        </is>
      </c>
      <c r="O620" t="inlineStr">
        <is>
          <t>전지 및 케이블 도매업</t>
        </is>
      </c>
      <c r="P620" t="inlineStr">
        <is>
          <t>케이블,베어링(에너지체인) 도소매,제조</t>
        </is>
      </c>
      <c r="Q620" t="inlineStr">
        <is>
          <t>인천 연수구 송도동 10-84번지</t>
        </is>
      </c>
      <c r="R620" t="inlineStr">
        <is>
          <t>인천 연수구 벤처로12번길 42</t>
        </is>
      </c>
    </row>
    <row r="621" ht="19.2" customHeight="1" s="1">
      <c r="A621" t="inlineStr">
        <is>
          <t>NICE:900818</t>
        </is>
      </c>
      <c r="B621" t="inlineStr">
        <is>
          <t>파르나스호텔</t>
        </is>
      </c>
      <c r="C621" t="inlineStr">
        <is>
          <t>여인창</t>
        </is>
      </c>
      <c r="D621" t="inlineStr">
        <is>
          <t>02-555-5656</t>
        </is>
      </c>
      <c r="E621" t="inlineStr">
        <is>
          <t>02-559-7990</t>
        </is>
      </c>
      <c r="F621" s="3">
        <f>HYPERLINK("http://www.parnashotel.com", "http://www.parnashotel.com")</f>
        <v/>
      </c>
      <c r="G621" t="inlineStr">
        <is>
          <t>1208101336</t>
        </is>
      </c>
      <c r="H621" t="inlineStr">
        <is>
          <t>1101110411142</t>
        </is>
      </c>
      <c r="I621" t="inlineStr">
        <is>
          <t>대상아님</t>
        </is>
      </c>
      <c r="J621" t="inlineStr">
        <is>
          <t>일반법인</t>
        </is>
      </c>
      <c r="K621" t="inlineStr">
        <is>
          <t>대기업</t>
        </is>
      </c>
      <c r="L621" t="inlineStr">
        <is>
          <t>외부감사대상</t>
        </is>
      </c>
      <c r="M621" s="6" t="inlineStr">
        <is>
          <t>1985-11-22</t>
        </is>
      </c>
      <c r="N621" t="inlineStr">
        <is>
          <t>KRI:10I5510100</t>
        </is>
      </c>
      <c r="O621" t="inlineStr">
        <is>
          <t>호텔업</t>
        </is>
      </c>
      <c r="P621" t="inlineStr">
        <is>
          <t>호텔/부동산 임대</t>
        </is>
      </c>
      <c r="Q621" t="inlineStr">
        <is>
          <t>서울 강남구 삼성동 159-8번지</t>
        </is>
      </c>
      <c r="R621" t="inlineStr">
        <is>
          <t>서울 강남구 테헤란로 521</t>
        </is>
      </c>
    </row>
    <row r="622" ht="19.2" customHeight="1" s="1">
      <c r="A622" t="inlineStr">
        <is>
          <t>NICE:901041</t>
        </is>
      </c>
      <c r="B622" t="inlineStr">
        <is>
          <t>인피니언테크놀로지스코리아</t>
        </is>
      </c>
      <c r="C622" t="inlineStr">
        <is>
          <t>이승수</t>
        </is>
      </c>
      <c r="D622" t="inlineStr">
        <is>
          <t>02-3460-0900</t>
        </is>
      </c>
      <c r="E622" t="inlineStr">
        <is>
          <t>02-3460-0902</t>
        </is>
      </c>
      <c r="F622" s="3">
        <f>HYPERLINK("http://www.infineon.com/cms/korea/kr", "http://www.infineon.com/cms/korea/kr")</f>
        <v/>
      </c>
      <c r="G622" t="inlineStr">
        <is>
          <t>2208612481</t>
        </is>
      </c>
      <c r="H622" t="inlineStr">
        <is>
          <t>1101140229284</t>
        </is>
      </c>
      <c r="I622" t="inlineStr">
        <is>
          <t>대상아님</t>
        </is>
      </c>
      <c r="J622" t="inlineStr">
        <is>
          <t>일반법인</t>
        </is>
      </c>
      <c r="K622" t="inlineStr">
        <is>
          <t>중소기업</t>
        </is>
      </c>
      <c r="L622" t="inlineStr">
        <is>
          <t>외부감사대상</t>
        </is>
      </c>
      <c r="M622" s="6" t="inlineStr">
        <is>
          <t>2001-05-18</t>
        </is>
      </c>
      <c r="N622" t="inlineStr">
        <is>
          <t>KRI:10M7153100</t>
        </is>
      </c>
      <c r="O622" t="inlineStr">
        <is>
          <t>경영 컨설팅업</t>
        </is>
      </c>
      <c r="P622" t="inlineStr">
        <is>
          <t>경영 상담</t>
        </is>
      </c>
      <c r="Q622" t="inlineStr">
        <is>
          <t>서울 강남구 대치동 946-1번지 글라스타워 13층, 1층</t>
        </is>
      </c>
      <c r="R622" t="inlineStr">
        <is>
          <t>서울 강남구 테헤란로 534, 13층, 1층 (대치동,글라스타워)</t>
        </is>
      </c>
    </row>
    <row r="623" ht="19.2" customHeight="1" s="1">
      <c r="A623" t="inlineStr">
        <is>
          <t>NICE:901431</t>
        </is>
      </c>
      <c r="B623" t="inlineStr">
        <is>
          <t>희성촉매</t>
        </is>
      </c>
      <c r="C623" t="inlineStr">
        <is>
          <t>한현식</t>
        </is>
      </c>
      <c r="D623" t="inlineStr">
        <is>
          <t>031-496-5500</t>
        </is>
      </c>
      <c r="E623" t="inlineStr">
        <is>
          <t>031-433-7100</t>
        </is>
      </c>
      <c r="F623" s="3">
        <f>HYPERLINK("http://www.hscatalysts.com", "http://www.hscatalysts.com")</f>
        <v/>
      </c>
      <c r="G623" t="inlineStr">
        <is>
          <t>1348103482</t>
        </is>
      </c>
      <c r="H623" t="inlineStr">
        <is>
          <t>1301110010619</t>
        </is>
      </c>
      <c r="I623" t="inlineStr">
        <is>
          <t>대상아님</t>
        </is>
      </c>
      <c r="J623" t="inlineStr">
        <is>
          <t>일반법인</t>
        </is>
      </c>
      <c r="K623" t="inlineStr">
        <is>
          <t>중견기업</t>
        </is>
      </c>
      <c r="L623" t="inlineStr">
        <is>
          <t>외부감사대상</t>
        </is>
      </c>
      <c r="M623" s="6" t="inlineStr">
        <is>
          <t>1983-04-21</t>
        </is>
      </c>
      <c r="N623" t="inlineStr">
        <is>
          <t>KRI:10C3039900</t>
        </is>
      </c>
      <c r="O623" t="inlineStr">
        <is>
          <t>그 외 자동차용 신품 부품 제조업</t>
        </is>
      </c>
      <c r="P623" t="inlineStr">
        <is>
          <t>자동차촉매,귀금속,수금,치과도금재료 제조</t>
        </is>
      </c>
      <c r="Q623" t="inlineStr">
        <is>
          <t>경기 시흥시 정왕동 1251-6번지 시화공단1다 507호</t>
        </is>
      </c>
      <c r="R623" t="inlineStr">
        <is>
          <t>경기 시흥시 소망공원로 91, 507호 (정왕동,시화공단1다)</t>
        </is>
      </c>
    </row>
    <row r="624" ht="19.2" customHeight="1" s="1">
      <c r="A624" t="inlineStr">
        <is>
          <t>NICE:910333</t>
        </is>
      </c>
      <c r="B624" t="inlineStr">
        <is>
          <t>서울레이크사이드</t>
        </is>
      </c>
      <c r="C624" t="inlineStr">
        <is>
          <t>김성민</t>
        </is>
      </c>
      <c r="D624" t="inlineStr">
        <is>
          <t>031-334-2111</t>
        </is>
      </c>
      <c r="E624" t="inlineStr">
        <is>
          <t>031-332-2106</t>
        </is>
      </c>
      <c r="F624" s="3">
        <f>HYPERLINK("http://www.lakeside.kr", "http://www.lakeside.kr")</f>
        <v/>
      </c>
      <c r="G624" t="inlineStr">
        <is>
          <t>1358102491</t>
        </is>
      </c>
      <c r="H624" t="inlineStr">
        <is>
          <t>1101110504070</t>
        </is>
      </c>
      <c r="I624" t="inlineStr">
        <is>
          <t>대상아님</t>
        </is>
      </c>
      <c r="J624" t="inlineStr">
        <is>
          <t>일반법인</t>
        </is>
      </c>
      <c r="K624" t="inlineStr">
        <is>
          <t>대기업</t>
        </is>
      </c>
      <c r="L624" t="inlineStr">
        <is>
          <t>외부감사대상</t>
        </is>
      </c>
      <c r="M624" s="6" t="inlineStr">
        <is>
          <t>1986-08-22</t>
        </is>
      </c>
      <c r="N624" t="inlineStr">
        <is>
          <t>KRI:10R9112100</t>
        </is>
      </c>
      <c r="O624" t="inlineStr">
        <is>
          <t>골프장 운영업</t>
        </is>
      </c>
      <c r="P624" t="inlineStr">
        <is>
          <t>골프장 운영</t>
        </is>
      </c>
      <c r="Q624" t="inlineStr">
        <is>
          <t>경기 용인시 처인구 모현읍 능원리 산5-12번지</t>
        </is>
      </c>
      <c r="R624" t="inlineStr">
        <is>
          <t>경기 용인시 처인구 모현읍 능원로 181</t>
        </is>
      </c>
    </row>
    <row r="625" ht="19.2" customHeight="1" s="1">
      <c r="A625" t="inlineStr">
        <is>
          <t>NICE:910546</t>
        </is>
      </c>
      <c r="B625" t="inlineStr">
        <is>
          <t>한일레저</t>
        </is>
      </c>
      <c r="C625" t="inlineStr">
        <is>
          <t>박정재</t>
        </is>
      </c>
      <c r="D625" t="inlineStr">
        <is>
          <t>031-884-7000</t>
        </is>
      </c>
      <c r="E625" t="inlineStr">
        <is>
          <t>031-883-1400</t>
        </is>
      </c>
      <c r="F625" s="3">
        <f>HYPERLINK("http://www.solmoro.com", "http://www.solmoro.com")</f>
        <v/>
      </c>
      <c r="G625" t="inlineStr">
        <is>
          <t>1268106630</t>
        </is>
      </c>
      <c r="H625" t="inlineStr">
        <is>
          <t>1312110001292</t>
        </is>
      </c>
      <c r="I625" t="inlineStr">
        <is>
          <t>대상아님</t>
        </is>
      </c>
      <c r="J625" t="inlineStr">
        <is>
          <t>일반법인</t>
        </is>
      </c>
      <c r="K625" t="inlineStr">
        <is>
          <t>중소기업</t>
        </is>
      </c>
      <c r="L625" t="inlineStr">
        <is>
          <t>외부감사대상</t>
        </is>
      </c>
      <c r="M625" s="6" t="inlineStr">
        <is>
          <t>1988-12-24</t>
        </is>
      </c>
      <c r="N625" t="inlineStr">
        <is>
          <t>KRI:10R9112100</t>
        </is>
      </c>
      <c r="O625" t="inlineStr">
        <is>
          <t>골프장 운영업</t>
        </is>
      </c>
      <c r="P625" t="inlineStr">
        <is>
          <t>골프장,볼링장,헬스크럽 운영/전자상거래/한식 음식점</t>
        </is>
      </c>
      <c r="Q625" t="inlineStr">
        <is>
          <t>경기 여주시 가남읍 양귀리 산69번지</t>
        </is>
      </c>
      <c r="R625" t="inlineStr">
        <is>
          <t>경기 여주시 가남읍 솔모로그린길 171</t>
        </is>
      </c>
    </row>
    <row r="626">
      <c r="A626" t="inlineStr">
        <is>
          <t>NICE:910643</t>
        </is>
      </c>
      <c r="B626" t="inlineStr">
        <is>
          <t>삼남개발</t>
        </is>
      </c>
      <c r="C626" t="inlineStr">
        <is>
          <t>김장자/류제호</t>
        </is>
      </c>
      <c r="D626" t="inlineStr">
        <is>
          <t>031-376-4005</t>
        </is>
      </c>
      <c r="E626" t="inlineStr">
        <is>
          <t>031-376-6167</t>
        </is>
      </c>
      <c r="G626" t="inlineStr">
        <is>
          <t>1118112843</t>
        </is>
      </c>
      <c r="H626" t="inlineStr">
        <is>
          <t>1101110231970</t>
        </is>
      </c>
      <c r="I626" t="inlineStr">
        <is>
          <t>대상아님</t>
        </is>
      </c>
      <c r="J626" t="inlineStr">
        <is>
          <t>일반법인</t>
        </is>
      </c>
      <c r="K626" t="inlineStr">
        <is>
          <t>중소기업</t>
        </is>
      </c>
      <c r="L626" t="inlineStr">
        <is>
          <t>외부감사대상</t>
        </is>
      </c>
      <c r="M626" s="6" t="inlineStr">
        <is>
          <t>1978-05-24</t>
        </is>
      </c>
      <c r="N626" t="inlineStr">
        <is>
          <t>KRI:10R9112100</t>
        </is>
      </c>
      <c r="O626" t="inlineStr">
        <is>
          <t>골프장 운영업</t>
        </is>
      </c>
      <c r="P626" t="inlineStr">
        <is>
          <t>골프장 운영</t>
        </is>
      </c>
      <c r="Q626" t="inlineStr">
        <is>
          <t>경기 화성시 동탄구 신동 50-1번지</t>
        </is>
      </c>
      <c r="R626" t="inlineStr">
        <is>
          <t>경기 화성시 동탄구 풀무골로106번길 244</t>
        </is>
      </c>
    </row>
    <row r="627" ht="19.2" customHeight="1" s="1">
      <c r="A627" t="inlineStr">
        <is>
          <t>NICE:910651</t>
        </is>
      </c>
      <c r="B627" t="inlineStr">
        <is>
          <t>해강개발</t>
        </is>
      </c>
      <c r="C627" t="inlineStr">
        <is>
          <t>임종수</t>
        </is>
      </c>
      <c r="D627" t="inlineStr">
        <is>
          <t>031-987-9992</t>
        </is>
      </c>
      <c r="E627" t="inlineStr">
        <is>
          <t>031-987-9994</t>
        </is>
      </c>
      <c r="F627" s="3">
        <f>HYPERLINK("http://www.gimpocc.co.kr", "http://www.gimpocc.co.kr")</f>
        <v/>
      </c>
      <c r="G627" t="inlineStr">
        <is>
          <t>1368105531</t>
        </is>
      </c>
      <c r="H627" t="inlineStr">
        <is>
          <t>1244110008989</t>
        </is>
      </c>
      <c r="I627" t="inlineStr">
        <is>
          <t>대상아님</t>
        </is>
      </c>
      <c r="J627" t="inlineStr">
        <is>
          <t>일반법인</t>
        </is>
      </c>
      <c r="K627" t="inlineStr">
        <is>
          <t>중소기업</t>
        </is>
      </c>
      <c r="L627" t="inlineStr">
        <is>
          <t>외부감사대상</t>
        </is>
      </c>
      <c r="M627" s="6" t="inlineStr">
        <is>
          <t>1989-11-13</t>
        </is>
      </c>
      <c r="N627" t="inlineStr">
        <is>
          <t>KRI:10R9112100</t>
        </is>
      </c>
      <c r="O627" t="inlineStr">
        <is>
          <t>골프장 운영업</t>
        </is>
      </c>
      <c r="P627" t="inlineStr">
        <is>
          <t>골프장 운영</t>
        </is>
      </c>
      <c r="Q627" t="inlineStr">
        <is>
          <t>경기 김포시 월곶면 포내리 220-4번지</t>
        </is>
      </c>
      <c r="R627" t="inlineStr">
        <is>
          <t>경기 김포시 월곶면 김포대로2801번길 219</t>
        </is>
      </c>
    </row>
    <row r="628" ht="19.2" customHeight="1" s="1">
      <c r="A628" t="inlineStr">
        <is>
          <t>NICE:910660</t>
        </is>
      </c>
      <c r="B628" t="inlineStr">
        <is>
          <t>양산컨트리클럽</t>
        </is>
      </c>
      <c r="C628" t="inlineStr">
        <is>
          <t>윤선재</t>
        </is>
      </c>
      <c r="D628" t="inlineStr">
        <is>
          <t>055-379-0000</t>
        </is>
      </c>
      <c r="E628" t="inlineStr">
        <is>
          <t>055-379-0098</t>
        </is>
      </c>
      <c r="F628" s="3">
        <f>HYPERLINK("http://www.yangsancc.co.kr", "http://www.yangsancc.co.kr")</f>
        <v/>
      </c>
      <c r="G628" t="inlineStr">
        <is>
          <t>6218103711</t>
        </is>
      </c>
      <c r="H628" t="inlineStr">
        <is>
          <t>1845110004579</t>
        </is>
      </c>
      <c r="I628" t="inlineStr">
        <is>
          <t>대상아님</t>
        </is>
      </c>
      <c r="J628" t="inlineStr">
        <is>
          <t>일반법인</t>
        </is>
      </c>
      <c r="K628" t="inlineStr">
        <is>
          <t>중소기업</t>
        </is>
      </c>
      <c r="L628" t="inlineStr">
        <is>
          <t>외부감사대상</t>
        </is>
      </c>
      <c r="M628" s="6" t="inlineStr">
        <is>
          <t>1989-06-05</t>
        </is>
      </c>
      <c r="N628" t="inlineStr">
        <is>
          <t>KRI:10R9112100</t>
        </is>
      </c>
      <c r="O628" t="inlineStr">
        <is>
          <t>골프장 운영업</t>
        </is>
      </c>
      <c r="P628" t="inlineStr">
        <is>
          <t>골프장 운영</t>
        </is>
      </c>
      <c r="Q628" t="inlineStr">
        <is>
          <t>경남 양산시 상북면 소토리 1059-3번지</t>
        </is>
      </c>
      <c r="R628" t="inlineStr">
        <is>
          <t>경남 양산시 상북면 충렬로 687</t>
        </is>
      </c>
    </row>
    <row r="629" ht="19.2" customHeight="1" s="1">
      <c r="A629" t="inlineStr">
        <is>
          <t>NICE:910716</t>
        </is>
      </c>
      <c r="B629" t="inlineStr">
        <is>
          <t>엘비젼</t>
        </is>
      </c>
      <c r="C629" t="inlineStr">
        <is>
          <t>이강인</t>
        </is>
      </c>
      <c r="D629" t="inlineStr">
        <is>
          <t>02-526-0386</t>
        </is>
      </c>
      <c r="E629" t="inlineStr">
        <is>
          <t>02-526-0399</t>
        </is>
      </c>
      <c r="F629" s="3">
        <f>HYPERLINK("http://www.eltower.co.kr", "http://www.eltower.co.kr")</f>
        <v/>
      </c>
      <c r="G629" t="inlineStr">
        <is>
          <t>2298111811</t>
        </is>
      </c>
      <c r="H629" t="inlineStr">
        <is>
          <t>1101110287163</t>
        </is>
      </c>
      <c r="I629" t="inlineStr">
        <is>
          <t>대상아님</t>
        </is>
      </c>
      <c r="J629" t="inlineStr">
        <is>
          <t>일반법인</t>
        </is>
      </c>
      <c r="K629" t="inlineStr">
        <is>
          <t>중견기업</t>
        </is>
      </c>
      <c r="L629" t="inlineStr">
        <is>
          <t>외부감사대상</t>
        </is>
      </c>
      <c r="M629" s="6" t="inlineStr">
        <is>
          <t>1981-01-12</t>
        </is>
      </c>
      <c r="N629" t="inlineStr">
        <is>
          <t>KRI:10I5611100</t>
        </is>
      </c>
      <c r="O629" t="inlineStr">
        <is>
          <t>한식 일반 음식점업</t>
        </is>
      </c>
      <c r="P629" t="inlineStr">
        <is>
          <t>음식점/연회행사,예식업/회원제스포츠센터</t>
        </is>
      </c>
      <c r="Q629" t="inlineStr">
        <is>
          <t>서울 서초구 양재동 24번지</t>
        </is>
      </c>
      <c r="R629" t="inlineStr">
        <is>
          <t>서울 서초구 강남대로 213</t>
        </is>
      </c>
    </row>
    <row r="630" ht="19.2" customHeight="1" s="1">
      <c r="A630" t="inlineStr">
        <is>
          <t>NICE:910740</t>
        </is>
      </c>
      <c r="B630" t="inlineStr">
        <is>
          <t>동부산컨트리클럽</t>
        </is>
      </c>
      <c r="C630" t="inlineStr">
        <is>
          <t>최성필</t>
        </is>
      </c>
      <c r="D630" t="inlineStr">
        <is>
          <t>055-388-1315-7</t>
        </is>
      </c>
      <c r="E630" t="inlineStr">
        <is>
          <t>055-388-1318</t>
        </is>
      </c>
      <c r="F630" s="3">
        <f>HYPERLINK("http://www.dongpusancc.co.kr", "http://www.dongpusancc.co.kr")</f>
        <v/>
      </c>
      <c r="G630" t="inlineStr">
        <is>
          <t>6218109525</t>
        </is>
      </c>
      <c r="H630" t="inlineStr">
        <is>
          <t>1845110004660</t>
        </is>
      </c>
      <c r="I630" t="inlineStr">
        <is>
          <t>대상아님</t>
        </is>
      </c>
      <c r="J630" t="inlineStr">
        <is>
          <t>일반법인</t>
        </is>
      </c>
      <c r="K630" t="inlineStr">
        <is>
          <t>중소기업</t>
        </is>
      </c>
      <c r="L630" t="inlineStr">
        <is>
          <t>외부감사대상</t>
        </is>
      </c>
      <c r="M630" s="6" t="inlineStr">
        <is>
          <t>1989-07-03</t>
        </is>
      </c>
      <c r="N630" t="inlineStr">
        <is>
          <t>KRI:10R9112100</t>
        </is>
      </c>
      <c r="O630" t="inlineStr">
        <is>
          <t>골프장 운영업</t>
        </is>
      </c>
      <c r="P630" t="inlineStr">
        <is>
          <t>골프장 운영</t>
        </is>
      </c>
      <c r="Q630" t="inlineStr">
        <is>
          <t>경남 양산시 매곡동 산100번지</t>
        </is>
      </c>
      <c r="R630" t="inlineStr">
        <is>
          <t>경남 양산시 매곡외산로 282</t>
        </is>
      </c>
    </row>
    <row r="631" ht="19.2" customHeight="1" s="1">
      <c r="A631" t="inlineStr">
        <is>
          <t>NICE:912344</t>
        </is>
      </c>
      <c r="B631" t="inlineStr">
        <is>
          <t>경기주택도시공사</t>
        </is>
      </c>
      <c r="C631" t="inlineStr">
        <is>
          <t>김용진</t>
        </is>
      </c>
      <c r="D631" t="inlineStr">
        <is>
          <t>1588-0466</t>
        </is>
      </c>
      <c r="E631" t="inlineStr">
        <is>
          <t>031-220-3129</t>
        </is>
      </c>
      <c r="F631" s="3">
        <f>HYPERLINK("http://www.gico.or.kr", "http://www.gico.or.kr")</f>
        <v/>
      </c>
      <c r="G631" t="inlineStr">
        <is>
          <t>1248208978</t>
        </is>
      </c>
      <c r="H631" t="inlineStr">
        <is>
          <t>1301710000052</t>
        </is>
      </c>
      <c r="I631" t="inlineStr">
        <is>
          <t>대상아님</t>
        </is>
      </c>
      <c r="J631" t="inlineStr">
        <is>
          <t>공공기관</t>
        </is>
      </c>
      <c r="K631" t="inlineStr">
        <is>
          <t>대상아님</t>
        </is>
      </c>
      <c r="L631" t="inlineStr">
        <is>
          <t>외부감사비대상</t>
        </is>
      </c>
      <c r="M631" s="6" t="inlineStr">
        <is>
          <t>1997-11-28</t>
        </is>
      </c>
      <c r="N631" t="inlineStr">
        <is>
          <t>KRI:10L6812900</t>
        </is>
      </c>
      <c r="O631" t="inlineStr">
        <is>
          <t>기타 부동산 개발 및 공급업</t>
        </is>
      </c>
      <c r="P631" t="inlineStr">
        <is>
          <t>택지 개발/주택공사</t>
        </is>
      </c>
      <c r="Q631" t="inlineStr">
        <is>
          <t>경기 수원시 영통구 이의동 177-10번지</t>
        </is>
      </c>
      <c r="R631" t="inlineStr">
        <is>
          <t>경기 수원시 영통구 센트럴타운로 43</t>
        </is>
      </c>
    </row>
    <row r="632">
      <c r="A632" t="inlineStr">
        <is>
          <t>NICE:916757</t>
        </is>
      </c>
      <c r="B632" t="inlineStr">
        <is>
          <t>제너럴켐</t>
        </is>
      </c>
      <c r="C632" t="inlineStr">
        <is>
          <t>황동섭</t>
        </is>
      </c>
      <c r="D632" t="inlineStr">
        <is>
          <t>055-323-1717</t>
        </is>
      </c>
      <c r="E632" t="inlineStr">
        <is>
          <t>055-323-1721</t>
        </is>
      </c>
      <c r="G632" t="inlineStr">
        <is>
          <t>6228124515</t>
        </is>
      </c>
      <c r="H632" t="inlineStr">
        <is>
          <t>1846110032635</t>
        </is>
      </c>
      <c r="I632" t="inlineStr">
        <is>
          <t>대상아님</t>
        </is>
      </c>
      <c r="J632" t="inlineStr">
        <is>
          <t>일반법인</t>
        </is>
      </c>
      <c r="K632" t="inlineStr">
        <is>
          <t>중소기업</t>
        </is>
      </c>
      <c r="L632" t="inlineStr">
        <is>
          <t>외부감사대상</t>
        </is>
      </c>
      <c r="M632" s="6" t="inlineStr">
        <is>
          <t>1987-03-01</t>
        </is>
      </c>
      <c r="N632" t="inlineStr">
        <is>
          <t>KRI:10C2041300</t>
        </is>
      </c>
      <c r="O632" t="inlineStr">
        <is>
          <t>인쇄잉크 및 회화용 물감 제조업</t>
        </is>
      </c>
      <c r="P632" t="inlineStr">
        <is>
          <t>잉크,수용성페인트 제조</t>
        </is>
      </c>
      <c r="Q632" t="inlineStr">
        <is>
          <t>경남 김해시 주촌면 내삼리 1128-7번지</t>
        </is>
      </c>
      <c r="R632" t="inlineStr">
        <is>
          <t>경남 김해시 주촌면 서부로1499번길 49-34</t>
        </is>
      </c>
    </row>
    <row r="633" ht="19.2" customHeight="1" s="1">
      <c r="A633" t="inlineStr">
        <is>
          <t>NICE:922366</t>
        </is>
      </c>
      <c r="B633" t="inlineStr">
        <is>
          <t>크린토피아</t>
        </is>
      </c>
      <c r="C633" t="inlineStr">
        <is>
          <t>김동철</t>
        </is>
      </c>
      <c r="D633" t="inlineStr">
        <is>
          <t>1577-4560</t>
        </is>
      </c>
      <c r="E633" t="inlineStr">
        <is>
          <t>031-733-1995</t>
        </is>
      </c>
      <c r="F633" s="3">
        <f>HYPERLINK("http://www.cleantopia.com", "http://www.cleantopia.com")</f>
        <v/>
      </c>
      <c r="G633" t="inlineStr">
        <is>
          <t>1308155163</t>
        </is>
      </c>
      <c r="H633" t="inlineStr">
        <is>
          <t>1211110059387</t>
        </is>
      </c>
      <c r="I633" t="inlineStr">
        <is>
          <t>대상아님</t>
        </is>
      </c>
      <c r="J633" t="inlineStr">
        <is>
          <t>일반법인</t>
        </is>
      </c>
      <c r="K633" t="inlineStr">
        <is>
          <t>중견기업</t>
        </is>
      </c>
      <c r="L633" t="inlineStr">
        <is>
          <t>외부감사대상</t>
        </is>
      </c>
      <c r="M633" s="6" t="inlineStr">
        <is>
          <t>1997-12-19</t>
        </is>
      </c>
      <c r="N633" t="inlineStr">
        <is>
          <t>KRI:10S9691100</t>
        </is>
      </c>
      <c r="O633" t="inlineStr">
        <is>
          <t>산업용 세탁업</t>
        </is>
      </c>
      <c r="P633" t="inlineStr">
        <is>
          <t>세탁/경영 컨설팅,프랜차이즈체인점/섬유제품,탈취제,세탁기기,장비 원부자재 제조/유류,석유화학 제품 도소매</t>
        </is>
      </c>
      <c r="Q633" t="inlineStr">
        <is>
          <t>경기 성남시 중원구 상대원동 64번지</t>
        </is>
      </c>
      <c r="R633" t="inlineStr">
        <is>
          <t>경기 성남시 중원구 순환로 222</t>
        </is>
      </c>
    </row>
    <row r="634">
      <c r="A634" t="inlineStr">
        <is>
          <t>NICE:925055</t>
        </is>
      </c>
      <c r="B634" t="inlineStr">
        <is>
          <t>선우테크</t>
        </is>
      </c>
      <c r="C634" t="inlineStr">
        <is>
          <t>최재관</t>
        </is>
      </c>
      <c r="D634" t="inlineStr">
        <is>
          <t>043-275-5300</t>
        </is>
      </c>
      <c r="E634" t="inlineStr">
        <is>
          <t>043-275-5519</t>
        </is>
      </c>
      <c r="G634" t="inlineStr">
        <is>
          <t>2118625380</t>
        </is>
      </c>
      <c r="H634" t="inlineStr">
        <is>
          <t>1101111472911</t>
        </is>
      </c>
      <c r="I634" t="inlineStr">
        <is>
          <t>대상아님</t>
        </is>
      </c>
      <c r="J634" t="inlineStr">
        <is>
          <t>일반법인</t>
        </is>
      </c>
      <c r="K634" t="inlineStr">
        <is>
          <t>중소기업</t>
        </is>
      </c>
      <c r="L634" t="inlineStr">
        <is>
          <t>외부감사대상</t>
        </is>
      </c>
      <c r="M634" s="6" t="inlineStr">
        <is>
          <t>1997-10-15</t>
        </is>
      </c>
      <c r="N634" t="inlineStr">
        <is>
          <t>KRI:10C2622300</t>
        </is>
      </c>
      <c r="O634" t="inlineStr">
        <is>
          <t>연성 및 기타 인쇄회로기판 제조업</t>
        </is>
      </c>
      <c r="P634" t="inlineStr">
        <is>
          <t>전자부품(PCB) 제조</t>
        </is>
      </c>
      <c r="Q634" t="inlineStr">
        <is>
          <t>충북 청주시 흥덕구 송정동 140-63번지</t>
        </is>
      </c>
      <c r="R634" t="inlineStr">
        <is>
          <t>충북 청주시 흥덕구 백봉로 64</t>
        </is>
      </c>
    </row>
    <row r="635" ht="19.2" customHeight="1" s="1">
      <c r="A635" t="inlineStr">
        <is>
          <t>NICE:925373</t>
        </is>
      </c>
      <c r="B635" t="inlineStr">
        <is>
          <t>한국어도비시스템즈</t>
        </is>
      </c>
      <c r="C635" t="inlineStr">
        <is>
          <t>카리사소</t>
        </is>
      </c>
      <c r="D635" t="inlineStr">
        <is>
          <t>02-530-8000</t>
        </is>
      </c>
      <c r="E635" t="inlineStr">
        <is>
          <t>02-530-8001</t>
        </is>
      </c>
      <c r="F635" s="3">
        <f>HYPERLINK("http://www.adobe.com", "http://www.adobe.com")</f>
        <v/>
      </c>
      <c r="G635" t="inlineStr">
        <is>
          <t>1208176744</t>
        </is>
      </c>
      <c r="H635" t="inlineStr">
        <is>
          <t>1101140033411</t>
        </is>
      </c>
      <c r="I635" t="inlineStr">
        <is>
          <t>대상아님</t>
        </is>
      </c>
      <c r="J635" t="inlineStr">
        <is>
          <t>일반법인</t>
        </is>
      </c>
      <c r="K635" t="inlineStr">
        <is>
          <t>중소기업</t>
        </is>
      </c>
      <c r="L635" t="inlineStr">
        <is>
          <t>외부감사대상</t>
        </is>
      </c>
      <c r="M635" s="6" t="inlineStr">
        <is>
          <t>1997-10-25</t>
        </is>
      </c>
      <c r="N635" t="inlineStr">
        <is>
          <t>KRI:10J6202100</t>
        </is>
      </c>
      <c r="O635" t="inlineStr">
        <is>
          <t>컴퓨터시스템 통합 자문 및 구축 서비스업</t>
        </is>
      </c>
      <c r="P635" t="inlineStr">
        <is>
          <t>소프트웨어 마케팅,판매</t>
        </is>
      </c>
      <c r="Q635" t="inlineStr">
        <is>
          <t>서울 강남구 삼성동 159-8번지 파르나스타워 19층</t>
        </is>
      </c>
      <c r="R635" t="inlineStr">
        <is>
          <t>서울 강남구 테헤란로 521, 19층 (삼성동,파르나스타워)</t>
        </is>
      </c>
    </row>
    <row r="636" ht="19.2" customHeight="1" s="1">
      <c r="A636" t="inlineStr">
        <is>
          <t>NICE:934500</t>
        </is>
      </c>
      <c r="B636" t="inlineStr">
        <is>
          <t>화인테크놀리지</t>
        </is>
      </c>
      <c r="C636" t="inlineStr">
        <is>
          <t>서영옥/이봉순</t>
        </is>
      </c>
      <c r="D636" t="inlineStr">
        <is>
          <t>055-362-8110</t>
        </is>
      </c>
      <c r="E636" t="inlineStr">
        <is>
          <t>055-362-8112</t>
        </is>
      </c>
      <c r="F636" s="3">
        <f>HYPERLINK("http://www.finetechnology.co.kr", "http://www.finetechnology.co.kr")</f>
        <v/>
      </c>
      <c r="G636" t="inlineStr">
        <is>
          <t>6218131371</t>
        </is>
      </c>
      <c r="H636" t="inlineStr">
        <is>
          <t>1845110019297</t>
        </is>
      </c>
      <c r="I636" t="inlineStr">
        <is>
          <t>대상아님</t>
        </is>
      </c>
      <c r="J636" t="inlineStr">
        <is>
          <t>일반법인</t>
        </is>
      </c>
      <c r="K636" t="inlineStr">
        <is>
          <t>중소기업</t>
        </is>
      </c>
      <c r="L636" t="inlineStr">
        <is>
          <t>외부감사대상</t>
        </is>
      </c>
      <c r="M636" s="6" t="inlineStr">
        <is>
          <t>1998-09-07</t>
        </is>
      </c>
      <c r="N636" t="inlineStr">
        <is>
          <t>KRI:10C2229100</t>
        </is>
      </c>
      <c r="O636" t="inlineStr">
        <is>
          <t>플라스틱 접착처리 제품 제조업</t>
        </is>
      </c>
      <c r="P636" t="inlineStr">
        <is>
          <t>접착테이프,플라스틱필름,시트,판 제조</t>
        </is>
      </c>
      <c r="Q636" t="inlineStr">
        <is>
          <t>경남 양산시 어곡동 869-5번지</t>
        </is>
      </c>
      <c r="R636" t="inlineStr">
        <is>
          <t>경남 양산시 어곡공단1길 10</t>
        </is>
      </c>
    </row>
    <row r="637" ht="19.2" customHeight="1" s="1">
      <c r="A637" t="inlineStr">
        <is>
          <t>NICE:951013</t>
        </is>
      </c>
      <c r="B637" t="inlineStr">
        <is>
          <t>파카코리아</t>
        </is>
      </c>
      <c r="C637" t="inlineStr">
        <is>
          <t>김주한</t>
        </is>
      </c>
      <c r="D637" t="inlineStr">
        <is>
          <t>031-359-0700</t>
        </is>
      </c>
      <c r="E637" t="inlineStr">
        <is>
          <t>031-359-0800</t>
        </is>
      </c>
      <c r="F637" s="3">
        <f>HYPERLINK("http://www.parker.com/ko", "http://www.parker.com/ko")</f>
        <v/>
      </c>
      <c r="G637" t="inlineStr">
        <is>
          <t>1358127963</t>
        </is>
      </c>
      <c r="H637" t="inlineStr">
        <is>
          <t>1345110029395</t>
        </is>
      </c>
      <c r="I637" t="inlineStr">
        <is>
          <t>대상아님</t>
        </is>
      </c>
      <c r="J637" t="inlineStr">
        <is>
          <t>일반법인</t>
        </is>
      </c>
      <c r="K637" t="inlineStr">
        <is>
          <t>중견기업</t>
        </is>
      </c>
      <c r="L637" t="inlineStr">
        <is>
          <t>외부감사대상</t>
        </is>
      </c>
      <c r="M637" s="6" t="inlineStr">
        <is>
          <t>1998-08-20</t>
        </is>
      </c>
      <c r="N637" t="inlineStr">
        <is>
          <t>KRI:10C2913300</t>
        </is>
      </c>
      <c r="O637" t="inlineStr">
        <is>
          <t>탭, 밸브 및 유사장치 제조업</t>
        </is>
      </c>
      <c r="P637" t="inlineStr">
        <is>
          <t>유공압밸브,필터,펌프,여과청정기 제조</t>
        </is>
      </c>
      <c r="Q637" t="inlineStr">
        <is>
          <t>경기 화성시 만세구 장안면 금의리 759-10번지</t>
        </is>
      </c>
      <c r="R637" t="inlineStr">
        <is>
          <t>경기 화성시 만세구 장안면 장안공단1길 23</t>
        </is>
      </c>
    </row>
    <row r="638" ht="19.2" customHeight="1" s="1">
      <c r="A638" t="inlineStr">
        <is>
          <t>NICE:951099</t>
        </is>
      </c>
      <c r="B638" t="inlineStr">
        <is>
          <t>군인공제회</t>
        </is>
      </c>
      <c r="C638" t="inlineStr">
        <is>
          <t>정재관</t>
        </is>
      </c>
      <c r="D638" t="inlineStr">
        <is>
          <t>02-2190-2311</t>
        </is>
      </c>
      <c r="E638" t="inlineStr">
        <is>
          <t>02-2190-2316</t>
        </is>
      </c>
      <c r="F638" s="3">
        <f>HYPERLINK("http://www.mmaa.or.kr", "http://www.mmaa.or.kr")</f>
        <v/>
      </c>
      <c r="G638" t="inlineStr">
        <is>
          <t>1068230448</t>
        </is>
      </c>
      <c r="H638" t="inlineStr">
        <is>
          <t>1142710001876</t>
        </is>
      </c>
      <c r="I638" t="inlineStr">
        <is>
          <t>대상아님</t>
        </is>
      </c>
      <c r="J638" t="inlineStr">
        <is>
          <t>비영리법인</t>
        </is>
      </c>
      <c r="K638" t="inlineStr">
        <is>
          <t>대상아님</t>
        </is>
      </c>
      <c r="L638" t="inlineStr">
        <is>
          <t>외부감사비대상</t>
        </is>
      </c>
      <c r="M638" s="6" t="inlineStr">
        <is>
          <t>1983-12-31</t>
        </is>
      </c>
      <c r="N638" t="inlineStr">
        <is>
          <t>KRI:10K6530100</t>
        </is>
      </c>
      <c r="O638" t="inlineStr">
        <is>
          <t>개인 공제업</t>
        </is>
      </c>
      <c r="P638" t="inlineStr">
        <is>
          <t>공제기금운영/아파트공사/시설관리용역,골프장수탁관리/정보통신기기,용품 판매/냉장,창고,주차장 운영</t>
        </is>
      </c>
      <c r="Q638" t="inlineStr">
        <is>
          <t>서울 강남구 도곡동 467-12번지</t>
        </is>
      </c>
      <c r="R638" t="inlineStr">
        <is>
          <t>서울 강남구 남부순환로 2806</t>
        </is>
      </c>
    </row>
    <row r="639" ht="19.2" customHeight="1" s="1">
      <c r="A639" t="inlineStr">
        <is>
          <t>NICE:953351</t>
        </is>
      </c>
      <c r="B639" t="inlineStr">
        <is>
          <t>성담</t>
        </is>
      </c>
      <c r="C639" t="inlineStr">
        <is>
          <t>최정식</t>
        </is>
      </c>
      <c r="D639" t="inlineStr">
        <is>
          <t>02-560-8142-3</t>
        </is>
      </c>
      <c r="E639" t="inlineStr">
        <is>
          <t>02-3288-1101</t>
        </is>
      </c>
      <c r="F639" s="3">
        <f>HYPERLINK("http://www.sungdam.co.kr", "http://www.sungdam.co.kr")</f>
        <v/>
      </c>
      <c r="G639" t="inlineStr">
        <is>
          <t>1208130660</t>
        </is>
      </c>
      <c r="H639" t="inlineStr">
        <is>
          <t>1101110028054</t>
        </is>
      </c>
      <c r="I639" t="inlineStr">
        <is>
          <t>대상아님</t>
        </is>
      </c>
      <c r="J639" t="inlineStr">
        <is>
          <t>일반법인</t>
        </is>
      </c>
      <c r="K639" t="inlineStr">
        <is>
          <t>중견기업</t>
        </is>
      </c>
      <c r="L639" t="inlineStr">
        <is>
          <t>외부감사대상</t>
        </is>
      </c>
      <c r="M639" s="6" t="inlineStr">
        <is>
          <t>1953-12-30</t>
        </is>
      </c>
      <c r="N639" t="inlineStr">
        <is>
          <t>KRI:10L6811200</t>
        </is>
      </c>
      <c r="O639" t="inlineStr">
        <is>
          <t>비주거용 건물 임대업</t>
        </is>
      </c>
      <c r="P639" t="inlineStr">
        <is>
          <t>부동산(사무실) 임대/골프장 운영</t>
        </is>
      </c>
      <c r="Q639" t="inlineStr">
        <is>
          <t>서울 강남구 삼성동 142-35번지</t>
        </is>
      </c>
      <c r="R639" t="inlineStr">
        <is>
          <t>서울 강남구 테헤란로 411</t>
        </is>
      </c>
    </row>
    <row r="640" ht="19.2" customHeight="1" s="1">
      <c r="A640" t="inlineStr">
        <is>
          <t>NICE:954411</t>
        </is>
      </c>
      <c r="B640" t="inlineStr">
        <is>
          <t>디에이치피이엔지</t>
        </is>
      </c>
      <c r="C640" t="inlineStr">
        <is>
          <t>송영호</t>
        </is>
      </c>
      <c r="D640" t="inlineStr">
        <is>
          <t>055-340-8807</t>
        </is>
      </c>
      <c r="E640" t="inlineStr">
        <is>
          <t>055-340-8804</t>
        </is>
      </c>
      <c r="F640" s="3">
        <f>HYPERLINK("http://www.dhpeng.com", "http://www.dhpeng.com")</f>
        <v/>
      </c>
      <c r="G640" t="inlineStr">
        <is>
          <t>6068148024</t>
        </is>
      </c>
      <c r="H640" t="inlineStr">
        <is>
          <t>1801110140383</t>
        </is>
      </c>
      <c r="I640" t="inlineStr">
        <is>
          <t>대상아님</t>
        </is>
      </c>
      <c r="J640" t="inlineStr">
        <is>
          <t>일반법인</t>
        </is>
      </c>
      <c r="K640" t="inlineStr">
        <is>
          <t>중소기업</t>
        </is>
      </c>
      <c r="L640" t="inlineStr">
        <is>
          <t>외부감사대상</t>
        </is>
      </c>
      <c r="M640" s="6" t="inlineStr">
        <is>
          <t>1978-12-01</t>
        </is>
      </c>
      <c r="N640" t="inlineStr">
        <is>
          <t>KRI:10C2917600</t>
        </is>
      </c>
      <c r="O640" t="inlineStr">
        <is>
          <t>증류기, 열교환기 및 가스발생기 제조업</t>
        </is>
      </c>
      <c r="P640" t="inlineStr">
        <is>
          <t>열교환기,산업기계,고무제품 제조</t>
        </is>
      </c>
      <c r="Q640" t="inlineStr">
        <is>
          <t>경남 김해시 한림면 병동리 136-1번지</t>
        </is>
      </c>
      <c r="R640" t="inlineStr">
        <is>
          <t>경남 김해시 한림면 김해대로1022번길 105</t>
        </is>
      </c>
    </row>
    <row r="641" ht="19.2" customHeight="1" s="1">
      <c r="A641" t="inlineStr">
        <is>
          <t>NICE:964115</t>
        </is>
      </c>
      <c r="B641" t="inlineStr">
        <is>
          <t>웰텍</t>
        </is>
      </c>
      <c r="C641" t="inlineStr">
        <is>
          <t>이성식</t>
        </is>
      </c>
      <c r="D641" t="inlineStr">
        <is>
          <t>033-342-6224</t>
        </is>
      </c>
      <c r="E641" t="inlineStr">
        <is>
          <t>033-342-6226</t>
        </is>
      </c>
      <c r="F641" s="3">
        <f>HYPERLINK("http://www.weltech3lp.co.kr", "http://www.weltech3lp.co.kr")</f>
        <v/>
      </c>
      <c r="G641" t="inlineStr">
        <is>
          <t>3128125728</t>
        </is>
      </c>
      <c r="H641" t="inlineStr">
        <is>
          <t>1648110010699</t>
        </is>
      </c>
      <c r="I641" t="inlineStr">
        <is>
          <t>대상아님</t>
        </is>
      </c>
      <c r="J641" t="inlineStr">
        <is>
          <t>일반법인</t>
        </is>
      </c>
      <c r="K641" t="inlineStr">
        <is>
          <t>중소기업</t>
        </is>
      </c>
      <c r="L641" t="inlineStr">
        <is>
          <t>외부감사대상</t>
        </is>
      </c>
      <c r="M641" s="6" t="inlineStr">
        <is>
          <t>1997-02-12</t>
        </is>
      </c>
      <c r="N641" t="inlineStr">
        <is>
          <t>KRI:10C2413200</t>
        </is>
      </c>
      <c r="O641" t="inlineStr">
        <is>
          <t>강관 제조업</t>
        </is>
      </c>
      <c r="P641" t="inlineStr">
        <is>
          <t>상수도용 강관(이형관,직관),부직포,펠트,마스크 제조/원자력발전,수력발전</t>
        </is>
      </c>
      <c r="Q641" t="inlineStr">
        <is>
          <t>강원 횡성군 횡성읍 추동리 428-1번지</t>
        </is>
      </c>
      <c r="R641" t="inlineStr">
        <is>
          <t>강원 횡성군 횡성읍 한우로 755</t>
        </is>
      </c>
    </row>
    <row r="642" ht="19.2" customHeight="1" s="1">
      <c r="A642" t="inlineStr">
        <is>
          <t>NICE:976300</t>
        </is>
      </c>
      <c r="B642" t="inlineStr">
        <is>
          <t>프로몰엔지니어링</t>
        </is>
      </c>
      <c r="C642" t="inlineStr">
        <is>
          <t>조태희</t>
        </is>
      </c>
      <c r="D642" t="inlineStr">
        <is>
          <t>051-727-3441</t>
        </is>
      </c>
      <c r="E642" t="inlineStr">
        <is>
          <t>051-727-3447</t>
        </is>
      </c>
      <c r="F642" s="3">
        <f>HYPERLINK("http://www.promole.co.kr", "http://www.promole.co.kr")</f>
        <v/>
      </c>
      <c r="G642" t="inlineStr">
        <is>
          <t>2188119318</t>
        </is>
      </c>
      <c r="H642" t="inlineStr">
        <is>
          <t>1101111306615</t>
        </is>
      </c>
      <c r="I642" t="inlineStr">
        <is>
          <t>대상아님</t>
        </is>
      </c>
      <c r="J642" t="inlineStr">
        <is>
          <t>일반법인</t>
        </is>
      </c>
      <c r="K642" t="inlineStr">
        <is>
          <t>중소기업</t>
        </is>
      </c>
      <c r="L642" t="inlineStr">
        <is>
          <t>외부감사대상</t>
        </is>
      </c>
      <c r="M642" s="6" t="inlineStr">
        <is>
          <t>1996-08-08</t>
        </is>
      </c>
      <c r="N642" t="inlineStr">
        <is>
          <t>KRI:10F4122900</t>
        </is>
      </c>
      <c r="O642" t="inlineStr">
        <is>
          <t>기타 토목시설물 건설업</t>
        </is>
      </c>
      <c r="P642" t="inlineStr">
        <is>
          <t>토목공사,관로공사</t>
        </is>
      </c>
      <c r="Q642" t="inlineStr">
        <is>
          <t>부산 기장군 정관읍 달산리 1051-6번지</t>
        </is>
      </c>
      <c r="R642" t="inlineStr">
        <is>
          <t>부산 기장군 정관읍 산단4로 33</t>
        </is>
      </c>
    </row>
    <row r="643" ht="19.2" customHeight="1" s="1">
      <c r="A643" t="inlineStr">
        <is>
          <t>NICE:976393</t>
        </is>
      </c>
      <c r="B643" t="inlineStr">
        <is>
          <t>전주원파워</t>
        </is>
      </c>
      <c r="C643" t="inlineStr">
        <is>
          <t>심철식</t>
        </is>
      </c>
      <c r="D643" t="inlineStr">
        <is>
          <t>063-210-8243</t>
        </is>
      </c>
      <c r="E643" t="inlineStr">
        <is>
          <t>063-210-8247</t>
        </is>
      </c>
      <c r="F643" s="3">
        <f>HYPERLINK("http://www.jeonjuonepower.com", "http://www.jeonjuonepower.com")</f>
        <v/>
      </c>
      <c r="G643" t="inlineStr">
        <is>
          <t>4188117792</t>
        </is>
      </c>
      <c r="H643" t="inlineStr">
        <is>
          <t>2101110022435</t>
        </is>
      </c>
      <c r="I643" t="inlineStr">
        <is>
          <t>대상아님</t>
        </is>
      </c>
      <c r="J643" t="inlineStr">
        <is>
          <t>일반법인</t>
        </is>
      </c>
      <c r="K643" t="inlineStr">
        <is>
          <t>중견기업</t>
        </is>
      </c>
      <c r="L643" t="inlineStr">
        <is>
          <t>외부감사대상</t>
        </is>
      </c>
      <c r="M643" s="6" t="inlineStr">
        <is>
          <t>1998-12-10</t>
        </is>
      </c>
      <c r="N643" t="inlineStr">
        <is>
          <t>KRI:10D3511900</t>
        </is>
      </c>
      <c r="O643" t="inlineStr">
        <is>
          <t>기타 발전업</t>
        </is>
      </c>
      <c r="P643" t="inlineStr">
        <is>
          <t>발전/신문용지,재생용지,중질지 제조,가공,도매/기념품 소매/박물관 운영</t>
        </is>
      </c>
      <c r="Q643" t="inlineStr">
        <is>
          <t>전북 전주시 덕진구 팔복동2가 180번지</t>
        </is>
      </c>
      <c r="R643" t="inlineStr">
        <is>
          <t>전북 전주시 덕진구 팔복로 59</t>
        </is>
      </c>
    </row>
    <row r="644" ht="19.2" customHeight="1" s="1">
      <c r="A644" t="inlineStr">
        <is>
          <t>NICE:982458</t>
        </is>
      </c>
      <c r="B644" t="inlineStr">
        <is>
          <t>일신건영</t>
        </is>
      </c>
      <c r="C644" t="inlineStr">
        <is>
          <t>조태성</t>
        </is>
      </c>
      <c r="D644" t="inlineStr">
        <is>
          <t>02-480-3132</t>
        </is>
      </c>
      <c r="E644" t="inlineStr">
        <is>
          <t>02-483-1344</t>
        </is>
      </c>
      <c r="F644" s="3">
        <f>HYPERLINK("http://www.ilshinc.com", "http://www.ilshinc.com")</f>
        <v/>
      </c>
      <c r="G644" t="inlineStr">
        <is>
          <t>1278161112</t>
        </is>
      </c>
      <c r="H644" t="inlineStr">
        <is>
          <t>1101110655477</t>
        </is>
      </c>
      <c r="I644" t="inlineStr">
        <is>
          <t>대상아님</t>
        </is>
      </c>
      <c r="J644" t="inlineStr">
        <is>
          <t>일반법인</t>
        </is>
      </c>
      <c r="K644" t="inlineStr">
        <is>
          <t>중견기업</t>
        </is>
      </c>
      <c r="L644" t="inlineStr">
        <is>
          <t>외부감사대상</t>
        </is>
      </c>
      <c r="M644" s="6" t="inlineStr">
        <is>
          <t>1989-10-24</t>
        </is>
      </c>
      <c r="N644" t="inlineStr">
        <is>
          <t>KRI:10F4111200</t>
        </is>
      </c>
      <c r="O644" t="inlineStr">
        <is>
          <t>아파트 건설업</t>
        </is>
      </c>
      <c r="P644" t="inlineStr">
        <is>
          <t>주택공사(아파트),토목건축공사,해외공사</t>
        </is>
      </c>
      <c r="Q644" t="inlineStr">
        <is>
          <t>경기 의정부시 의정부동 440-2번지</t>
        </is>
      </c>
      <c r="R644" t="inlineStr">
        <is>
          <t>경기 의정부시 신흥로 272</t>
        </is>
      </c>
    </row>
    <row r="645" ht="19.2" customHeight="1" s="1">
      <c r="A645" t="inlineStr">
        <is>
          <t>NICE:983586</t>
        </is>
      </c>
      <c r="B645" t="inlineStr">
        <is>
          <t>로지스올</t>
        </is>
      </c>
      <c r="C645" t="inlineStr">
        <is>
          <t>서병륜</t>
        </is>
      </c>
      <c r="D645" t="inlineStr">
        <is>
          <t>02-3669-7030</t>
        </is>
      </c>
      <c r="E645" t="inlineStr">
        <is>
          <t>02-3669-7999</t>
        </is>
      </c>
      <c r="F645" s="3">
        <f>HYPERLINK("http://www.logisall.com", "http://www.logisall.com")</f>
        <v/>
      </c>
      <c r="G645" t="inlineStr">
        <is>
          <t>1058154931</t>
        </is>
      </c>
      <c r="H645" t="inlineStr">
        <is>
          <t>1101110408727</t>
        </is>
      </c>
      <c r="I645" t="inlineStr">
        <is>
          <t>대상아님</t>
        </is>
      </c>
      <c r="J645" t="inlineStr">
        <is>
          <t>일반법인</t>
        </is>
      </c>
      <c r="K645" t="inlineStr">
        <is>
          <t>중견기업</t>
        </is>
      </c>
      <c r="L645" t="inlineStr">
        <is>
          <t>외부감사대상</t>
        </is>
      </c>
      <c r="M645" s="6" t="inlineStr">
        <is>
          <t>1985-10-17</t>
        </is>
      </c>
      <c r="N645" t="inlineStr">
        <is>
          <t>KRI:10K6499200</t>
        </is>
      </c>
      <c r="O645" t="inlineStr">
        <is>
          <t>지주회사</t>
        </is>
      </c>
      <c r="P645" t="inlineStr">
        <is>
          <t>지주회사/무형자산 임대/경영 컨설팅,시장 조사</t>
        </is>
      </c>
      <c r="Q645" t="inlineStr">
        <is>
          <t>서울 마포구 도화동 173번지</t>
        </is>
      </c>
      <c r="R645" t="inlineStr">
        <is>
          <t>서울 마포구 마포대로 63-8</t>
        </is>
      </c>
    </row>
    <row r="646" ht="19.2" customHeight="1" s="1">
      <c r="A646" t="inlineStr">
        <is>
          <t>NICE:987018</t>
        </is>
      </c>
      <c r="B646" t="inlineStr">
        <is>
          <t>서두산업</t>
        </is>
      </c>
      <c r="C646" t="inlineStr">
        <is>
          <t>임의규/민정숙</t>
        </is>
      </c>
      <c r="D646" t="inlineStr">
        <is>
          <t>02-582-3109</t>
        </is>
      </c>
      <c r="E646" t="inlineStr">
        <is>
          <t>02-587-7735</t>
        </is>
      </c>
      <c r="F646" s="3">
        <f>HYPERLINK("http://www.seowootogum.co.kr", "http://www.seowootogum.co.kr")</f>
        <v/>
      </c>
      <c r="G646" t="inlineStr">
        <is>
          <t>2148102168</t>
        </is>
      </c>
      <c r="H646" t="inlineStr">
        <is>
          <t>1101110329014</t>
        </is>
      </c>
      <c r="I646" t="inlineStr">
        <is>
          <t>대상아님</t>
        </is>
      </c>
      <c r="J646" t="inlineStr">
        <is>
          <t>일반법인</t>
        </is>
      </c>
      <c r="K646" t="inlineStr">
        <is>
          <t>중소기업</t>
        </is>
      </c>
      <c r="L646" t="inlineStr">
        <is>
          <t>외부감사대상</t>
        </is>
      </c>
      <c r="M646" s="6" t="inlineStr">
        <is>
          <t>1982-09-23</t>
        </is>
      </c>
      <c r="N646" t="inlineStr">
        <is>
          <t>KRI:10B0712100</t>
        </is>
      </c>
      <c r="O646" t="inlineStr">
        <is>
          <t>건설용 석재 채굴 및 쇄석 생산업</t>
        </is>
      </c>
      <c r="P646" t="inlineStr">
        <is>
          <t>골재,자갈,석분,철근콘크리트 제조,판매/부동산 임대</t>
        </is>
      </c>
      <c r="Q646" t="inlineStr">
        <is>
          <t>서울 서초구 서초동 1460-5번지</t>
        </is>
      </c>
      <c r="R646" t="inlineStr">
        <is>
          <t>서울 서초구 반포대로 37</t>
        </is>
      </c>
    </row>
    <row r="647" ht="19.2" customHeight="1" s="1">
      <c r="A647" t="inlineStr">
        <is>
          <t>NICE:990086</t>
        </is>
      </c>
      <c r="B647" t="inlineStr">
        <is>
          <t>미래개발</t>
        </is>
      </c>
      <c r="C647" t="inlineStr">
        <is>
          <t>임태주</t>
        </is>
      </c>
      <c r="D647" t="inlineStr">
        <is>
          <t>031-338-2001</t>
        </is>
      </c>
      <c r="E647" t="inlineStr">
        <is>
          <t>031-329-7897</t>
        </is>
      </c>
      <c r="F647" s="3">
        <f>HYPERLINK("http://www.pineresort.com", "http://www.pineresort.com")</f>
        <v/>
      </c>
      <c r="G647" t="inlineStr">
        <is>
          <t>2118149484</t>
        </is>
      </c>
      <c r="H647" t="inlineStr">
        <is>
          <t>1101110107105</t>
        </is>
      </c>
      <c r="I647" t="inlineStr">
        <is>
          <t>대상아님</t>
        </is>
      </c>
      <c r="J647" t="inlineStr">
        <is>
          <t>일반법인</t>
        </is>
      </c>
      <c r="K647" t="inlineStr">
        <is>
          <t>중견기업</t>
        </is>
      </c>
      <c r="L647" t="inlineStr">
        <is>
          <t>외부감사대상</t>
        </is>
      </c>
      <c r="M647" s="6" t="inlineStr">
        <is>
          <t>1971-03-13</t>
        </is>
      </c>
      <c r="N647" t="inlineStr">
        <is>
          <t>KRI:10R9112100</t>
        </is>
      </c>
      <c r="O647" t="inlineStr">
        <is>
          <t>골프장 운영업</t>
        </is>
      </c>
      <c r="P647" t="inlineStr">
        <is>
          <t>골프장,스키장,콘도,수영장/주류 도소매,편의점/청소년수련시설/대중음식,외식사업,예식장</t>
        </is>
      </c>
      <c r="Q647" t="inlineStr">
        <is>
          <t>경기 용인시 처인구 양지읍 남곡리 34-1번지 양지파인리조트</t>
        </is>
      </c>
      <c r="R647" t="inlineStr">
        <is>
          <t>경기 용인시 처인구 양지읍 남평로 112, 양지파인리조트</t>
        </is>
      </c>
    </row>
    <row r="648" ht="19.2" customHeight="1" s="1">
      <c r="A648" t="inlineStr">
        <is>
          <t>NICE:990159</t>
        </is>
      </c>
      <c r="B648" t="inlineStr">
        <is>
          <t>두산베어스</t>
        </is>
      </c>
      <c r="C648" t="inlineStr">
        <is>
          <t>고영섭</t>
        </is>
      </c>
      <c r="D648" t="inlineStr">
        <is>
          <t>02-2240-1717</t>
        </is>
      </c>
      <c r="E648" t="inlineStr">
        <is>
          <t>02-2240-1788</t>
        </is>
      </c>
      <c r="F648" s="3">
        <f>HYPERLINK("http://www.doosanbears.com", "http://www.doosanbears.com")</f>
        <v/>
      </c>
      <c r="G648" t="inlineStr">
        <is>
          <t>1078113241</t>
        </is>
      </c>
      <c r="H648" t="inlineStr">
        <is>
          <t>1101110346919</t>
        </is>
      </c>
      <c r="I648" t="inlineStr">
        <is>
          <t>대상아님</t>
        </is>
      </c>
      <c r="J648" t="inlineStr">
        <is>
          <t>일반법인</t>
        </is>
      </c>
      <c r="K648" t="inlineStr">
        <is>
          <t>대기업</t>
        </is>
      </c>
      <c r="L648" t="inlineStr">
        <is>
          <t>외부감사대상</t>
        </is>
      </c>
      <c r="M648" s="6" t="inlineStr">
        <is>
          <t>1983-03-24</t>
        </is>
      </c>
      <c r="N648" t="inlineStr">
        <is>
          <t>KRI:10R9119100</t>
        </is>
      </c>
      <c r="O648" t="inlineStr">
        <is>
          <t>스포츠 클럽 운영업</t>
        </is>
      </c>
      <c r="P648" t="inlineStr">
        <is>
          <t>프로야구단 운영/광고/운동기구,일용잡화 도소매/보험 대리,중개/부동산 임대</t>
        </is>
      </c>
      <c r="Q648" t="inlineStr">
        <is>
          <t>서울 송파구 잠실동 10번지</t>
        </is>
      </c>
      <c r="R648" t="inlineStr">
        <is>
          <t>서울 송파구 올림픽로 25</t>
        </is>
      </c>
    </row>
    <row r="649" ht="19.2" customHeight="1" s="1">
      <c r="A649" t="inlineStr">
        <is>
          <t>NICE:990167</t>
        </is>
      </c>
      <c r="B649" t="inlineStr">
        <is>
          <t>경원건설</t>
        </is>
      </c>
      <c r="C649" t="inlineStr">
        <is>
          <t>정철승/허광수</t>
        </is>
      </c>
      <c r="D649" t="inlineStr">
        <is>
          <t>031-779-5231</t>
        </is>
      </c>
      <c r="E649" t="inlineStr">
        <is>
          <t>031-709-6018</t>
        </is>
      </c>
      <c r="F649" s="3">
        <f>HYPERLINK("http://www.nscc.co.kr", "http://www.nscc.co.kr")</f>
        <v/>
      </c>
      <c r="G649" t="inlineStr">
        <is>
          <t>1298100028</t>
        </is>
      </c>
      <c r="H649" t="inlineStr">
        <is>
          <t>1311110000164</t>
        </is>
      </c>
      <c r="I649" t="inlineStr">
        <is>
          <t>대상아님</t>
        </is>
      </c>
      <c r="J649" t="inlineStr">
        <is>
          <t>일반법인</t>
        </is>
      </c>
      <c r="K649" t="inlineStr">
        <is>
          <t>대기업</t>
        </is>
      </c>
      <c r="L649" t="inlineStr">
        <is>
          <t>외부감사대상</t>
        </is>
      </c>
      <c r="M649" s="6" t="inlineStr">
        <is>
          <t>1954-12-20</t>
        </is>
      </c>
      <c r="N649" t="inlineStr">
        <is>
          <t>KRI:10R9112100</t>
        </is>
      </c>
      <c r="O649" t="inlineStr">
        <is>
          <t>골프장 운영업</t>
        </is>
      </c>
      <c r="P649" t="inlineStr">
        <is>
          <t>골프장 운영</t>
        </is>
      </c>
      <c r="Q649" t="inlineStr">
        <is>
          <t>경기 성남시 분당구 백현동 511-25번지</t>
        </is>
      </c>
      <c r="R649" t="inlineStr">
        <is>
          <t>경기 성남시 분당구 판교백현로 161</t>
        </is>
      </c>
    </row>
    <row r="650">
      <c r="A650" t="inlineStr">
        <is>
          <t>NICE:990183</t>
        </is>
      </c>
      <c r="B650" t="inlineStr">
        <is>
          <t>가야개발</t>
        </is>
      </c>
      <c r="C650" t="inlineStr">
        <is>
          <t>김영섭/이명근</t>
        </is>
      </c>
      <c r="D650" t="inlineStr">
        <is>
          <t>055-337-0095</t>
        </is>
      </c>
      <c r="E650" t="inlineStr">
        <is>
          <t>055-337-0318</t>
        </is>
      </c>
      <c r="G650" t="inlineStr">
        <is>
          <t>6228100022</t>
        </is>
      </c>
      <c r="H650" t="inlineStr">
        <is>
          <t>1846110000913</t>
        </is>
      </c>
      <c r="I650" t="inlineStr">
        <is>
          <t>대상아님</t>
        </is>
      </c>
      <c r="J650" t="inlineStr">
        <is>
          <t>일반법인</t>
        </is>
      </c>
      <c r="K650" t="inlineStr">
        <is>
          <t>중소기업</t>
        </is>
      </c>
      <c r="L650" t="inlineStr">
        <is>
          <t>외부감사대상</t>
        </is>
      </c>
      <c r="M650" s="6" t="inlineStr">
        <is>
          <t>1984-02-18</t>
        </is>
      </c>
      <c r="N650" t="inlineStr">
        <is>
          <t>KRI:10R9112100</t>
        </is>
      </c>
      <c r="O650" t="inlineStr">
        <is>
          <t>골프장 운영업</t>
        </is>
      </c>
      <c r="P650" t="inlineStr">
        <is>
          <t>골프장,유원지,오락,문화시설 운영/한식음식점/부동산 임대</t>
        </is>
      </c>
      <c r="Q650" t="inlineStr">
        <is>
          <t>경남 김해시 삼방동 산1번지</t>
        </is>
      </c>
      <c r="R650" t="inlineStr">
        <is>
          <t>경남 김해시 인제로 502</t>
        </is>
      </c>
    </row>
    <row r="651" ht="19.2" customHeight="1" s="1">
      <c r="A651" t="inlineStr">
        <is>
          <t>NICE:990213</t>
        </is>
      </c>
      <c r="B651" t="inlineStr">
        <is>
          <t>한양컨트리클럽</t>
        </is>
      </c>
      <c r="C651" t="inlineStr">
        <is>
          <t>박용식</t>
        </is>
      </c>
      <c r="D651" t="inlineStr">
        <is>
          <t>031-960-6900</t>
        </is>
      </c>
      <c r="E651" t="inlineStr">
        <is>
          <t>031-964-6900</t>
        </is>
      </c>
      <c r="F651" s="3">
        <f>HYPERLINK("http://www.hanyangcc.com", "http://www.hanyangcc.com")</f>
        <v/>
      </c>
      <c r="G651" t="inlineStr">
        <is>
          <t>1288100438</t>
        </is>
      </c>
      <c r="H651" t="inlineStr">
        <is>
          <t>1147110000387</t>
        </is>
      </c>
      <c r="I651" t="inlineStr">
        <is>
          <t>대상아님</t>
        </is>
      </c>
      <c r="J651" t="inlineStr">
        <is>
          <t>일반법인</t>
        </is>
      </c>
      <c r="K651" t="inlineStr">
        <is>
          <t>중소기업</t>
        </is>
      </c>
      <c r="L651" t="inlineStr">
        <is>
          <t>외부감사대상</t>
        </is>
      </c>
      <c r="M651" s="6" t="inlineStr">
        <is>
          <t>1963-12-02</t>
        </is>
      </c>
      <c r="N651" t="inlineStr">
        <is>
          <t>KRI:10R9112100</t>
        </is>
      </c>
      <c r="O651" t="inlineStr">
        <is>
          <t>골프장 운영업</t>
        </is>
      </c>
      <c r="P651" t="inlineStr">
        <is>
          <t>골프장,유원지 운영/부동산 관리</t>
        </is>
      </c>
      <c r="Q651" t="inlineStr">
        <is>
          <t>경기 고양시 덕양구 원당동 198-114번지</t>
        </is>
      </c>
      <c r="R651" t="inlineStr">
        <is>
          <t>경기 고양시 덕양구 고양대로1643번길 164</t>
        </is>
      </c>
    </row>
    <row r="652">
      <c r="A652" t="inlineStr">
        <is>
          <t>NICE:995051</t>
        </is>
      </c>
      <c r="B652" t="inlineStr">
        <is>
          <t>용우</t>
        </is>
      </c>
      <c r="C652" t="inlineStr">
        <is>
          <t>장종태</t>
        </is>
      </c>
      <c r="D652" t="inlineStr">
        <is>
          <t>055-912-3700</t>
        </is>
      </c>
      <c r="E652" t="inlineStr">
        <is>
          <t>055-912-3701</t>
        </is>
      </c>
      <c r="G652" t="inlineStr">
        <is>
          <t>6158160231</t>
        </is>
      </c>
      <c r="H652" t="inlineStr">
        <is>
          <t>1955110104417</t>
        </is>
      </c>
      <c r="I652" t="inlineStr">
        <is>
          <t>대상아님</t>
        </is>
      </c>
      <c r="J652" t="inlineStr">
        <is>
          <t>일반법인</t>
        </is>
      </c>
      <c r="K652" t="inlineStr">
        <is>
          <t>중소기업</t>
        </is>
      </c>
      <c r="L652" t="inlineStr">
        <is>
          <t>외부감사대상</t>
        </is>
      </c>
      <c r="M652" s="6" t="inlineStr">
        <is>
          <t>1998-06-01</t>
        </is>
      </c>
      <c r="N652" t="inlineStr">
        <is>
          <t>KRI:10C2811200</t>
        </is>
      </c>
      <c r="O652" t="inlineStr">
        <is>
          <t>변압기 제조업</t>
        </is>
      </c>
      <c r="P652" t="inlineStr">
        <is>
          <t>변압기,변압기절연물,선박구성부분품 제조/보관,창고</t>
        </is>
      </c>
      <c r="Q652" t="inlineStr">
        <is>
          <t>경남 양산시 매곡동 1119번지</t>
        </is>
      </c>
      <c r="R652" t="inlineStr">
        <is>
          <t>경남 양산시 그린공단3길 30</t>
        </is>
      </c>
    </row>
    <row r="653" ht="19.2" customHeight="1" s="1">
      <c r="A653" t="inlineStr">
        <is>
          <t>NICE:999165</t>
        </is>
      </c>
      <c r="B653" t="inlineStr">
        <is>
          <t>대경벤드</t>
        </is>
      </c>
      <c r="C653" t="inlineStr">
        <is>
          <t>김학철</t>
        </is>
      </c>
      <c r="D653" t="inlineStr">
        <is>
          <t>055-364-1800</t>
        </is>
      </c>
      <c r="E653" t="inlineStr">
        <is>
          <t>055-365-5570</t>
        </is>
      </c>
      <c r="F653" s="3">
        <f>HYPERLINK("http://www.daekyung21.com", "http://www.daekyung21.com")</f>
        <v/>
      </c>
      <c r="G653" t="inlineStr">
        <is>
          <t>6068175098</t>
        </is>
      </c>
      <c r="H653" t="inlineStr">
        <is>
          <t>1801110410611</t>
        </is>
      </c>
      <c r="I653" t="inlineStr">
        <is>
          <t>대상아님</t>
        </is>
      </c>
      <c r="J653" t="inlineStr">
        <is>
          <t>일반법인</t>
        </is>
      </c>
      <c r="K653" t="inlineStr">
        <is>
          <t>중소기업</t>
        </is>
      </c>
      <c r="L653" t="inlineStr">
        <is>
          <t>외부감사대상</t>
        </is>
      </c>
      <c r="M653" s="6" t="inlineStr">
        <is>
          <t>1990-01-01</t>
        </is>
      </c>
      <c r="N653" t="inlineStr">
        <is>
          <t>KRI:10C2413200</t>
        </is>
      </c>
      <c r="O653" t="inlineStr">
        <is>
          <t>강관 제조업</t>
        </is>
      </c>
      <c r="P653" t="inlineStr">
        <is>
          <t>배관자재(강관) 제조,도매</t>
        </is>
      </c>
      <c r="Q653" t="inlineStr">
        <is>
          <t>경남 양산시 유산동 334-14번지</t>
        </is>
      </c>
      <c r="R653" t="inlineStr">
        <is>
          <t>경남 양산시 어실로 115</t>
        </is>
      </c>
    </row>
    <row r="654" ht="19.2" customHeight="1" s="1">
      <c r="A654" t="inlineStr">
        <is>
          <t>NICE:999394</t>
        </is>
      </c>
      <c r="B654" t="inlineStr">
        <is>
          <t>이파피루스</t>
        </is>
      </c>
      <c r="C654" t="inlineStr">
        <is>
          <t>김정희</t>
        </is>
      </c>
      <c r="D654" t="inlineStr">
        <is>
          <t>02-2051-5207</t>
        </is>
      </c>
      <c r="E654" t="inlineStr">
        <is>
          <t>02-2051-5209</t>
        </is>
      </c>
      <c r="F654" s="3">
        <f>HYPERLINK("http://www.epapyrus.com", "http://www.epapyrus.com")</f>
        <v/>
      </c>
      <c r="G654" t="inlineStr">
        <is>
          <t>2068191016</t>
        </is>
      </c>
      <c r="H654" t="inlineStr">
        <is>
          <t>1101113017385</t>
        </is>
      </c>
      <c r="I654" t="inlineStr">
        <is>
          <t>대상아님</t>
        </is>
      </c>
      <c r="J654" t="inlineStr">
        <is>
          <t>일반법인</t>
        </is>
      </c>
      <c r="K654" t="inlineStr">
        <is>
          <t>중소기업</t>
        </is>
      </c>
      <c r="L654" t="inlineStr">
        <is>
          <t>외부감사대상</t>
        </is>
      </c>
      <c r="M654" s="6" t="inlineStr">
        <is>
          <t>2004-05-22</t>
        </is>
      </c>
      <c r="N654" t="inlineStr">
        <is>
          <t>KRI:10J5822200</t>
        </is>
      </c>
      <c r="O654" t="inlineStr">
        <is>
          <t>응용 소프트웨어 개발 및 공급업</t>
        </is>
      </c>
      <c r="P654" t="inlineStr">
        <is>
          <t>소프트웨어 자문,개발,공급/측정,시험,항해,제어기기,정밀기기 제조/부동산 임대</t>
        </is>
      </c>
      <c r="Q654" t="inlineStr">
        <is>
          <t>경기 성남시 분당구 삼평동 679번지 삼환하이펙스 비동4층 408,409,410호</t>
        </is>
      </c>
      <c r="R654" t="inlineStr">
        <is>
          <t>경기 성남시 분당구 판교역로 230, 비동4층 408,409,410호 (삼평동,삼환하이펙스)</t>
        </is>
      </c>
    </row>
    <row r="655" ht="19.2" customHeight="1" s="1">
      <c r="A655" t="inlineStr">
        <is>
          <t>NICE:999851</t>
        </is>
      </c>
      <c r="B655" t="inlineStr">
        <is>
          <t>나래식품</t>
        </is>
      </c>
      <c r="C655" t="inlineStr">
        <is>
          <t>박미경</t>
        </is>
      </c>
      <c r="D655" t="inlineStr">
        <is>
          <t>063-642-8907</t>
        </is>
      </c>
      <c r="E655" t="inlineStr">
        <is>
          <t>063-642-8909</t>
        </is>
      </c>
      <c r="F655" s="3">
        <f>HYPERLINK("http://www.naraefood.net", "http://www.naraefood.net")</f>
        <v/>
      </c>
      <c r="G655" t="inlineStr">
        <is>
          <t>4078110111</t>
        </is>
      </c>
      <c r="H655" t="inlineStr">
        <is>
          <t>2144110001562</t>
        </is>
      </c>
      <c r="I655" t="inlineStr">
        <is>
          <t>대상아님</t>
        </is>
      </c>
      <c r="J655" t="inlineStr">
        <is>
          <t>일반법인</t>
        </is>
      </c>
      <c r="K655" t="inlineStr">
        <is>
          <t>중소기업</t>
        </is>
      </c>
      <c r="L655" t="inlineStr">
        <is>
          <t>외부감사대상</t>
        </is>
      </c>
      <c r="M655" s="6" t="inlineStr">
        <is>
          <t>2000-11-01</t>
        </is>
      </c>
      <c r="N655" t="inlineStr">
        <is>
          <t>KRI:10C1075900</t>
        </is>
      </c>
      <c r="O655" t="inlineStr">
        <is>
          <t>기타 식사용 가공처리 조리식품 제조업</t>
        </is>
      </c>
      <c r="P655" t="inlineStr">
        <is>
          <t>만두 제조,판매</t>
        </is>
      </c>
      <c r="Q655" t="inlineStr">
        <is>
          <t>전북 임실군 관촌면 병암리 125번지</t>
        </is>
      </c>
      <c r="R655" t="inlineStr">
        <is>
          <t>전북 임실군 관촌면 춘향로 3270</t>
        </is>
      </c>
    </row>
    <row r="656">
      <c r="A656" t="inlineStr">
        <is>
          <t>NICE:999907</t>
        </is>
      </c>
      <c r="B656" t="inlineStr">
        <is>
          <t>지에프테크</t>
        </is>
      </c>
      <c r="C656" t="inlineStr">
        <is>
          <t>김호경</t>
        </is>
      </c>
      <c r="D656" t="inlineStr">
        <is>
          <t>031-943-2889</t>
        </is>
      </c>
      <c r="G656" t="inlineStr">
        <is>
          <t>1288189831</t>
        </is>
      </c>
      <c r="H656" t="inlineStr">
        <is>
          <t>1116110073610</t>
        </is>
      </c>
      <c r="I656" t="inlineStr">
        <is>
          <t>대상아님</t>
        </is>
      </c>
      <c r="J656" t="inlineStr">
        <is>
          <t>일반법인</t>
        </is>
      </c>
      <c r="K656" t="inlineStr">
        <is>
          <t>중소기업</t>
        </is>
      </c>
      <c r="L656" t="inlineStr">
        <is>
          <t>외부감사대상</t>
        </is>
      </c>
      <c r="M656" s="6" t="inlineStr">
        <is>
          <t>2003-12-31</t>
        </is>
      </c>
      <c r="N656" t="inlineStr">
        <is>
          <t>KRI:10C2223200</t>
        </is>
      </c>
      <c r="O656" t="inlineStr">
        <is>
          <t>포장용 플라스틱 성형용기 제조업</t>
        </is>
      </c>
      <c r="P656" t="inlineStr">
        <is>
          <t>화장품용기,플라스틱제품 제조,도소매</t>
        </is>
      </c>
      <c r="Q656" t="inlineStr">
        <is>
          <t>경기 파주시 오도동 114-25번지</t>
        </is>
      </c>
      <c r="R656" t="inlineStr">
        <is>
          <t>경기 파주시 오도로 27</t>
        </is>
      </c>
    </row>
    <row r="657" ht="19.2" customHeight="1" s="1">
      <c r="A657" t="inlineStr">
        <is>
          <t>NICE:B93921</t>
        </is>
      </c>
      <c r="B657" t="inlineStr">
        <is>
          <t>대한축구협회</t>
        </is>
      </c>
      <c r="C657" t="inlineStr">
        <is>
          <t>정몽규</t>
        </is>
      </c>
      <c r="D657" t="inlineStr">
        <is>
          <t>02-2002-0707</t>
        </is>
      </c>
      <c r="E657" t="inlineStr">
        <is>
          <t>02-2002-0611</t>
        </is>
      </c>
      <c r="F657" s="3">
        <f>HYPERLINK("http://www.kfa.or.kr", "http://www.kfa.or.kr")</f>
        <v/>
      </c>
      <c r="G657" t="inlineStr">
        <is>
          <t>1028200068</t>
        </is>
      </c>
      <c r="H657" t="inlineStr">
        <is>
          <t>1101210040932</t>
        </is>
      </c>
      <c r="I657" t="inlineStr">
        <is>
          <t>대상아님</t>
        </is>
      </c>
      <c r="J657" t="inlineStr">
        <is>
          <t>비영리법인</t>
        </is>
      </c>
      <c r="K657" t="inlineStr">
        <is>
          <t>대상아님</t>
        </is>
      </c>
      <c r="L657" t="inlineStr">
        <is>
          <t>외부감사비대상</t>
        </is>
      </c>
      <c r="M657" s="6" t="inlineStr">
        <is>
          <t>2005-11-02</t>
        </is>
      </c>
      <c r="N657" t="inlineStr">
        <is>
          <t>KRI:10S9499000</t>
        </is>
      </c>
      <c r="O657" t="inlineStr">
        <is>
          <t>그 외 기타 협회 및 단체</t>
        </is>
      </c>
      <c r="P657" t="inlineStr">
        <is>
          <t>협회/경기 단체,후원/통신 판매/부동산 임대</t>
        </is>
      </c>
      <c r="Q657" t="inlineStr">
        <is>
          <t>충남 천안시 서북구 입장면 가산리 690번지 코리아풋볼파크</t>
        </is>
      </c>
      <c r="R657" t="inlineStr">
        <is>
          <t>충남 천안시 서북구 입장면 코리아풋볼파크1로 55 (가산리,코리아풋볼파크)</t>
        </is>
      </c>
    </row>
    <row r="658">
      <c r="A658" t="inlineStr">
        <is>
          <t>NICE:B96162</t>
        </is>
      </c>
      <c r="B658" t="inlineStr">
        <is>
          <t>한국공학대학교산학협력단</t>
        </is>
      </c>
      <c r="C658" t="inlineStr">
        <is>
          <t>김응태</t>
        </is>
      </c>
      <c r="D658" t="inlineStr">
        <is>
          <t>031-8041-0864</t>
        </is>
      </c>
      <c r="G658" t="inlineStr">
        <is>
          <t>1408200056</t>
        </is>
      </c>
      <c r="H658" t="inlineStr">
        <is>
          <t>1355310011282</t>
        </is>
      </c>
      <c r="I658" t="inlineStr">
        <is>
          <t>대상아님</t>
        </is>
      </c>
      <c r="J658" t="inlineStr">
        <is>
          <t>비영리법인</t>
        </is>
      </c>
      <c r="K658" t="inlineStr">
        <is>
          <t>대상아님</t>
        </is>
      </c>
      <c r="L658" t="inlineStr">
        <is>
          <t>외부감사비대상</t>
        </is>
      </c>
      <c r="M658" s="6" t="inlineStr">
        <is>
          <t>2005-03-04</t>
        </is>
      </c>
      <c r="N658" t="inlineStr">
        <is>
          <t>KRI:10M7160000</t>
        </is>
      </c>
      <c r="O658" t="inlineStr">
        <is>
          <t>기타 전문 서비스업</t>
        </is>
      </c>
      <c r="P658" t="inlineStr">
        <is>
          <t>산학협력단</t>
        </is>
      </c>
      <c r="Q658" t="inlineStr">
        <is>
          <t>경기 시흥시 정왕동 2121-1번지 한국산업기술대학교</t>
        </is>
      </c>
      <c r="R658" t="inlineStr">
        <is>
          <t>경기 시흥시 산기대학로 237 (정왕동,한국산업기술대학교)</t>
        </is>
      </c>
    </row>
    <row r="659">
      <c r="A659" t="inlineStr">
        <is>
          <t>NICE:B98281</t>
        </is>
      </c>
      <c r="B659" t="inlineStr">
        <is>
          <t>씨너지아이앤티</t>
        </is>
      </c>
      <c r="C659" t="inlineStr">
        <is>
          <t>이동준</t>
        </is>
      </c>
      <c r="D659" t="inlineStr">
        <is>
          <t>02-3287-3051</t>
        </is>
      </c>
      <c r="E659" t="inlineStr">
        <is>
          <t>02-3287-3052</t>
        </is>
      </c>
      <c r="G659" t="inlineStr">
        <is>
          <t>2068194051</t>
        </is>
      </c>
      <c r="H659" t="inlineStr">
        <is>
          <t>1101113077496</t>
        </is>
      </c>
      <c r="I659" t="inlineStr">
        <is>
          <t>대상아님</t>
        </is>
      </c>
      <c r="J659" t="inlineStr">
        <is>
          <t>일반법인</t>
        </is>
      </c>
      <c r="K659" t="inlineStr">
        <is>
          <t>중소기업</t>
        </is>
      </c>
      <c r="L659" t="inlineStr">
        <is>
          <t>외부감사대상</t>
        </is>
      </c>
      <c r="M659" s="6" t="inlineStr">
        <is>
          <t>2004-09-01</t>
        </is>
      </c>
      <c r="N659" t="inlineStr">
        <is>
          <t>KRI:10G4632900</t>
        </is>
      </c>
      <c r="O659" t="inlineStr">
        <is>
          <t>기타 가공식품 도매업</t>
        </is>
      </c>
      <c r="P659" t="inlineStr">
        <is>
          <t>건강식품 도매,상품중개</t>
        </is>
      </c>
      <c r="Q659" t="inlineStr">
        <is>
          <t>서울 강남구 역삼동 728-41번지 에이포스페이스빌딩 2층</t>
        </is>
      </c>
      <c r="R659" t="inlineStr">
        <is>
          <t>서울 강남구 논현로76길 27, 2층 (역삼동,에이포스페이스빌딩)</t>
        </is>
      </c>
    </row>
    <row r="660" ht="19.2" customHeight="1" s="1">
      <c r="A660" t="inlineStr">
        <is>
          <t>NICE:BL5753</t>
        </is>
      </c>
      <c r="B660" t="inlineStr">
        <is>
          <t>동원정밀</t>
        </is>
      </c>
      <c r="C660" t="inlineStr">
        <is>
          <t>정태성</t>
        </is>
      </c>
      <c r="D660" t="inlineStr">
        <is>
          <t>055-265-4240</t>
        </is>
      </c>
      <c r="E660" t="inlineStr">
        <is>
          <t>055-265-4243</t>
        </is>
      </c>
      <c r="F660" s="3">
        <f>HYPERLINK("http://www.dongwon-dst.com", "http://www.dongwon-dst.com")</f>
        <v/>
      </c>
      <c r="G660" t="inlineStr">
        <is>
          <t>6098623707</t>
        </is>
      </c>
      <c r="H660" t="inlineStr">
        <is>
          <t>1942110241597</t>
        </is>
      </c>
      <c r="I660" t="inlineStr">
        <is>
          <t>대상아님</t>
        </is>
      </c>
      <c r="J660" t="inlineStr">
        <is>
          <t>일반법인</t>
        </is>
      </c>
      <c r="K660" t="inlineStr">
        <is>
          <t>중소기업</t>
        </is>
      </c>
      <c r="L660" t="inlineStr">
        <is>
          <t>외부감사대상</t>
        </is>
      </c>
      <c r="M660" s="6" t="inlineStr">
        <is>
          <t>2009-10-30</t>
        </is>
      </c>
      <c r="N660" t="inlineStr">
        <is>
          <t>KRI:10C2929900</t>
        </is>
      </c>
      <c r="O660" t="inlineStr">
        <is>
          <t>그 외 기타 특수목적용 기계 제조업</t>
        </is>
      </c>
      <c r="P660" t="inlineStr">
        <is>
          <t>기계,금속가공제품,전자부품 제조,장비 조립/무역/부동산 임대(공장)</t>
        </is>
      </c>
      <c r="Q660" t="inlineStr">
        <is>
          <t>경남 창원시 의창구 팔용동 24-21번지</t>
        </is>
      </c>
      <c r="R660" t="inlineStr">
        <is>
          <t>경남 창원시 의창구 반계로 29</t>
        </is>
      </c>
    </row>
    <row r="661" ht="19.2" customHeight="1" s="1">
      <c r="A661" t="inlineStr">
        <is>
          <t>NICE:C04147</t>
        </is>
      </c>
      <c r="B661" t="inlineStr">
        <is>
          <t>에이젝코리아</t>
        </is>
      </c>
      <c r="C661" t="inlineStr">
        <is>
          <t>손윤철</t>
        </is>
      </c>
      <c r="D661" t="inlineStr">
        <is>
          <t>02-585-0637</t>
        </is>
      </c>
      <c r="E661" t="inlineStr">
        <is>
          <t>02-585-0674</t>
        </is>
      </c>
      <c r="F661" s="3">
        <f>HYPERLINK("http://www.agekke.co.kr", "http://www.agekke.co.kr")</f>
        <v/>
      </c>
      <c r="G661" t="inlineStr">
        <is>
          <t>2148798399</t>
        </is>
      </c>
      <c r="H661" t="inlineStr">
        <is>
          <t>1101113552290</t>
        </is>
      </c>
      <c r="I661" t="inlineStr">
        <is>
          <t>대상아님</t>
        </is>
      </c>
      <c r="J661" t="inlineStr">
        <is>
          <t>일반법인</t>
        </is>
      </c>
      <c r="K661" t="inlineStr">
        <is>
          <t>중소기업</t>
        </is>
      </c>
      <c r="L661" t="inlineStr">
        <is>
          <t>외부감사대상</t>
        </is>
      </c>
      <c r="M661" s="6" t="inlineStr">
        <is>
          <t>2006-10-31</t>
        </is>
      </c>
      <c r="N661" t="inlineStr">
        <is>
          <t>KRI:10N7410000</t>
        </is>
      </c>
      <c r="O661" t="inlineStr">
        <is>
          <t>사업시설 유지ㆍ관리 서비스업</t>
        </is>
      </c>
      <c r="P661" t="inlineStr">
        <is>
          <t>근로자 파견,인사관련 컨설팅,건축물시설관리유지,컴퓨터시스템,S/W,전기기기,부품 설계,개발</t>
        </is>
      </c>
      <c r="Q661" t="inlineStr">
        <is>
          <t>서울 중구 남대문로5가 120번지 9층</t>
        </is>
      </c>
      <c r="R661" t="inlineStr">
        <is>
          <t>서울 중구 소월로 10, 9층</t>
        </is>
      </c>
    </row>
    <row r="662">
      <c r="A662" t="inlineStr">
        <is>
          <t>NICE:C07080</t>
        </is>
      </c>
      <c r="B662" t="inlineStr">
        <is>
          <t>조양정밀공업</t>
        </is>
      </c>
      <c r="C662" t="inlineStr">
        <is>
          <t>임재용</t>
        </is>
      </c>
      <c r="D662" t="inlineStr">
        <is>
          <t>062-946-2511</t>
        </is>
      </c>
      <c r="E662" t="inlineStr">
        <is>
          <t>062-946-2516</t>
        </is>
      </c>
      <c r="G662" t="inlineStr">
        <is>
          <t>4108196565</t>
        </is>
      </c>
      <c r="H662" t="inlineStr">
        <is>
          <t>2001110211840</t>
        </is>
      </c>
      <c r="I662" t="inlineStr">
        <is>
          <t>대상아님</t>
        </is>
      </c>
      <c r="J662" t="inlineStr">
        <is>
          <t>일반법인</t>
        </is>
      </c>
      <c r="K662" t="inlineStr">
        <is>
          <t>중소기업</t>
        </is>
      </c>
      <c r="L662" t="inlineStr">
        <is>
          <t>외부감사대상</t>
        </is>
      </c>
      <c r="M662" s="6" t="inlineStr">
        <is>
          <t>2005-06-27</t>
        </is>
      </c>
      <c r="N662" t="inlineStr">
        <is>
          <t>KRI:10C3011000</t>
        </is>
      </c>
      <c r="O662" t="inlineStr">
        <is>
          <t>자동차용 엔진 제조업</t>
        </is>
      </c>
      <c r="P662" t="inlineStr">
        <is>
          <t>자동차부품(엔진조립) 제조</t>
        </is>
      </c>
      <c r="Q662" t="inlineStr">
        <is>
          <t>광주 광산구 옥동 1232-3번지</t>
        </is>
      </c>
      <c r="R662" t="inlineStr">
        <is>
          <t>광주 광산구 평동산단3번로 70</t>
        </is>
      </c>
    </row>
    <row r="663">
      <c r="A663" t="inlineStr">
        <is>
          <t>NICE:C09953</t>
        </is>
      </c>
      <c r="B663" t="inlineStr">
        <is>
          <t>베페사징크코리아</t>
        </is>
      </c>
      <c r="C663" t="inlineStr">
        <is>
          <t>이훈기</t>
        </is>
      </c>
      <c r="D663" t="inlineStr">
        <is>
          <t>054-777-3111</t>
        </is>
      </c>
      <c r="E663" t="inlineStr">
        <is>
          <t>054-777-3115</t>
        </is>
      </c>
      <c r="G663" t="inlineStr">
        <is>
          <t>6088167537</t>
        </is>
      </c>
      <c r="H663" t="inlineStr">
        <is>
          <t>1943110020056</t>
        </is>
      </c>
      <c r="I663" t="inlineStr">
        <is>
          <t>대상아님</t>
        </is>
      </c>
      <c r="J663" t="inlineStr">
        <is>
          <t>일반법인</t>
        </is>
      </c>
      <c r="K663" t="inlineStr">
        <is>
          <t>중소기업</t>
        </is>
      </c>
      <c r="L663" t="inlineStr">
        <is>
          <t>외부감사대상</t>
        </is>
      </c>
      <c r="M663" s="6" t="inlineStr">
        <is>
          <t>2007-06-20</t>
        </is>
      </c>
      <c r="N663" t="inlineStr">
        <is>
          <t>KRI:10C2421300</t>
        </is>
      </c>
      <c r="O663" t="inlineStr">
        <is>
          <t>연 및 아연 제련, 정련 및 합금 제조업</t>
        </is>
      </c>
      <c r="P663" t="inlineStr">
        <is>
          <t>조산화아연,합금 제조</t>
        </is>
      </c>
      <c r="Q663" t="inlineStr">
        <is>
          <t>경북 경주시 천북면 오야리 산18번지</t>
        </is>
      </c>
      <c r="R663" t="inlineStr">
        <is>
          <t>경북 경주시 천북면 천북산단로 265-15</t>
        </is>
      </c>
    </row>
    <row r="664" ht="19.2" customHeight="1" s="1">
      <c r="A664" t="inlineStr">
        <is>
          <t>NICE:C11027</t>
        </is>
      </c>
      <c r="B664" t="inlineStr">
        <is>
          <t>신화정공</t>
        </is>
      </c>
      <c r="C664" t="inlineStr">
        <is>
          <t>이윤표</t>
        </is>
      </c>
      <c r="D664" t="inlineStr">
        <is>
          <t>055-275-7930</t>
        </is>
      </c>
      <c r="E664" t="inlineStr">
        <is>
          <t>055-275-7931</t>
        </is>
      </c>
      <c r="F664" s="3">
        <f>HYPERLINK("http://www.shinhwa-pic.com", "http://www.shinhwa-pic.com")</f>
        <v/>
      </c>
      <c r="G664" t="inlineStr">
        <is>
          <t>6098179211</t>
        </is>
      </c>
      <c r="H664" t="inlineStr">
        <is>
          <t>1942110087470</t>
        </is>
      </c>
      <c r="I664" t="inlineStr">
        <is>
          <t>대상아님</t>
        </is>
      </c>
      <c r="J664" t="inlineStr">
        <is>
          <t>일반법인</t>
        </is>
      </c>
      <c r="K664" t="inlineStr">
        <is>
          <t>중견기업</t>
        </is>
      </c>
      <c r="L664" t="inlineStr">
        <is>
          <t>외부감사대상</t>
        </is>
      </c>
      <c r="M664" s="6" t="inlineStr">
        <is>
          <t>2007-08-16</t>
        </is>
      </c>
      <c r="N664" t="inlineStr">
        <is>
          <t>KRI:10C2592100</t>
        </is>
      </c>
      <c r="O664" t="inlineStr">
        <is>
          <t>금속 열처리업</t>
        </is>
      </c>
      <c r="P664" t="inlineStr">
        <is>
          <t>금속 열처리,자동차엔진부품 제조</t>
        </is>
      </c>
      <c r="Q664" t="inlineStr">
        <is>
          <t>경남 창원시 성산구 성산동 65번지</t>
        </is>
      </c>
      <c r="R664" t="inlineStr">
        <is>
          <t>경남 창원시 성산구 공단로474번길 21-34</t>
        </is>
      </c>
    </row>
    <row r="665" ht="19.2" customHeight="1" s="1">
      <c r="A665" t="inlineStr">
        <is>
          <t>NICE:C11615</t>
        </is>
      </c>
      <c r="B665" t="inlineStr">
        <is>
          <t>포이스</t>
        </is>
      </c>
      <c r="C665" t="inlineStr">
        <is>
          <t>봉경환</t>
        </is>
      </c>
      <c r="D665" t="inlineStr">
        <is>
          <t>031-499-2510</t>
        </is>
      </c>
      <c r="E665" t="inlineStr">
        <is>
          <t>031-499-2518</t>
        </is>
      </c>
      <c r="F665" s="3">
        <f>HYPERLINK("http://www.foures.co.kr", "http://www.foures.co.kr")</f>
        <v/>
      </c>
      <c r="G665" t="inlineStr">
        <is>
          <t>1408125690</t>
        </is>
      </c>
      <c r="H665" t="inlineStr">
        <is>
          <t>1355110186102</t>
        </is>
      </c>
      <c r="I665" t="inlineStr">
        <is>
          <t>대상아님</t>
        </is>
      </c>
      <c r="J665" t="inlineStr">
        <is>
          <t>일반법인</t>
        </is>
      </c>
      <c r="K665" t="inlineStr">
        <is>
          <t>중소기업</t>
        </is>
      </c>
      <c r="L665" t="inlineStr">
        <is>
          <t>외부감사대상</t>
        </is>
      </c>
      <c r="M665" s="6" t="inlineStr">
        <is>
          <t>2007-12-05</t>
        </is>
      </c>
      <c r="N665" t="inlineStr">
        <is>
          <t>KRI:10C2927100</t>
        </is>
      </c>
      <c r="O665" t="inlineStr">
        <is>
          <t>반도체 제조용 기계 제조업</t>
        </is>
      </c>
      <c r="P665" t="inlineStr">
        <is>
          <t>반도체 장비 제조</t>
        </is>
      </c>
      <c r="Q665" t="inlineStr">
        <is>
          <t>경기 안산시 단원구 원시동 824-3번지 포이스주식회사</t>
        </is>
      </c>
      <c r="R665" t="inlineStr">
        <is>
          <t>경기 안산시 단원구 첨단로 539 (원시동,포이스주식회사)</t>
        </is>
      </c>
    </row>
    <row r="666" ht="19.2" customHeight="1" s="1">
      <c r="A666" t="inlineStr">
        <is>
          <t>NICE:C12435</t>
        </is>
      </c>
      <c r="B666" t="inlineStr">
        <is>
          <t>미화</t>
        </is>
      </c>
      <c r="C666" t="inlineStr">
        <is>
          <t>김기경</t>
        </is>
      </c>
      <c r="D666" t="inlineStr">
        <is>
          <t>055-338-7714</t>
        </is>
      </c>
      <c r="E666" t="inlineStr">
        <is>
          <t>055-329-1342</t>
        </is>
      </c>
      <c r="F666" s="3">
        <f>HYPERLINK("http://www.mbko.co.kr", "http://www.mbko.co.kr")</f>
        <v/>
      </c>
      <c r="G666" t="inlineStr">
        <is>
          <t>6158149537</t>
        </is>
      </c>
      <c r="H666" t="inlineStr">
        <is>
          <t>1955110088108</t>
        </is>
      </c>
      <c r="I666" t="inlineStr">
        <is>
          <t>대상아님</t>
        </is>
      </c>
      <c r="J666" t="inlineStr">
        <is>
          <t>일반법인</t>
        </is>
      </c>
      <c r="K666" t="inlineStr">
        <is>
          <t>중소기업</t>
        </is>
      </c>
      <c r="L666" t="inlineStr">
        <is>
          <t>외부감사대상</t>
        </is>
      </c>
      <c r="M666" s="6" t="inlineStr">
        <is>
          <t>2006-05-23</t>
        </is>
      </c>
      <c r="N666" t="inlineStr">
        <is>
          <t>KRI:10C2229900</t>
        </is>
      </c>
      <c r="O666" t="inlineStr">
        <is>
          <t>그 외 기타 플라스틱 제품 제조업</t>
        </is>
      </c>
      <c r="P666" t="inlineStr">
        <is>
          <t>플라스틱제품 제조,도소매,전자상거래/비,솔 제조/태양광 발전/부동산 임대</t>
        </is>
      </c>
      <c r="Q666" t="inlineStr">
        <is>
          <t>경남 김해시 한림면 병동리 852번지</t>
        </is>
      </c>
      <c r="R666" t="inlineStr">
        <is>
          <t>경남 김해시 한림면 김해대로916번길 104-20</t>
        </is>
      </c>
    </row>
    <row r="667">
      <c r="A667" t="inlineStr">
        <is>
          <t>NICE:C12921</t>
        </is>
      </c>
      <c r="B667" t="inlineStr">
        <is>
          <t>세명정공</t>
        </is>
      </c>
      <c r="C667" t="inlineStr">
        <is>
          <t>박종두</t>
        </is>
      </c>
      <c r="D667" t="inlineStr">
        <is>
          <t>055-297-4871</t>
        </is>
      </c>
      <c r="E667" t="inlineStr">
        <is>
          <t>055-297-4873</t>
        </is>
      </c>
      <c r="G667" t="inlineStr">
        <is>
          <t>6088136882</t>
        </is>
      </c>
      <c r="H667" t="inlineStr">
        <is>
          <t>1901110036853</t>
        </is>
      </c>
      <c r="I667" t="inlineStr">
        <is>
          <t>대상아님</t>
        </is>
      </c>
      <c r="J667" t="inlineStr">
        <is>
          <t>일반법인</t>
        </is>
      </c>
      <c r="K667" t="inlineStr">
        <is>
          <t>중소기업</t>
        </is>
      </c>
      <c r="L667" t="inlineStr">
        <is>
          <t>외부감사대상</t>
        </is>
      </c>
      <c r="M667" s="6" t="inlineStr">
        <is>
          <t>1999-11-23</t>
        </is>
      </c>
      <c r="N667" t="inlineStr">
        <is>
          <t>KRI:10C2851900</t>
        </is>
      </c>
      <c r="O667" t="inlineStr">
        <is>
          <t>기타 가정용 전기기기 제조업</t>
        </is>
      </c>
      <c r="P667" t="inlineStr">
        <is>
          <t>전자기기부품 제조/기계설비공사/부동산 임대/용역</t>
        </is>
      </c>
      <c r="Q667" t="inlineStr">
        <is>
          <t>경남 함안군 칠원읍 용정리 1048-1번지</t>
        </is>
      </c>
      <c r="R667" t="inlineStr">
        <is>
          <t>경남 함안군 칠원읍 원서로 213-11</t>
        </is>
      </c>
    </row>
    <row r="668" ht="19.2" customHeight="1" s="1">
      <c r="A668" t="inlineStr">
        <is>
          <t>NICE:C13312</t>
        </is>
      </c>
      <c r="B668" t="inlineStr">
        <is>
          <t>포코엔지니어링</t>
        </is>
      </c>
      <c r="C668" t="inlineStr">
        <is>
          <t>김귀동</t>
        </is>
      </c>
      <c r="D668" t="inlineStr">
        <is>
          <t>051-200-8929</t>
        </is>
      </c>
      <c r="E668" t="inlineStr">
        <is>
          <t>051-200-8981</t>
        </is>
      </c>
      <c r="F668" s="3">
        <f>HYPERLINK("http://www.pokorea.net", "http://www.pokorea.net")</f>
        <v/>
      </c>
      <c r="G668" t="inlineStr">
        <is>
          <t>6028127274</t>
        </is>
      </c>
      <c r="H668" t="inlineStr">
        <is>
          <t>1801110427400</t>
        </is>
      </c>
      <c r="I668" t="inlineStr">
        <is>
          <t>대상아님</t>
        </is>
      </c>
      <c r="J668" t="inlineStr">
        <is>
          <t>일반법인</t>
        </is>
      </c>
      <c r="K668" t="inlineStr">
        <is>
          <t>중소기업</t>
        </is>
      </c>
      <c r="L668" t="inlineStr">
        <is>
          <t>외부감사대상</t>
        </is>
      </c>
      <c r="M668" s="6" t="inlineStr">
        <is>
          <t>2002-10-30</t>
        </is>
      </c>
      <c r="N668" t="inlineStr">
        <is>
          <t>KRI:10C3111400</t>
        </is>
      </c>
      <c r="O668" t="inlineStr">
        <is>
          <t>선박 구성 부분품 제조업</t>
        </is>
      </c>
      <c r="P668" t="inlineStr">
        <is>
          <t>선박수리,유압기기,선박부품 제조/기계설비공사/부동산 임대</t>
        </is>
      </c>
      <c r="Q668" t="inlineStr">
        <is>
          <t>부산 사하구 구평동 495-6번지</t>
        </is>
      </c>
      <c r="R668" t="inlineStr">
        <is>
          <t>부산 사하구 감천항로405번길 21</t>
        </is>
      </c>
    </row>
    <row r="669" ht="19.2" customHeight="1" s="1">
      <c r="A669" t="inlineStr">
        <is>
          <t>NICE:C15171</t>
        </is>
      </c>
      <c r="B669" t="inlineStr">
        <is>
          <t>보람엔지니어링건축사사무소</t>
        </is>
      </c>
      <c r="C669" t="inlineStr">
        <is>
          <t>김현석</t>
        </is>
      </c>
      <c r="D669" t="inlineStr">
        <is>
          <t>054-463-8010</t>
        </is>
      </c>
      <c r="E669" t="inlineStr">
        <is>
          <t>054-463-8018</t>
        </is>
      </c>
      <c r="F669" s="3">
        <f>HYPERLINK("http://www.kgenc.co.kr", "http://www.kgenc.co.kr")</f>
        <v/>
      </c>
      <c r="G669" t="inlineStr">
        <is>
          <t>1278193254</t>
        </is>
      </c>
      <c r="H669" t="inlineStr">
        <is>
          <t>2801110069615</t>
        </is>
      </c>
      <c r="I669" t="inlineStr">
        <is>
          <t>대상아님</t>
        </is>
      </c>
      <c r="J669" t="inlineStr">
        <is>
          <t>일반법인</t>
        </is>
      </c>
      <c r="K669" t="inlineStr">
        <is>
          <t>중소기업</t>
        </is>
      </c>
      <c r="L669" t="inlineStr">
        <is>
          <t>외부감사대상</t>
        </is>
      </c>
      <c r="M669" s="6" t="inlineStr">
        <is>
          <t>2005-05-30</t>
        </is>
      </c>
      <c r="N669" t="inlineStr">
        <is>
          <t>KRI:10M7212900</t>
        </is>
      </c>
      <c r="O669" t="inlineStr">
        <is>
          <t>기타 엔지니어링 서비스업</t>
        </is>
      </c>
      <c r="P669" t="inlineStr">
        <is>
          <t>종합엔지니어링</t>
        </is>
      </c>
      <c r="Q669" t="inlineStr">
        <is>
          <t>경북 포항시 북구 죽도동 615-1번지 테라스퀘어빌딩 6층 602호</t>
        </is>
      </c>
      <c r="R669" t="inlineStr">
        <is>
          <t>경북 포항시 북구 중흥로 232, 6층 602호 (죽도동,테라스퀘어빌딩)</t>
        </is>
      </c>
    </row>
    <row r="670" ht="19.2" customHeight="1" s="1">
      <c r="A670" t="inlineStr">
        <is>
          <t>NICE:C15855</t>
        </is>
      </c>
      <c r="B670" t="inlineStr">
        <is>
          <t>아식스코리아</t>
        </is>
      </c>
      <c r="C670" t="inlineStr">
        <is>
          <t>김원무</t>
        </is>
      </c>
      <c r="D670" t="inlineStr">
        <is>
          <t>02-3660-3627</t>
        </is>
      </c>
      <c r="E670" t="inlineStr">
        <is>
          <t>02-3660-3509</t>
        </is>
      </c>
      <c r="F670" s="3">
        <f>HYPERLINK("http://www.asics.com", "http://www.asics.com")</f>
        <v/>
      </c>
      <c r="G670" t="inlineStr">
        <is>
          <t>1098610809</t>
        </is>
      </c>
      <c r="H670" t="inlineStr">
        <is>
          <t>1101113780502</t>
        </is>
      </c>
      <c r="I670" t="inlineStr">
        <is>
          <t>대상아님</t>
        </is>
      </c>
      <c r="J670" t="inlineStr">
        <is>
          <t>일반법인</t>
        </is>
      </c>
      <c r="K670" t="inlineStr">
        <is>
          <t>중견기업</t>
        </is>
      </c>
      <c r="L670" t="inlineStr">
        <is>
          <t>외부감사대상</t>
        </is>
      </c>
      <c r="M670" s="6" t="inlineStr">
        <is>
          <t>2007-11-01</t>
        </is>
      </c>
      <c r="N670" t="inlineStr">
        <is>
          <t>KRI:10G4642000</t>
        </is>
      </c>
      <c r="O670" t="inlineStr">
        <is>
          <t>신발 도매업</t>
        </is>
      </c>
      <c r="P670" t="inlineStr">
        <is>
          <t>스포츠용품(신발,의류,경기용품) 도소매</t>
        </is>
      </c>
      <c r="Q670" t="inlineStr">
        <is>
          <t>서울 중구 을지로2가 204번지 삼화타워 14층</t>
        </is>
      </c>
      <c r="R670" t="inlineStr">
        <is>
          <t>서울 중구 을지로5길 16, 14층 (을지로2가,삼화타워)</t>
        </is>
      </c>
    </row>
    <row r="671" ht="19.2" customHeight="1" s="1">
      <c r="A671" t="inlineStr">
        <is>
          <t>NICE:C16088</t>
        </is>
      </c>
      <c r="B671" t="inlineStr">
        <is>
          <t>케이앤씨</t>
        </is>
      </c>
      <c r="C671" t="inlineStr">
        <is>
          <t>김영태</t>
        </is>
      </c>
      <c r="D671" t="inlineStr">
        <is>
          <t>033-263-0087</t>
        </is>
      </c>
      <c r="E671" t="inlineStr">
        <is>
          <t>033-263-0032</t>
        </is>
      </c>
      <c r="F671" s="3">
        <f>HYPERLINK("http://www.knc-korea.com", "http://www.knc-korea.com")</f>
        <v/>
      </c>
      <c r="G671" t="inlineStr">
        <is>
          <t>1248659946</t>
        </is>
      </c>
      <c r="H671" t="inlineStr">
        <is>
          <t>1348110145864</t>
        </is>
      </c>
      <c r="I671" t="inlineStr">
        <is>
          <t>대상아님</t>
        </is>
      </c>
      <c r="J671" t="inlineStr">
        <is>
          <t>일반법인</t>
        </is>
      </c>
      <c r="K671" t="inlineStr">
        <is>
          <t>중소기업</t>
        </is>
      </c>
      <c r="L671" t="inlineStr">
        <is>
          <t>외부감사대상</t>
        </is>
      </c>
      <c r="M671" s="6" t="inlineStr">
        <is>
          <t>2007-10-04</t>
        </is>
      </c>
      <c r="N671" t="inlineStr">
        <is>
          <t>KRI:10C3039900</t>
        </is>
      </c>
      <c r="O671" t="inlineStr">
        <is>
          <t>그 외 자동차용 신품 부품 제조업</t>
        </is>
      </c>
      <c r="P671" t="inlineStr">
        <is>
          <t>자동차부품 제조,도소매/컴퓨터,주변장치 도소매/소프트웨어 개발,공급</t>
        </is>
      </c>
      <c r="Q671" t="inlineStr">
        <is>
          <t>강원 춘천시 신동 1120번지</t>
        </is>
      </c>
      <c r="R671" t="inlineStr">
        <is>
          <t>강원 춘천시 신샘밭로 158</t>
        </is>
      </c>
    </row>
    <row r="672" ht="19.2" customHeight="1" s="1">
      <c r="A672" t="inlineStr">
        <is>
          <t>NICE:C16129</t>
        </is>
      </c>
      <c r="B672" t="inlineStr">
        <is>
          <t>우민해운</t>
        </is>
      </c>
      <c r="C672" t="inlineStr">
        <is>
          <t>최민규</t>
        </is>
      </c>
      <c r="D672" t="inlineStr">
        <is>
          <t>02-3787-2935</t>
        </is>
      </c>
      <c r="E672" t="inlineStr">
        <is>
          <t>02-3787-3050</t>
        </is>
      </c>
      <c r="F672" s="3">
        <f>HYPERLINK("http://www.woolimshipping.co.kr", "http://www.woolimshipping.co.kr")</f>
        <v/>
      </c>
      <c r="G672" t="inlineStr">
        <is>
          <t>1078675204</t>
        </is>
      </c>
      <c r="H672" t="inlineStr">
        <is>
          <t>1101113407148</t>
        </is>
      </c>
      <c r="I672" t="inlineStr">
        <is>
          <t>대상아님</t>
        </is>
      </c>
      <c r="J672" t="inlineStr">
        <is>
          <t>일반법인</t>
        </is>
      </c>
      <c r="K672" t="inlineStr">
        <is>
          <t>중견기업</t>
        </is>
      </c>
      <c r="L672" t="inlineStr">
        <is>
          <t>외부감사대상</t>
        </is>
      </c>
      <c r="M672" s="6" t="inlineStr">
        <is>
          <t>2006-02-23</t>
        </is>
      </c>
      <c r="N672" t="inlineStr">
        <is>
          <t>KRI:10H5011200</t>
        </is>
      </c>
      <c r="O672" t="inlineStr">
        <is>
          <t>외항 화물 운송업</t>
        </is>
      </c>
      <c r="P672" t="inlineStr">
        <is>
          <t>연안항로,외항화물 운송</t>
        </is>
      </c>
      <c r="Q672" t="inlineStr">
        <is>
          <t>서울 영등포구 여의도동 10-2번지</t>
        </is>
      </c>
      <c r="R672" t="inlineStr">
        <is>
          <t>서울 영등포구 여의공원로 111</t>
        </is>
      </c>
    </row>
    <row r="673" ht="19.2" customHeight="1" s="1">
      <c r="A673" t="inlineStr">
        <is>
          <t>NICE:C16181</t>
        </is>
      </c>
      <c r="B673" t="inlineStr">
        <is>
          <t>이나인페이</t>
        </is>
      </c>
      <c r="C673" t="inlineStr">
        <is>
          <t>전혁구</t>
        </is>
      </c>
      <c r="D673" t="inlineStr">
        <is>
          <t>02-877-7200</t>
        </is>
      </c>
      <c r="E673" t="inlineStr">
        <is>
          <t>02-877-8172</t>
        </is>
      </c>
      <c r="F673" s="3">
        <f>HYPERLINK("http://www.e9pay.co.kr", "http://www.e9pay.co.kr")</f>
        <v/>
      </c>
      <c r="G673" t="inlineStr">
        <is>
          <t>1198600332</t>
        </is>
      </c>
      <c r="H673" t="inlineStr">
        <is>
          <t>1101113727116</t>
        </is>
      </c>
      <c r="I673" t="inlineStr">
        <is>
          <t>대상아님</t>
        </is>
      </c>
      <c r="J673" t="inlineStr">
        <is>
          <t>일반법인</t>
        </is>
      </c>
      <c r="K673" t="inlineStr">
        <is>
          <t>중소기업</t>
        </is>
      </c>
      <c r="L673" t="inlineStr">
        <is>
          <t>외부감사대상</t>
        </is>
      </c>
      <c r="M673" s="6" t="inlineStr">
        <is>
          <t>2007-07-27</t>
        </is>
      </c>
      <c r="N673" t="inlineStr">
        <is>
          <t>KRI:10K6619900</t>
        </is>
      </c>
      <c r="O673" t="inlineStr">
        <is>
          <t>그 외 기타 금융 지원 서비스업</t>
        </is>
      </c>
      <c r="P673" t="inlineStr">
        <is>
          <t>금융 지원(소액해외송금업무),전자금융,할부금융/통신판매/부동산 매매/시스템소프트웨어 개발,공급</t>
        </is>
      </c>
      <c r="Q673" t="inlineStr">
        <is>
          <t>서울 관악구 봉천동 874-9번지 백광빌딩 803호</t>
        </is>
      </c>
      <c r="R673" t="inlineStr">
        <is>
          <t>서울 관악구 남부순환로 1793, 803호 (봉천동,백광빌딩)</t>
        </is>
      </c>
    </row>
    <row r="674" ht="19.2" customHeight="1" s="1">
      <c r="A674" t="inlineStr">
        <is>
          <t>NICE:C16217</t>
        </is>
      </c>
      <c r="B674" t="inlineStr">
        <is>
          <t>시노다이나믹스</t>
        </is>
      </c>
      <c r="C674" t="inlineStr">
        <is>
          <t>이대우/이진희</t>
        </is>
      </c>
      <c r="F674" s="3">
        <f>HYPERLINK("https://synotex.com", "https://synotex.com")</f>
        <v/>
      </c>
      <c r="G674" t="inlineStr">
        <is>
          <t>2118802872</t>
        </is>
      </c>
      <c r="H674" t="inlineStr">
        <is>
          <t>1101113755042</t>
        </is>
      </c>
      <c r="I674" t="inlineStr">
        <is>
          <t>대상아님</t>
        </is>
      </c>
      <c r="J674" t="inlineStr">
        <is>
          <t>일반법인</t>
        </is>
      </c>
      <c r="K674" t="inlineStr">
        <is>
          <t>중소기업</t>
        </is>
      </c>
      <c r="L674" t="inlineStr">
        <is>
          <t>외부감사대상</t>
        </is>
      </c>
      <c r="M674" s="6" t="inlineStr">
        <is>
          <t>2007-09-14</t>
        </is>
      </c>
      <c r="N674" t="inlineStr">
        <is>
          <t>KRI:10G4679900</t>
        </is>
      </c>
      <c r="O674" t="inlineStr">
        <is>
          <t>그 외 기타 상품 전문 도매업</t>
        </is>
      </c>
      <c r="P674" t="inlineStr">
        <is>
          <t>군납물자,항공기용부품,마스크,필터 도소매/전자제품,전장품 제조/지주사업</t>
        </is>
      </c>
      <c r="Q674" t="inlineStr">
        <is>
          <t>서울 강남구 삼성동 157-8번지 LG트윈텔1차 17층 1710호</t>
        </is>
      </c>
      <c r="R674" t="inlineStr">
        <is>
          <t>서울 강남구 삼성로96길 6, 17층 1710호 (삼성동,LG트윈텔1차)</t>
        </is>
      </c>
    </row>
    <row r="675" ht="19.2" customHeight="1" s="1">
      <c r="A675" t="inlineStr">
        <is>
          <t>NICE:C16745</t>
        </is>
      </c>
      <c r="B675" t="inlineStr">
        <is>
          <t>신니개발</t>
        </is>
      </c>
      <c r="C675" t="inlineStr">
        <is>
          <t>최동호</t>
        </is>
      </c>
      <c r="D675" t="inlineStr">
        <is>
          <t>043-841-9000</t>
        </is>
      </c>
      <c r="E675" t="inlineStr">
        <is>
          <t>043-841-9010</t>
        </is>
      </c>
      <c r="F675" s="3">
        <f>HYPERLINK("http://www.royalforet.com", "http://www.royalforet.com")</f>
        <v/>
      </c>
      <c r="G675" t="inlineStr">
        <is>
          <t>3038149522</t>
        </is>
      </c>
      <c r="H675" t="inlineStr">
        <is>
          <t>1511110031206</t>
        </is>
      </c>
      <c r="I675" t="inlineStr">
        <is>
          <t>대상아님</t>
        </is>
      </c>
      <c r="J675" t="inlineStr">
        <is>
          <t>일반법인</t>
        </is>
      </c>
      <c r="K675" t="inlineStr">
        <is>
          <t>중소기업</t>
        </is>
      </c>
      <c r="L675" t="inlineStr">
        <is>
          <t>외부감사대상</t>
        </is>
      </c>
      <c r="M675" s="6" t="inlineStr">
        <is>
          <t>2007-10-15</t>
        </is>
      </c>
      <c r="N675" t="inlineStr">
        <is>
          <t>KRI:10R9112100</t>
        </is>
      </c>
      <c r="O675" t="inlineStr">
        <is>
          <t>골프장 운영업</t>
        </is>
      </c>
      <c r="P675" t="inlineStr">
        <is>
          <t>골프장 운영</t>
        </is>
      </c>
      <c r="Q675" t="inlineStr">
        <is>
          <t>충북 충주시 금가면 월상리 산89번지 202호</t>
        </is>
      </c>
      <c r="R675" t="inlineStr">
        <is>
          <t>충북 충주시 금가면 다래울길 52, 202호</t>
        </is>
      </c>
    </row>
    <row r="676" ht="19.2" customHeight="1" s="1">
      <c r="A676" t="inlineStr">
        <is>
          <t>NICE:C16786</t>
        </is>
      </c>
      <c r="B676" t="inlineStr">
        <is>
          <t>울프</t>
        </is>
      </c>
      <c r="C676" t="inlineStr">
        <is>
          <t>이상찬</t>
        </is>
      </c>
      <c r="D676" t="inlineStr">
        <is>
          <t>052-256-9502</t>
        </is>
      </c>
      <c r="E676" t="inlineStr">
        <is>
          <t>052-256-9504</t>
        </is>
      </c>
      <c r="F676" s="3">
        <f>HYPERLINK("http://www.ulp99.com", "http://www.ulp99.com")</f>
        <v/>
      </c>
      <c r="G676" t="inlineStr">
        <is>
          <t>6108184276</t>
        </is>
      </c>
      <c r="H676" t="inlineStr">
        <is>
          <t>2301110126407</t>
        </is>
      </c>
      <c r="I676" t="inlineStr">
        <is>
          <t>대상아님</t>
        </is>
      </c>
      <c r="J676" t="inlineStr">
        <is>
          <t>일반법인</t>
        </is>
      </c>
      <c r="K676" t="inlineStr">
        <is>
          <t>중소기업</t>
        </is>
      </c>
      <c r="L676" t="inlineStr">
        <is>
          <t>외부감사대상</t>
        </is>
      </c>
      <c r="M676" s="6" t="inlineStr">
        <is>
          <t>2006-10-20</t>
        </is>
      </c>
      <c r="N676" t="inlineStr">
        <is>
          <t>KRI:10C2512000</t>
        </is>
      </c>
      <c r="O676" t="inlineStr">
        <is>
          <t>산업용 난방보일러, 금속탱크 및 유사 용기 제조업</t>
        </is>
      </c>
      <c r="P676" t="inlineStr">
        <is>
          <t>산업용보일러,플랜트 제조,설치/압력용기,철구조물 제조/가스시설시공/무역</t>
        </is>
      </c>
      <c r="Q676" t="inlineStr">
        <is>
          <t>울산 울주군 온산읍 처용리 648번지</t>
        </is>
      </c>
      <c r="R676" t="inlineStr">
        <is>
          <t>울산 울주군 온산읍 처용산업3길 12</t>
        </is>
      </c>
    </row>
    <row r="677" ht="19.2" customHeight="1" s="1">
      <c r="A677" t="inlineStr">
        <is>
          <t>NICE:C16897</t>
        </is>
      </c>
      <c r="B677" t="inlineStr">
        <is>
          <t>제이서해안고속도로</t>
        </is>
      </c>
      <c r="C677" t="inlineStr">
        <is>
          <t>주현</t>
        </is>
      </c>
      <c r="D677" t="inlineStr">
        <is>
          <t>031-494-0370</t>
        </is>
      </c>
      <c r="E677" t="inlineStr">
        <is>
          <t>031-494-0371</t>
        </is>
      </c>
      <c r="F677" s="3">
        <f>HYPERLINK("http://www.sseway.co.kr", "http://www.sseway.co.kr")</f>
        <v/>
      </c>
      <c r="G677" t="inlineStr">
        <is>
          <t>1388137650</t>
        </is>
      </c>
      <c r="H677" t="inlineStr">
        <is>
          <t>1341110148375</t>
        </is>
      </c>
      <c r="I677" t="inlineStr">
        <is>
          <t>대상아님</t>
        </is>
      </c>
      <c r="J677" t="inlineStr">
        <is>
          <t>일반법인</t>
        </is>
      </c>
      <c r="K677" t="inlineStr">
        <is>
          <t>중견기업</t>
        </is>
      </c>
      <c r="L677" t="inlineStr">
        <is>
          <t>외부감사대상</t>
        </is>
      </c>
      <c r="M677" s="6" t="inlineStr">
        <is>
          <t>2006-12-06</t>
        </is>
      </c>
      <c r="N677" t="inlineStr">
        <is>
          <t>KRI:10H5291400</t>
        </is>
      </c>
      <c r="O677" t="inlineStr">
        <is>
          <t>도로 및 관련시설 운영업</t>
        </is>
      </c>
      <c r="P677" t="inlineStr">
        <is>
          <t>도로시설 운영</t>
        </is>
      </c>
      <c r="Q677" t="inlineStr">
        <is>
          <t>경기 화성시 만세구 마도면 슬항리 17-9번지</t>
        </is>
      </c>
      <c r="R677" t="inlineStr">
        <is>
          <t>경기 화성시 만세구 마도면 평택시흥고속도로 21</t>
        </is>
      </c>
    </row>
    <row r="678" ht="19.2" customHeight="1" s="1">
      <c r="A678" t="inlineStr">
        <is>
          <t>NICE:C16918</t>
        </is>
      </c>
      <c r="B678" t="inlineStr">
        <is>
          <t>한경엘앤디</t>
        </is>
      </c>
      <c r="C678" t="inlineStr">
        <is>
          <t>송광림</t>
        </is>
      </c>
      <c r="D678" t="inlineStr">
        <is>
          <t>031-538-7000</t>
        </is>
      </c>
      <c r="E678" t="inlineStr">
        <is>
          <t>031-543-1272</t>
        </is>
      </c>
      <c r="F678" s="3">
        <f>HYPERLINK("http://www.fortunehills.co.kr", "http://www.fortunehills.co.kr")</f>
        <v/>
      </c>
      <c r="G678" t="inlineStr">
        <is>
          <t>1278602118</t>
        </is>
      </c>
      <c r="H678" t="inlineStr">
        <is>
          <t>1345110094611</t>
        </is>
      </c>
      <c r="I678" t="inlineStr">
        <is>
          <t>대상아님</t>
        </is>
      </c>
      <c r="J678" t="inlineStr">
        <is>
          <t>일반법인</t>
        </is>
      </c>
      <c r="K678" t="inlineStr">
        <is>
          <t>중견기업</t>
        </is>
      </c>
      <c r="L678" t="inlineStr">
        <is>
          <t>외부감사대상</t>
        </is>
      </c>
      <c r="M678" s="6" t="inlineStr">
        <is>
          <t>2005-10-11</t>
        </is>
      </c>
      <c r="N678" t="inlineStr">
        <is>
          <t>KRI:10R9112100</t>
        </is>
      </c>
      <c r="O678" t="inlineStr">
        <is>
          <t>골프장 운영업</t>
        </is>
      </c>
      <c r="P678" t="inlineStr">
        <is>
          <t>골프장 운영</t>
        </is>
      </c>
      <c r="Q678" t="inlineStr">
        <is>
          <t>경기 포천시 군내면 상성북리 420-1번지</t>
        </is>
      </c>
      <c r="R678" t="inlineStr">
        <is>
          <t>경기 포천시 군내면 반월산성로375번길 34</t>
        </is>
      </c>
    </row>
    <row r="679" ht="19.2" customHeight="1" s="1">
      <c r="A679" t="inlineStr">
        <is>
          <t>NICE:C17929</t>
        </is>
      </c>
      <c r="B679" t="inlineStr">
        <is>
          <t>동방파스텍</t>
        </is>
      </c>
      <c r="C679" t="inlineStr">
        <is>
          <t>지춘남</t>
        </is>
      </c>
      <c r="D679" t="inlineStr">
        <is>
          <t>031-847-9872</t>
        </is>
      </c>
      <c r="E679" t="inlineStr">
        <is>
          <t>031-847-9987</t>
        </is>
      </c>
      <c r="F679" s="3">
        <f>HYPERLINK("http://www.dbang.co.kr", "http://www.dbang.co.kr")</f>
        <v/>
      </c>
      <c r="G679" t="inlineStr">
        <is>
          <t>1278197755</t>
        </is>
      </c>
      <c r="H679" t="inlineStr">
        <is>
          <t>2801110073955</t>
        </is>
      </c>
      <c r="I679" t="inlineStr">
        <is>
          <t>대상아님</t>
        </is>
      </c>
      <c r="J679" t="inlineStr">
        <is>
          <t>일반법인</t>
        </is>
      </c>
      <c r="K679" t="inlineStr">
        <is>
          <t>중소기업</t>
        </is>
      </c>
      <c r="L679" t="inlineStr">
        <is>
          <t>외부감사대상</t>
        </is>
      </c>
      <c r="M679" s="6" t="inlineStr">
        <is>
          <t>2006-02-22</t>
        </is>
      </c>
      <c r="N679" t="inlineStr">
        <is>
          <t>KRI:10F4242000</t>
        </is>
      </c>
      <c r="O679" t="inlineStr">
        <is>
          <t>유리 및 창호 공사업</t>
        </is>
      </c>
      <c r="P679" t="inlineStr">
        <is>
          <t>금속구조물공사/프레임바,스텐실바,멀티칼라강판(방화문제작용) 제조,판매</t>
        </is>
      </c>
      <c r="Q679" t="inlineStr">
        <is>
          <t>경기 양주시 백석읍 홍죽리 954-12번지</t>
        </is>
      </c>
      <c r="R679" t="inlineStr">
        <is>
          <t>경기 양주시 백석읍 권율로1203번길 39-31</t>
        </is>
      </c>
    </row>
    <row r="680" ht="19.2" customHeight="1" s="1">
      <c r="A680" t="inlineStr">
        <is>
          <t>NICE:C19960</t>
        </is>
      </c>
      <c r="B680" t="inlineStr">
        <is>
          <t>명지대학교산학협력단</t>
        </is>
      </c>
      <c r="C680" t="inlineStr">
        <is>
          <t>김영욱</t>
        </is>
      </c>
      <c r="D680" t="inlineStr">
        <is>
          <t>031-330-6841</t>
        </is>
      </c>
      <c r="E680" t="inlineStr">
        <is>
          <t>031-330-6123</t>
        </is>
      </c>
      <c r="F680" s="3">
        <f>HYPERLINK("http://indcoop.mju.ac.kr", "http://indcoop.mju.ac.kr")</f>
        <v/>
      </c>
      <c r="G680" t="inlineStr">
        <is>
          <t>1358211060</t>
        </is>
      </c>
      <c r="H680" t="inlineStr">
        <is>
          <t>1345710003971</t>
        </is>
      </c>
      <c r="I680" t="inlineStr">
        <is>
          <t>대상아님</t>
        </is>
      </c>
      <c r="J680" t="inlineStr">
        <is>
          <t>비영리법인</t>
        </is>
      </c>
      <c r="K680" t="inlineStr">
        <is>
          <t>대상아님</t>
        </is>
      </c>
      <c r="L680" t="inlineStr">
        <is>
          <t>외부감사비대상</t>
        </is>
      </c>
      <c r="M680" s="6" t="inlineStr">
        <is>
          <t>2004-07-28</t>
        </is>
      </c>
      <c r="N680" t="inlineStr">
        <is>
          <t>KRI:10M7160000</t>
        </is>
      </c>
      <c r="O680" t="inlineStr">
        <is>
          <t>기타 전문 서비스업</t>
        </is>
      </c>
      <c r="P680" t="inlineStr">
        <is>
          <t>산학협력단</t>
        </is>
      </c>
      <c r="Q680" t="inlineStr">
        <is>
          <t>경기 용인시 처인구 남동 555번지 명지대학교</t>
        </is>
      </c>
      <c r="R680" t="inlineStr">
        <is>
          <t>경기 용인시 처인구 명지로 116 (남동,명지대학교)</t>
        </is>
      </c>
    </row>
    <row r="681" ht="19.2" customHeight="1" s="1">
      <c r="A681" t="inlineStr">
        <is>
          <t>NICE:C20202</t>
        </is>
      </c>
      <c r="B681" t="inlineStr">
        <is>
          <t>다이넥스</t>
        </is>
      </c>
      <c r="C681" t="inlineStr">
        <is>
          <t>김창훈</t>
        </is>
      </c>
      <c r="D681" t="inlineStr">
        <is>
          <t>032-677-2971</t>
        </is>
      </c>
      <c r="E681" t="inlineStr">
        <is>
          <t>032-677-2974</t>
        </is>
      </c>
      <c r="F681" s="3">
        <f>HYPERLINK("http://www.dynex.co.kr", "http://www.dynex.co.kr")</f>
        <v/>
      </c>
      <c r="G681" t="inlineStr">
        <is>
          <t>1308623370</t>
        </is>
      </c>
      <c r="H681" t="inlineStr">
        <is>
          <t>1211110150052</t>
        </is>
      </c>
      <c r="I681" t="inlineStr">
        <is>
          <t>대상아님</t>
        </is>
      </c>
      <c r="J681" t="inlineStr">
        <is>
          <t>일반법인</t>
        </is>
      </c>
      <c r="K681" t="inlineStr">
        <is>
          <t>중소기업</t>
        </is>
      </c>
      <c r="L681" t="inlineStr">
        <is>
          <t>외부감사대상</t>
        </is>
      </c>
      <c r="M681" s="6" t="inlineStr">
        <is>
          <t>2006-09-26</t>
        </is>
      </c>
      <c r="N681" t="inlineStr">
        <is>
          <t>KRI:10C2224900</t>
        </is>
      </c>
      <c r="O681" t="inlineStr">
        <is>
          <t>기타 기계ㆍ장비 조립용 플라스틱 제품 제조업</t>
        </is>
      </c>
      <c r="P681" t="inlineStr">
        <is>
          <t>고성능엔지니어링플라스틱(PEEK) 제조,도소매</t>
        </is>
      </c>
      <c r="Q681" t="inlineStr">
        <is>
          <t>인천 남동구 남촌동 619-14번지 남동공단</t>
        </is>
      </c>
      <c r="R681" t="inlineStr">
        <is>
          <t>인천 남동구 남동서로 339 (남촌동,남동공단)</t>
        </is>
      </c>
    </row>
    <row r="682">
      <c r="A682" t="inlineStr">
        <is>
          <t>NICE:C22296</t>
        </is>
      </c>
      <c r="B682" t="inlineStr">
        <is>
          <t>황조</t>
        </is>
      </c>
      <c r="C682" t="inlineStr">
        <is>
          <t>허성희</t>
        </is>
      </c>
      <c r="D682" t="inlineStr">
        <is>
          <t>054-742-1773</t>
        </is>
      </c>
      <c r="E682" t="inlineStr">
        <is>
          <t>054-742-1775</t>
        </is>
      </c>
      <c r="G682" t="inlineStr">
        <is>
          <t>5068154298</t>
        </is>
      </c>
      <c r="H682" t="inlineStr">
        <is>
          <t>1717110063807</t>
        </is>
      </c>
      <c r="I682" t="inlineStr">
        <is>
          <t>대상아님</t>
        </is>
      </c>
      <c r="J682" t="inlineStr">
        <is>
          <t>일반법인</t>
        </is>
      </c>
      <c r="K682" t="inlineStr">
        <is>
          <t>중소기업</t>
        </is>
      </c>
      <c r="L682" t="inlineStr">
        <is>
          <t>외부감사대상</t>
        </is>
      </c>
      <c r="M682" s="6" t="inlineStr">
        <is>
          <t>2005-01-26</t>
        </is>
      </c>
      <c r="N682" t="inlineStr">
        <is>
          <t>KRI:10E3831200</t>
        </is>
      </c>
      <c r="O682" t="inlineStr">
        <is>
          <t>금속류 원료 재생업</t>
        </is>
      </c>
      <c r="P682" t="inlineStr">
        <is>
          <t>재활용금속광물 분쇄,내화물,연,아연,제련,정련,합금,전기열기구,보일러,냉난방기,히트펌프 제조/태양광 발전/고철</t>
        </is>
      </c>
      <c r="Q682" t="inlineStr">
        <is>
          <t>경북 경주시 안강읍 두류리 1563-5번지</t>
        </is>
      </c>
      <c r="R682" t="inlineStr">
        <is>
          <t>경북 경주시 안강읍 두류길 149</t>
        </is>
      </c>
    </row>
    <row r="683" ht="19.2" customHeight="1" s="1">
      <c r="A683" t="inlineStr">
        <is>
          <t>NICE:C24743</t>
        </is>
      </c>
      <c r="B683" t="inlineStr">
        <is>
          <t>톨리코리아</t>
        </is>
      </c>
      <c r="C683" t="inlineStr">
        <is>
          <t>여명권</t>
        </is>
      </c>
      <c r="D683" t="inlineStr">
        <is>
          <t>032-679-8222</t>
        </is>
      </c>
      <c r="E683" t="inlineStr">
        <is>
          <t>032-676-2555</t>
        </is>
      </c>
      <c r="F683" s="3">
        <f>HYPERLINK("http://www.tolykorea.com", "http://www.tolykorea.com")</f>
        <v/>
      </c>
      <c r="G683" t="inlineStr">
        <is>
          <t>1308624990</t>
        </is>
      </c>
      <c r="H683" t="inlineStr">
        <is>
          <t>1211110153254</t>
        </is>
      </c>
      <c r="I683" t="inlineStr">
        <is>
          <t>대상아님</t>
        </is>
      </c>
      <c r="J683" t="inlineStr">
        <is>
          <t>일반법인</t>
        </is>
      </c>
      <c r="K683" t="inlineStr">
        <is>
          <t>중소기업</t>
        </is>
      </c>
      <c r="L683" t="inlineStr">
        <is>
          <t>외부감사대상</t>
        </is>
      </c>
      <c r="M683" s="6" t="inlineStr">
        <is>
          <t>2007-01-03</t>
        </is>
      </c>
      <c r="N683" t="inlineStr">
        <is>
          <t>KRI:10C2223200</t>
        </is>
      </c>
      <c r="O683" t="inlineStr">
        <is>
          <t>포장용 플라스틱 성형용기 제조업</t>
        </is>
      </c>
      <c r="P683" t="inlineStr">
        <is>
          <t>화장품용기 제조,도소매/무역/식품용기,포장류,펌프,사출금형,브러쉬조립 제조</t>
        </is>
      </c>
      <c r="Q683" t="inlineStr">
        <is>
          <t>경기 부천시 원미구 도당동 222-19번지</t>
        </is>
      </c>
      <c r="R683" t="inlineStr">
        <is>
          <t>경기 부천시 원미구 옥산로213번길 60</t>
        </is>
      </c>
    </row>
    <row r="684" ht="19.2" customHeight="1" s="1">
      <c r="A684" t="inlineStr">
        <is>
          <t>NICE:C27340</t>
        </is>
      </c>
      <c r="B684" t="inlineStr">
        <is>
          <t>삼경에프에스</t>
        </is>
      </c>
      <c r="C684" t="inlineStr">
        <is>
          <t>노광현</t>
        </is>
      </c>
      <c r="D684" t="inlineStr">
        <is>
          <t>02-578-8385</t>
        </is>
      </c>
      <c r="E684" t="inlineStr">
        <is>
          <t>02-578-8381</t>
        </is>
      </c>
      <c r="F684" s="3">
        <f>HYPERLINK("http://www.samkyoung.com", "http://www.samkyoung.com")</f>
        <v/>
      </c>
      <c r="G684" t="inlineStr">
        <is>
          <t>1268188573</t>
        </is>
      </c>
      <c r="H684" t="inlineStr">
        <is>
          <t>1342110072241</t>
        </is>
      </c>
      <c r="I684" t="inlineStr">
        <is>
          <t>대상아님</t>
        </is>
      </c>
      <c r="J684" t="inlineStr">
        <is>
          <t>일반법인</t>
        </is>
      </c>
      <c r="K684" t="inlineStr">
        <is>
          <t>중견기업</t>
        </is>
      </c>
      <c r="L684" t="inlineStr">
        <is>
          <t>외부감사대상</t>
        </is>
      </c>
      <c r="M684" s="6" t="inlineStr">
        <is>
          <t>2005-06-08</t>
        </is>
      </c>
      <c r="N684" t="inlineStr">
        <is>
          <t>KRI:10G4632900</t>
        </is>
      </c>
      <c r="O684" t="inlineStr">
        <is>
          <t>기타 가공식품 도매업</t>
        </is>
      </c>
      <c r="P684" t="inlineStr">
        <is>
          <t>식품,잡화,건강기능식품 도소매,무역,전자상거래</t>
        </is>
      </c>
      <c r="Q684" t="inlineStr">
        <is>
          <t>서울 서초구 서초동 1365-22번지 삼경양재사옥 4층</t>
        </is>
      </c>
      <c r="R684" t="inlineStr">
        <is>
          <t>서울 서초구 남부순환로 2561, 4층 (서초동,삼경양재사옥)</t>
        </is>
      </c>
    </row>
    <row r="685" ht="19.2" customHeight="1" s="1">
      <c r="A685" t="inlineStr">
        <is>
          <t>NICE:C27520</t>
        </is>
      </c>
      <c r="B685" t="inlineStr">
        <is>
          <t>고려에프앤에프</t>
        </is>
      </c>
      <c r="C685" t="inlineStr">
        <is>
          <t>이승훈</t>
        </is>
      </c>
      <c r="D685" t="inlineStr">
        <is>
          <t>031-671-8700</t>
        </is>
      </c>
      <c r="E685" t="inlineStr">
        <is>
          <t>031-673-8760</t>
        </is>
      </c>
      <c r="F685" s="3">
        <f>HYPERLINK("http://www.cff.co.kr", "http://www.cff.co.kr")</f>
        <v/>
      </c>
      <c r="G685" t="inlineStr">
        <is>
          <t>1258156286</t>
        </is>
      </c>
      <c r="H685" t="inlineStr">
        <is>
          <t>1346110027454</t>
        </is>
      </c>
      <c r="I685" t="inlineStr">
        <is>
          <t>대상아님</t>
        </is>
      </c>
      <c r="J685" t="inlineStr">
        <is>
          <t>일반법인</t>
        </is>
      </c>
      <c r="K685" t="inlineStr">
        <is>
          <t>중견기업</t>
        </is>
      </c>
      <c r="L685" t="inlineStr">
        <is>
          <t>외부감사대상</t>
        </is>
      </c>
      <c r="M685" s="6" t="inlineStr">
        <is>
          <t>2005-02-01</t>
        </is>
      </c>
      <c r="N685" t="inlineStr">
        <is>
          <t>KRI:10C1074900</t>
        </is>
      </c>
      <c r="O685" t="inlineStr">
        <is>
          <t>기타 식품 첨가물 제조업</t>
        </is>
      </c>
      <c r="P685" t="inlineStr">
        <is>
          <t>향료,식품첨가물 제조</t>
        </is>
      </c>
      <c r="Q685" t="inlineStr">
        <is>
          <t>경기 안성시 미양면 보체리 404-1번지</t>
        </is>
      </c>
      <c r="R685" t="inlineStr">
        <is>
          <t>경기 안성시 미양면 안성맞춤대로 474-22</t>
        </is>
      </c>
    </row>
    <row r="686">
      <c r="A686" t="inlineStr">
        <is>
          <t>NICE:C33238</t>
        </is>
      </c>
      <c r="B686" t="inlineStr">
        <is>
          <t>굿트러스트</t>
        </is>
      </c>
      <c r="C686" t="inlineStr">
        <is>
          <t>박영근</t>
        </is>
      </c>
      <c r="D686" t="inlineStr">
        <is>
          <t>051-526-4018-9</t>
        </is>
      </c>
      <c r="E686" t="inlineStr">
        <is>
          <t>051-526-4028</t>
        </is>
      </c>
      <c r="G686" t="inlineStr">
        <is>
          <t>2418800104</t>
        </is>
      </c>
      <c r="H686" t="inlineStr">
        <is>
          <t>1801110983882</t>
        </is>
      </c>
      <c r="I686" t="inlineStr">
        <is>
          <t>대상아님</t>
        </is>
      </c>
      <c r="J686" t="inlineStr">
        <is>
          <t>일반법인</t>
        </is>
      </c>
      <c r="K686" t="inlineStr">
        <is>
          <t>중소기업</t>
        </is>
      </c>
      <c r="L686" t="inlineStr">
        <is>
          <t>외부감사대상</t>
        </is>
      </c>
      <c r="M686" s="6" t="inlineStr">
        <is>
          <t>2007-01-01</t>
        </is>
      </c>
      <c r="N686" t="inlineStr">
        <is>
          <t>KRI:10C1419100</t>
        </is>
      </c>
      <c r="O686" t="inlineStr">
        <is>
          <t>셔츠 및 블라우스 제조업</t>
        </is>
      </c>
      <c r="P686" t="inlineStr">
        <is>
          <t>의류(셔츠,블라우스) 제조</t>
        </is>
      </c>
      <c r="Q686" t="inlineStr">
        <is>
          <t>부산 동구 초량동 1162-9번지 지티빌딩 10층</t>
        </is>
      </c>
      <c r="R686" t="inlineStr">
        <is>
          <t>부산 동구 중앙대로286번길 7, 10층 (초량동,지티빌딩)</t>
        </is>
      </c>
    </row>
    <row r="687" ht="19.2" customHeight="1" s="1">
      <c r="A687" t="inlineStr">
        <is>
          <t>NICE:C34913</t>
        </is>
      </c>
      <c r="B687" t="inlineStr">
        <is>
          <t>태광후지킨</t>
        </is>
      </c>
      <c r="C687" t="inlineStr">
        <is>
          <t>카미오세이지</t>
        </is>
      </c>
      <c r="D687" t="inlineStr">
        <is>
          <t>051-608-6500</t>
        </is>
      </c>
      <c r="E687" t="inlineStr">
        <is>
          <t>051-608-6599</t>
        </is>
      </c>
      <c r="F687" s="3">
        <f>HYPERLINK("http://www.tk-fujikin.com", "http://www.tk-fujikin.com")</f>
        <v/>
      </c>
      <c r="G687" t="inlineStr">
        <is>
          <t>1358192203</t>
        </is>
      </c>
      <c r="H687" t="inlineStr">
        <is>
          <t>1358110141233</t>
        </is>
      </c>
      <c r="I687" t="inlineStr">
        <is>
          <t>대상아님</t>
        </is>
      </c>
      <c r="J687" t="inlineStr">
        <is>
          <t>일반법인</t>
        </is>
      </c>
      <c r="K687" t="inlineStr">
        <is>
          <t>중견기업</t>
        </is>
      </c>
      <c r="L687" t="inlineStr">
        <is>
          <t>외부감사대상</t>
        </is>
      </c>
      <c r="M687" s="6" t="inlineStr">
        <is>
          <t>2007-06-26</t>
        </is>
      </c>
      <c r="N687" t="inlineStr">
        <is>
          <t>KRI:10C2913300</t>
        </is>
      </c>
      <c r="O687" t="inlineStr">
        <is>
          <t>탭, 밸브 및 유사장치 제조업</t>
        </is>
      </c>
      <c r="P687" t="inlineStr">
        <is>
          <t>탭,밸브유사 장치 제조,도매/각종기계,부품 관리유지 보수</t>
        </is>
      </c>
      <c r="Q687" t="inlineStr">
        <is>
          <t>부산 강서구 화전동 579-8번지</t>
        </is>
      </c>
      <c r="R687" t="inlineStr">
        <is>
          <t>부산 강서구 화전산단3로 32</t>
        </is>
      </c>
    </row>
    <row r="688" ht="19.2" customHeight="1" s="1">
      <c r="A688" t="inlineStr">
        <is>
          <t>NICE:C35189</t>
        </is>
      </c>
      <c r="B688" t="inlineStr">
        <is>
          <t>켐피아</t>
        </is>
      </c>
      <c r="C688" t="inlineStr">
        <is>
          <t>신용화</t>
        </is>
      </c>
      <c r="D688" t="inlineStr">
        <is>
          <t>031-606-9510</t>
        </is>
      </c>
      <c r="E688" t="inlineStr">
        <is>
          <t>050-7555-0139</t>
        </is>
      </c>
      <c r="F688" s="3">
        <f>HYPERLINK("http://www.chempia.net", "http://www.chempia.net")</f>
        <v/>
      </c>
      <c r="G688" t="inlineStr">
        <is>
          <t>1348642777</t>
        </is>
      </c>
      <c r="H688" t="inlineStr">
        <is>
          <t>1314110202764</t>
        </is>
      </c>
      <c r="I688" t="inlineStr">
        <is>
          <t>대상아님</t>
        </is>
      </c>
      <c r="J688" t="inlineStr">
        <is>
          <t>일반법인</t>
        </is>
      </c>
      <c r="K688" t="inlineStr">
        <is>
          <t>중소기업</t>
        </is>
      </c>
      <c r="L688" t="inlineStr">
        <is>
          <t>외부감사대상</t>
        </is>
      </c>
      <c r="M688" s="6" t="inlineStr">
        <is>
          <t>2007-10-09</t>
        </is>
      </c>
      <c r="N688" t="inlineStr">
        <is>
          <t>KRI:10G4673900</t>
        </is>
      </c>
      <c r="O688" t="inlineStr">
        <is>
          <t>기타 화학물질 및 화학제품 도매업</t>
        </is>
      </c>
      <c r="P688" t="inlineStr">
        <is>
          <t>화학약품,나노소재 도소매,무역/합성수지,첨가제 제조/연구 개발(나노소재,화장품원료,합성수지,첨가제)</t>
        </is>
      </c>
      <c r="Q688" t="inlineStr">
        <is>
          <t>경기 수원시 영통구 이의동 1283번지 광교센트럴비즈타워지식산업센터 제11층 1108호, 1109호, 1110호, 1111호</t>
        </is>
      </c>
      <c r="R688" t="inlineStr">
        <is>
          <t>경기 수원시 영통구 창룡대로 260, 제11층 1108호, 1109호, 1110호, 1111호 (이의동,광교센트럴비즈타워지식산업센터)</t>
        </is>
      </c>
    </row>
    <row r="689" ht="19.2" customHeight="1" s="1">
      <c r="A689" t="inlineStr">
        <is>
          <t>NICE:C36577</t>
        </is>
      </c>
      <c r="B689" t="inlineStr">
        <is>
          <t>제이씨유코리아</t>
        </is>
      </c>
      <c r="C689" t="inlineStr">
        <is>
          <t>아라아케후미히코</t>
        </is>
      </c>
      <c r="D689" t="inlineStr">
        <is>
          <t>031-389-2095</t>
        </is>
      </c>
      <c r="E689" t="inlineStr">
        <is>
          <t>031-389-2099</t>
        </is>
      </c>
      <c r="F689" s="3">
        <f>HYPERLINK("http://www.jcu-kor.com", "http://www.jcu-kor.com")</f>
        <v/>
      </c>
      <c r="G689" t="inlineStr">
        <is>
          <t>1388141396</t>
        </is>
      </c>
      <c r="H689" t="inlineStr">
        <is>
          <t>1341110155619</t>
        </is>
      </c>
      <c r="I689" t="inlineStr">
        <is>
          <t>대상아님</t>
        </is>
      </c>
      <c r="J689" t="inlineStr">
        <is>
          <t>일반법인</t>
        </is>
      </c>
      <c r="K689" t="inlineStr">
        <is>
          <t>중소기업</t>
        </is>
      </c>
      <c r="L689" t="inlineStr">
        <is>
          <t>외부감사대상</t>
        </is>
      </c>
      <c r="M689" s="6" t="inlineStr">
        <is>
          <t>2007-06-21</t>
        </is>
      </c>
      <c r="N689" t="inlineStr">
        <is>
          <t>KRI:10C2049900</t>
        </is>
      </c>
      <c r="O689" t="inlineStr">
        <is>
          <t>그 외 기타 분류 안된 화학제품 제조업</t>
        </is>
      </c>
      <c r="P689" t="inlineStr">
        <is>
          <t>표면처리용약품 제조,도매/산업용기초화합물 도매/무역/연구개발</t>
        </is>
      </c>
      <c r="Q689" t="inlineStr">
        <is>
          <t>경기 안양시 동안구 관양동 1802번지 평촌오비즈타워 903호, 904호</t>
        </is>
      </c>
      <c r="R689" t="inlineStr">
        <is>
          <t>경기 안양시 동안구 벌말로 126, 903호, 904호 (관양동,평촌오비즈타워)</t>
        </is>
      </c>
    </row>
    <row r="690" ht="19.2" customHeight="1" s="1">
      <c r="A690" t="inlineStr">
        <is>
          <t>NICE:C37523</t>
        </is>
      </c>
      <c r="B690" t="inlineStr">
        <is>
          <t>피타소프트</t>
        </is>
      </c>
      <c r="C690" t="inlineStr">
        <is>
          <t>허현민</t>
        </is>
      </c>
      <c r="D690" t="inlineStr">
        <is>
          <t>031-8039-7789</t>
        </is>
      </c>
      <c r="E690" t="inlineStr">
        <is>
          <t>02-6947-4696</t>
        </is>
      </c>
      <c r="F690" s="3">
        <f>HYPERLINK("http://www.blackvue.com", "http://www.blackvue.com")</f>
        <v/>
      </c>
      <c r="G690" t="inlineStr">
        <is>
          <t>1198199771</t>
        </is>
      </c>
      <c r="H690" t="inlineStr">
        <is>
          <t>1101113706821</t>
        </is>
      </c>
      <c r="I690" t="inlineStr">
        <is>
          <t>대상아님</t>
        </is>
      </c>
      <c r="J690" t="inlineStr">
        <is>
          <t>일반법인</t>
        </is>
      </c>
      <c r="K690" t="inlineStr">
        <is>
          <t>중소기업</t>
        </is>
      </c>
      <c r="L690" t="inlineStr">
        <is>
          <t>외부감사대상</t>
        </is>
      </c>
      <c r="M690" s="6" t="inlineStr">
        <is>
          <t>2007-06-27</t>
        </is>
      </c>
      <c r="N690" t="inlineStr">
        <is>
          <t>KRI:10C2651900</t>
        </is>
      </c>
      <c r="O690" t="inlineStr">
        <is>
          <t>비디오 및 기타 영상기기 제조업</t>
        </is>
      </c>
      <c r="P690" t="inlineStr">
        <is>
          <t>블랙박스,영상정보처리기기 제조/소프트웨어 개발/무역,전자상거래/운송장비(수상,항공장비) 임대</t>
        </is>
      </c>
      <c r="Q690" t="inlineStr">
        <is>
          <t>경기 성남시 분당구 삼평동 690번지 에이비엔타워 4층</t>
        </is>
      </c>
      <c r="R690" t="inlineStr">
        <is>
          <t>경기 성남시 분당구 판교로 331, 4층 (삼평동,에이비엔타워)</t>
        </is>
      </c>
    </row>
    <row r="691">
      <c r="A691" t="inlineStr">
        <is>
          <t>NICE:C37644</t>
        </is>
      </c>
      <c r="B691" t="inlineStr">
        <is>
          <t>자라리테일코리아</t>
        </is>
      </c>
      <c r="C691" t="inlineStr">
        <is>
          <t>이반바베라뜨라스뿌에스또</t>
        </is>
      </c>
      <c r="D691" t="inlineStr">
        <is>
          <t>02-3413-9800</t>
        </is>
      </c>
      <c r="E691" t="inlineStr">
        <is>
          <t>02-3413-9899</t>
        </is>
      </c>
      <c r="G691" t="inlineStr">
        <is>
          <t>1018635543</t>
        </is>
      </c>
      <c r="H691" t="inlineStr">
        <is>
          <t>1101113777343</t>
        </is>
      </c>
      <c r="I691" t="inlineStr">
        <is>
          <t>대상아님</t>
        </is>
      </c>
      <c r="J691" t="inlineStr">
        <is>
          <t>일반법인</t>
        </is>
      </c>
      <c r="K691" t="inlineStr">
        <is>
          <t>중견기업</t>
        </is>
      </c>
      <c r="L691" t="inlineStr">
        <is>
          <t>외부감사대상</t>
        </is>
      </c>
      <c r="M691" s="6" t="inlineStr">
        <is>
          <t>2007-10-29</t>
        </is>
      </c>
      <c r="N691" t="inlineStr">
        <is>
          <t>KRI:10G4641300</t>
        </is>
      </c>
      <c r="O691" t="inlineStr">
        <is>
          <t>남녀용 겉옷 및 셔츠 도매업</t>
        </is>
      </c>
      <c r="P691" t="inlineStr">
        <is>
          <t>의류(남녀용정장),신발,악세사리 도소매,무역</t>
        </is>
      </c>
      <c r="Q691" t="inlineStr">
        <is>
          <t>서울 강남구 삼성동 159-1번지 20층</t>
        </is>
      </c>
      <c r="R691" t="inlineStr">
        <is>
          <t>서울 강남구 영동대로 511, 20층</t>
        </is>
      </c>
    </row>
    <row r="692" ht="19.2" customHeight="1" s="1">
      <c r="A692" t="inlineStr">
        <is>
          <t>NICE:C40385</t>
        </is>
      </c>
      <c r="B692" t="inlineStr">
        <is>
          <t>고려기프트</t>
        </is>
      </c>
      <c r="C692" t="inlineStr">
        <is>
          <t>김금숙/이흥원</t>
        </is>
      </c>
      <c r="D692" t="inlineStr">
        <is>
          <t>02-956-6700</t>
        </is>
      </c>
      <c r="E692" t="inlineStr">
        <is>
          <t>02-956-0330</t>
        </is>
      </c>
      <c r="F692" s="3">
        <f>HYPERLINK("http://www.koreagift.com", "http://www.koreagift.com")</f>
        <v/>
      </c>
      <c r="G692" t="inlineStr">
        <is>
          <t>2108160114</t>
        </is>
      </c>
      <c r="H692" t="inlineStr">
        <is>
          <t>1101113820001</t>
        </is>
      </c>
      <c r="I692" t="inlineStr">
        <is>
          <t>대상아님</t>
        </is>
      </c>
      <c r="J692" t="inlineStr">
        <is>
          <t>일반법인</t>
        </is>
      </c>
      <c r="K692" t="inlineStr">
        <is>
          <t>중소기업</t>
        </is>
      </c>
      <c r="L692" t="inlineStr">
        <is>
          <t>외부감사대상</t>
        </is>
      </c>
      <c r="M692" s="6" t="inlineStr">
        <is>
          <t>2008-01-09</t>
        </is>
      </c>
      <c r="N692" t="inlineStr">
        <is>
          <t>KRI:10G4679900</t>
        </is>
      </c>
      <c r="O692" t="inlineStr">
        <is>
          <t>그 외 기타 상품 전문 도매업</t>
        </is>
      </c>
      <c r="P692" t="inlineStr">
        <is>
          <t>판촉물 도소매,무역,제조</t>
        </is>
      </c>
      <c r="Q692" t="inlineStr">
        <is>
          <t>서울 도봉구 도봉동 352-3번지</t>
        </is>
      </c>
      <c r="R692" t="inlineStr">
        <is>
          <t>서울 도봉구 도봉로191가길 8</t>
        </is>
      </c>
    </row>
    <row r="693" ht="19.2" customHeight="1" s="1">
      <c r="A693" t="inlineStr">
        <is>
          <t>NICE:C43445</t>
        </is>
      </c>
      <c r="B693" t="inlineStr">
        <is>
          <t>디앤티</t>
        </is>
      </c>
      <c r="C693" t="inlineStr">
        <is>
          <t>박해일</t>
        </is>
      </c>
      <c r="D693" t="inlineStr">
        <is>
          <t>042-360-8000</t>
        </is>
      </c>
      <c r="E693" t="inlineStr">
        <is>
          <t>042-367-3510</t>
        </is>
      </c>
      <c r="F693" s="3">
        <f>HYPERLINK("http://www.dntinc.co.kr", "http://www.dntinc.co.kr")</f>
        <v/>
      </c>
      <c r="G693" t="inlineStr">
        <is>
          <t>3148600432</t>
        </is>
      </c>
      <c r="H693" t="inlineStr">
        <is>
          <t>1601110247430</t>
        </is>
      </c>
      <c r="I693" t="inlineStr">
        <is>
          <t>대상아님</t>
        </is>
      </c>
      <c r="J693" t="inlineStr">
        <is>
          <t>일반법인</t>
        </is>
      </c>
      <c r="K693" t="inlineStr">
        <is>
          <t>중소기업</t>
        </is>
      </c>
      <c r="L693" t="inlineStr">
        <is>
          <t>외부감사대상</t>
        </is>
      </c>
      <c r="M693" s="6" t="inlineStr">
        <is>
          <t>2008-09-06</t>
        </is>
      </c>
      <c r="N693" t="inlineStr">
        <is>
          <t>KRI:10C2651900</t>
        </is>
      </c>
      <c r="O693" t="inlineStr">
        <is>
          <t>비디오 및 기타 영상기기 제조업</t>
        </is>
      </c>
      <c r="P693" t="inlineStr">
        <is>
          <t>디스플레이관련제품,반도체부품,통신부품 제조/정보통신공사/부동산 임대/시스템,응용 소프트웨어 개발,공급</t>
        </is>
      </c>
      <c r="Q693" t="inlineStr">
        <is>
          <t>대전 유성구 장동 59-9번지</t>
        </is>
      </c>
      <c r="R693" t="inlineStr">
        <is>
          <t>대전 유성구 가정북로 26-121</t>
        </is>
      </c>
    </row>
    <row r="694" ht="19.2" customHeight="1" s="1">
      <c r="A694" t="inlineStr">
        <is>
          <t>NICE:C43985</t>
        </is>
      </c>
      <c r="B694" t="inlineStr">
        <is>
          <t>에이케이인터렉티브</t>
        </is>
      </c>
      <c r="C694" t="inlineStr">
        <is>
          <t>심호규</t>
        </is>
      </c>
      <c r="D694" t="inlineStr">
        <is>
          <t>031-709-2942</t>
        </is>
      </c>
      <c r="E694" t="inlineStr">
        <is>
          <t>031-709-2719</t>
        </is>
      </c>
      <c r="F694" s="3">
        <f>HYPERLINK("http://www.akinteractive.co.kr", "http://www.akinteractive.co.kr")</f>
        <v/>
      </c>
      <c r="G694" t="inlineStr">
        <is>
          <t>2148822784</t>
        </is>
      </c>
      <c r="H694" t="inlineStr">
        <is>
          <t>1101113842667</t>
        </is>
      </c>
      <c r="I694" t="inlineStr">
        <is>
          <t>대상아님</t>
        </is>
      </c>
      <c r="J694" t="inlineStr">
        <is>
          <t>일반법인</t>
        </is>
      </c>
      <c r="K694" t="inlineStr">
        <is>
          <t>중소기업</t>
        </is>
      </c>
      <c r="L694" t="inlineStr">
        <is>
          <t>외부감사대상</t>
        </is>
      </c>
      <c r="M694" s="6" t="inlineStr">
        <is>
          <t>2008-02-18</t>
        </is>
      </c>
      <c r="N694" t="inlineStr">
        <is>
          <t>KRI:10J5821100</t>
        </is>
      </c>
      <c r="O694" t="inlineStr">
        <is>
          <t>유선 온라인 게임 소프트웨어 개발 및 공급업</t>
        </is>
      </c>
      <c r="P694" t="inlineStr">
        <is>
          <t>게임소프트웨어 개발,공급,모바일컨텐츠/비주거용건물 개발,공급,임대</t>
        </is>
      </c>
      <c r="Q694" t="inlineStr">
        <is>
          <t>경기 성남시 분당구 운중동 939번지</t>
        </is>
      </c>
      <c r="R694" t="inlineStr">
        <is>
          <t>경기 성남시 분당구 운중로 146</t>
        </is>
      </c>
    </row>
    <row r="695" ht="19.2" customHeight="1" s="1">
      <c r="A695" t="inlineStr">
        <is>
          <t>NICE:C44977</t>
        </is>
      </c>
      <c r="B695" t="inlineStr">
        <is>
          <t>에이취휴먼테크</t>
        </is>
      </c>
      <c r="C695" t="inlineStr">
        <is>
          <t>성다일</t>
        </is>
      </c>
      <c r="D695" t="inlineStr">
        <is>
          <t>02-2062-8902</t>
        </is>
      </c>
      <c r="E695" t="inlineStr">
        <is>
          <t>02-6455-8905</t>
        </is>
      </c>
      <c r="F695" s="3">
        <f>HYPERLINK("http://www.he.co.kr", "http://www.he.co.kr")</f>
        <v/>
      </c>
      <c r="G695" t="inlineStr">
        <is>
          <t>1098606173</t>
        </is>
      </c>
      <c r="H695" t="inlineStr">
        <is>
          <t>1101113601211</t>
        </is>
      </c>
      <c r="I695" t="inlineStr">
        <is>
          <t>대상아님</t>
        </is>
      </c>
      <c r="J695" t="inlineStr">
        <is>
          <t>일반법인</t>
        </is>
      </c>
      <c r="K695" t="inlineStr">
        <is>
          <t>중소기업</t>
        </is>
      </c>
      <c r="L695" t="inlineStr">
        <is>
          <t>외부감사비대상</t>
        </is>
      </c>
      <c r="M695" s="6" t="inlineStr">
        <is>
          <t>2007-01-16</t>
        </is>
      </c>
      <c r="N695" t="inlineStr">
        <is>
          <t>KRI:10M7212900</t>
        </is>
      </c>
      <c r="O695" t="inlineStr">
        <is>
          <t>기타 엔지니어링 서비스업</t>
        </is>
      </c>
      <c r="P695" t="inlineStr">
        <is>
          <t>기술용역/소프트웨어 개발/컴퓨터시스템,주변기기 제조,도소매</t>
        </is>
      </c>
      <c r="Q695" t="inlineStr">
        <is>
          <t>서울 강서구 가양동 449-21번지 한화비즈메트로2차 701호</t>
        </is>
      </c>
      <c r="R695" t="inlineStr">
        <is>
          <t>서울 강서구 양천로 551-24, 701호 (가양동,한화비즈메트로2차)</t>
        </is>
      </c>
    </row>
    <row r="696" ht="19.2" customHeight="1" s="1">
      <c r="A696" t="inlineStr">
        <is>
          <t>NICE:C46048</t>
        </is>
      </c>
      <c r="B696" t="inlineStr">
        <is>
          <t>동아출판</t>
        </is>
      </c>
      <c r="C696" t="inlineStr">
        <is>
          <t>김석환/이욱상</t>
        </is>
      </c>
      <c r="D696" t="inlineStr">
        <is>
          <t>02-2229-7223</t>
        </is>
      </c>
      <c r="E696" t="inlineStr">
        <is>
          <t>02-2229-7219</t>
        </is>
      </c>
      <c r="F696" s="3">
        <f>HYPERLINK("http://www.dongapublishing.com", "http://www.dongapublishing.com")</f>
        <v/>
      </c>
      <c r="G696" t="inlineStr">
        <is>
          <t>1018642059</t>
        </is>
      </c>
      <c r="H696" t="inlineStr">
        <is>
          <t>1101113977117</t>
        </is>
      </c>
      <c r="I696" t="inlineStr">
        <is>
          <t>대상아님</t>
        </is>
      </c>
      <c r="J696" t="inlineStr">
        <is>
          <t>일반법인</t>
        </is>
      </c>
      <c r="K696" t="inlineStr">
        <is>
          <t>중견기업</t>
        </is>
      </c>
      <c r="L696" t="inlineStr">
        <is>
          <t>외부감사대상</t>
        </is>
      </c>
      <c r="M696" s="6" t="inlineStr">
        <is>
          <t>2008-10-01</t>
        </is>
      </c>
      <c r="N696" t="inlineStr">
        <is>
          <t>KRI:10J5811100</t>
        </is>
      </c>
      <c r="O696" t="inlineStr">
        <is>
          <t>교과서 및 학습서적 출판업</t>
        </is>
      </c>
      <c r="P696" t="inlineStr">
        <is>
          <t>출판(검인정교과서,학습참고서),인쇄(상업인쇄),CD-ROM 복제 제조/인터넷교육원격평생교육,광고</t>
        </is>
      </c>
      <c r="Q696" t="inlineStr">
        <is>
          <t>서울 영등포구 여의도동 16-2번지</t>
        </is>
      </c>
      <c r="R696" t="inlineStr">
        <is>
          <t>서울 영등포구 은행로 30</t>
        </is>
      </c>
    </row>
    <row r="697">
      <c r="A697" t="inlineStr">
        <is>
          <t>NICE:C51751</t>
        </is>
      </c>
      <c r="B697" t="inlineStr">
        <is>
          <t>에이엠티</t>
        </is>
      </c>
      <c r="C697" t="inlineStr">
        <is>
          <t>김진천</t>
        </is>
      </c>
      <c r="D697" t="inlineStr">
        <is>
          <t>031-8047-0413</t>
        </is>
      </c>
      <c r="E697" t="inlineStr">
        <is>
          <t>031-8047-0416</t>
        </is>
      </c>
      <c r="G697" t="inlineStr">
        <is>
          <t>5138150679</t>
        </is>
      </c>
      <c r="H697" t="inlineStr">
        <is>
          <t>1760110056281</t>
        </is>
      </c>
      <c r="I697" t="inlineStr">
        <is>
          <t>대상아님</t>
        </is>
      </c>
      <c r="J697" t="inlineStr">
        <is>
          <t>일반법인</t>
        </is>
      </c>
      <c r="K697" t="inlineStr">
        <is>
          <t>중소기업</t>
        </is>
      </c>
      <c r="L697" t="inlineStr">
        <is>
          <t>외부감사대상</t>
        </is>
      </c>
      <c r="M697" s="6" t="inlineStr">
        <is>
          <t>2008-10-20</t>
        </is>
      </c>
      <c r="N697" t="inlineStr">
        <is>
          <t>KRI:10C3132200</t>
        </is>
      </c>
      <c r="O697" t="inlineStr">
        <is>
          <t>항공기용 부품 제조업</t>
        </is>
      </c>
      <c r="P697" t="inlineStr">
        <is>
          <t>항공우주부품,기계,금속가공,전자통신기기 제조/부동산 임대/연구개발</t>
        </is>
      </c>
      <c r="Q697" t="inlineStr">
        <is>
          <t>경기 화성시 효행구 정남면 제기리 182-6번지</t>
        </is>
      </c>
      <c r="R697" t="inlineStr">
        <is>
          <t>경기 화성시 효행구 정남면 제기길 144</t>
        </is>
      </c>
    </row>
    <row r="698">
      <c r="A698" t="inlineStr">
        <is>
          <t>NICE:C60113</t>
        </is>
      </c>
      <c r="B698" t="inlineStr">
        <is>
          <t>농업회사법인행복한농장</t>
        </is>
      </c>
      <c r="C698" t="inlineStr">
        <is>
          <t>김현섭</t>
        </is>
      </c>
      <c r="D698" t="inlineStr">
        <is>
          <t>063-453-8788</t>
        </is>
      </c>
      <c r="E698" t="inlineStr">
        <is>
          <t>063-453-8789</t>
        </is>
      </c>
      <c r="G698" t="inlineStr">
        <is>
          <t>4018127647</t>
        </is>
      </c>
      <c r="H698" t="inlineStr">
        <is>
          <t>2111110019415</t>
        </is>
      </c>
      <c r="I698" t="inlineStr">
        <is>
          <t>대상아님</t>
        </is>
      </c>
      <c r="J698" t="inlineStr">
        <is>
          <t>일반법인</t>
        </is>
      </c>
      <c r="K698" t="inlineStr">
        <is>
          <t>중소기업</t>
        </is>
      </c>
      <c r="L698" t="inlineStr">
        <is>
          <t>외부감사대상</t>
        </is>
      </c>
      <c r="M698" s="6" t="inlineStr">
        <is>
          <t>2005-05-27</t>
        </is>
      </c>
      <c r="N698" t="inlineStr">
        <is>
          <t>KRI:10A0122000</t>
        </is>
      </c>
      <c r="O698" t="inlineStr">
        <is>
          <t>양돈업</t>
        </is>
      </c>
      <c r="P698" t="inlineStr">
        <is>
          <t>양돈(종돈,비육돈)</t>
        </is>
      </c>
      <c r="Q698" t="inlineStr">
        <is>
          <t>전북 군산시 나포면 부곡리 568-6번지</t>
        </is>
      </c>
      <c r="R698" t="inlineStr">
        <is>
          <t>전북 군산시 나포면 우곡제길 84-19</t>
        </is>
      </c>
    </row>
    <row r="699">
      <c r="A699" t="inlineStr">
        <is>
          <t>NICE:C64227</t>
        </is>
      </c>
      <c r="B699" t="inlineStr">
        <is>
          <t>모트렉스에이디엠</t>
        </is>
      </c>
      <c r="C699" t="inlineStr">
        <is>
          <t>김기태/송은희</t>
        </is>
      </c>
      <c r="D699" t="inlineStr">
        <is>
          <t>043-260-0064</t>
        </is>
      </c>
      <c r="G699" t="inlineStr">
        <is>
          <t>3018189168</t>
        </is>
      </c>
      <c r="H699" t="inlineStr">
        <is>
          <t>1501110094932</t>
        </is>
      </c>
      <c r="I699" t="inlineStr">
        <is>
          <t>대상아님</t>
        </is>
      </c>
      <c r="J699" t="inlineStr">
        <is>
          <t>일반법인</t>
        </is>
      </c>
      <c r="K699" t="inlineStr">
        <is>
          <t>중소기업</t>
        </is>
      </c>
      <c r="L699" t="inlineStr">
        <is>
          <t>외부감사대상</t>
        </is>
      </c>
      <c r="M699" s="6" t="inlineStr">
        <is>
          <t>2006-02-20</t>
        </is>
      </c>
      <c r="N699" t="inlineStr">
        <is>
          <t>KRI:10C1399200</t>
        </is>
      </c>
      <c r="O699" t="inlineStr">
        <is>
          <t>부직포 및 펠트 제조업</t>
        </is>
      </c>
      <c r="P699" t="inlineStr">
        <is>
          <t>차량용부직포,카페트,휄트,섬유제품 제조</t>
        </is>
      </c>
      <c r="Q699" t="inlineStr">
        <is>
          <t>충북 청주시 흥덕구 옥산면 금계리 673-7번지</t>
        </is>
      </c>
      <c r="R699" t="inlineStr">
        <is>
          <t>충북 청주시 흥덕구 옥산면 환희2길 188</t>
        </is>
      </c>
    </row>
    <row r="700" ht="19.2" customHeight="1" s="1">
      <c r="A700" t="inlineStr">
        <is>
          <t>NICE:C64277</t>
        </is>
      </c>
      <c r="B700" t="inlineStr">
        <is>
          <t>영민하이테크</t>
        </is>
      </c>
      <c r="C700" t="inlineStr">
        <is>
          <t>노기영</t>
        </is>
      </c>
      <c r="D700" t="inlineStr">
        <is>
          <t>041-545-1794</t>
        </is>
      </c>
      <c r="E700" t="inlineStr">
        <is>
          <t>041-545-1562</t>
        </is>
      </c>
      <c r="F700" s="3">
        <f>HYPERLINK("http://www.ymht.co.kr", "http://www.ymht.co.kr")</f>
        <v/>
      </c>
      <c r="G700" t="inlineStr">
        <is>
          <t>3128164357</t>
        </is>
      </c>
      <c r="H700" t="inlineStr">
        <is>
          <t>1648110027884</t>
        </is>
      </c>
      <c r="I700" t="inlineStr">
        <is>
          <t>대상아님</t>
        </is>
      </c>
      <c r="J700" t="inlineStr">
        <is>
          <t>일반법인</t>
        </is>
      </c>
      <c r="K700" t="inlineStr">
        <is>
          <t>중소기업</t>
        </is>
      </c>
      <c r="L700" t="inlineStr">
        <is>
          <t>외부감사대상</t>
        </is>
      </c>
      <c r="M700" s="6" t="inlineStr">
        <is>
          <t>2003-08-22</t>
        </is>
      </c>
      <c r="N700" t="inlineStr">
        <is>
          <t>KRI:10C3039900</t>
        </is>
      </c>
      <c r="O700" t="inlineStr">
        <is>
          <t>그 외 자동차용 신품 부품 제조업</t>
        </is>
      </c>
      <c r="P700" t="inlineStr">
        <is>
          <t>자동차부품,물류용기 제작/무역/비주거용건물 임대</t>
        </is>
      </c>
      <c r="Q700" t="inlineStr">
        <is>
          <t>충남 아산시 둔포면 관대리 127-1번지</t>
        </is>
      </c>
      <c r="R700" t="inlineStr">
        <is>
          <t>충남 아산시 둔포면 관대길 84</t>
        </is>
      </c>
    </row>
    <row r="701" ht="19.2" customHeight="1" s="1">
      <c r="A701" t="inlineStr">
        <is>
          <t>NICE:C68602</t>
        </is>
      </c>
      <c r="B701" t="inlineStr">
        <is>
          <t>허스트중앙</t>
        </is>
      </c>
      <c r="C701" t="inlineStr">
        <is>
          <t>강주연</t>
        </is>
      </c>
      <c r="D701" t="inlineStr">
        <is>
          <t>02-2031-8259</t>
        </is>
      </c>
      <c r="E701" t="inlineStr">
        <is>
          <t>02-2031-8215</t>
        </is>
      </c>
      <c r="F701" s="3">
        <f>HYPERLINK("http://www.hjmembers.co.kr", "http://www.hjmembers.co.kr")</f>
        <v/>
      </c>
      <c r="G701" t="inlineStr">
        <is>
          <t>1048155280</t>
        </is>
      </c>
      <c r="H701" t="inlineStr">
        <is>
          <t>1101140031613</t>
        </is>
      </c>
      <c r="I701" t="inlineStr">
        <is>
          <t>대상아님</t>
        </is>
      </c>
      <c r="J701" t="inlineStr">
        <is>
          <t>일반법인</t>
        </is>
      </c>
      <c r="K701" t="inlineStr">
        <is>
          <t>중견기업</t>
        </is>
      </c>
      <c r="L701" t="inlineStr">
        <is>
          <t>외부감사대상</t>
        </is>
      </c>
      <c r="M701" s="6" t="inlineStr">
        <is>
          <t>2000-07-18</t>
        </is>
      </c>
      <c r="N701" t="inlineStr">
        <is>
          <t>KRI:10J5812200</t>
        </is>
      </c>
      <c r="O701" t="inlineStr">
        <is>
          <t>잡지 및 정기간행물 발행업</t>
        </is>
      </c>
      <c r="P701" t="inlineStr">
        <is>
          <t>정기간행물,도서 출판,도소매/인터넷정보 제공</t>
        </is>
      </c>
      <c r="Q701" t="inlineStr">
        <is>
          <t>서울 강남구 논현동 6-13번지</t>
        </is>
      </c>
      <c r="R701" t="inlineStr">
        <is>
          <t>서울 강남구 도산대로 156</t>
        </is>
      </c>
    </row>
    <row r="702">
      <c r="A702" t="inlineStr">
        <is>
          <t>NICE:C75814</t>
        </is>
      </c>
      <c r="B702" t="inlineStr">
        <is>
          <t>유림</t>
        </is>
      </c>
      <c r="C702" t="inlineStr">
        <is>
          <t>고종원</t>
        </is>
      </c>
      <c r="D702" t="inlineStr">
        <is>
          <t>02-898-3326</t>
        </is>
      </c>
      <c r="E702" t="inlineStr">
        <is>
          <t>02-898-3387</t>
        </is>
      </c>
      <c r="G702" t="inlineStr">
        <is>
          <t>1408103565</t>
        </is>
      </c>
      <c r="H702" t="inlineStr">
        <is>
          <t>1349110029173</t>
        </is>
      </c>
      <c r="I702" t="inlineStr">
        <is>
          <t>대상아님</t>
        </is>
      </c>
      <c r="J702" t="inlineStr">
        <is>
          <t>일반법인</t>
        </is>
      </c>
      <c r="K702" t="inlineStr">
        <is>
          <t>중소기업</t>
        </is>
      </c>
      <c r="L702" t="inlineStr">
        <is>
          <t>외부감사대상</t>
        </is>
      </c>
      <c r="M702" s="6" t="inlineStr">
        <is>
          <t>2004-09-07</t>
        </is>
      </c>
      <c r="N702" t="inlineStr">
        <is>
          <t>KRI:10G4644100</t>
        </is>
      </c>
      <c r="O702" t="inlineStr">
        <is>
          <t>의약품 도매업</t>
        </is>
      </c>
      <c r="P702" t="inlineStr">
        <is>
          <t>의약품,의료용품 도소매</t>
        </is>
      </c>
      <c r="Q702" t="inlineStr">
        <is>
          <t>경기 광명시 일직동 510-1번지</t>
        </is>
      </c>
      <c r="R702" t="inlineStr">
        <is>
          <t>경기 광명시 덕안로77번길 9</t>
        </is>
      </c>
    </row>
    <row r="703" ht="19.2" customHeight="1" s="1">
      <c r="A703" t="inlineStr">
        <is>
          <t>NICE:C76841</t>
        </is>
      </c>
      <c r="B703" t="inlineStr">
        <is>
          <t>씰리코리아컴퍼니</t>
        </is>
      </c>
      <c r="C703" t="inlineStr">
        <is>
          <t>데이비드몽고메리/싸이먼제이다이어/조지안소니다이어/마이클존포페</t>
        </is>
      </c>
      <c r="D703" t="inlineStr">
        <is>
          <t>1588-7703</t>
        </is>
      </c>
      <c r="E703" t="inlineStr">
        <is>
          <t>02-3481-3094</t>
        </is>
      </c>
      <c r="F703" s="3">
        <f>HYPERLINK("http://www.sealy.co.kr", "http://www.sealy.co.kr")</f>
        <v/>
      </c>
      <c r="G703" t="inlineStr">
        <is>
          <t>1148639564</t>
        </is>
      </c>
      <c r="H703" t="inlineStr">
        <is>
          <t>1101140050663</t>
        </is>
      </c>
      <c r="I703" t="inlineStr">
        <is>
          <t>대상아님</t>
        </is>
      </c>
      <c r="J703" t="inlineStr">
        <is>
          <t>일반법인</t>
        </is>
      </c>
      <c r="K703" t="inlineStr">
        <is>
          <t>중소기업</t>
        </is>
      </c>
      <c r="L703" t="inlineStr">
        <is>
          <t>외부감사대상</t>
        </is>
      </c>
      <c r="M703" s="6" t="inlineStr">
        <is>
          <t>2004-10-20</t>
        </is>
      </c>
      <c r="N703" t="inlineStr">
        <is>
          <t>KRI:10C3201100</t>
        </is>
      </c>
      <c r="O703" t="inlineStr">
        <is>
          <t>매트리스 및 침대 제조업</t>
        </is>
      </c>
      <c r="P703" t="inlineStr">
        <is>
          <t>매트리스 제조,판매</t>
        </is>
      </c>
      <c r="Q703" t="inlineStr">
        <is>
          <t>서울 강남구 삼성동 21-1번지 3층</t>
        </is>
      </c>
      <c r="R703" t="inlineStr">
        <is>
          <t>서울 강남구 삼성로 633, 3층</t>
        </is>
      </c>
    </row>
    <row r="704" ht="19.2" customHeight="1" s="1">
      <c r="A704" t="inlineStr">
        <is>
          <t>NICE:C77585</t>
        </is>
      </c>
      <c r="B704" t="inlineStr">
        <is>
          <t>해솔리아컨트리클럽</t>
        </is>
      </c>
      <c r="C704" t="inlineStr">
        <is>
          <t>오갑균</t>
        </is>
      </c>
      <c r="D704" t="inlineStr">
        <is>
          <t>031-329-8132</t>
        </is>
      </c>
      <c r="E704" t="inlineStr">
        <is>
          <t>031-321-7797</t>
        </is>
      </c>
      <c r="F704" s="3">
        <f>HYPERLINK("http://www.naesoliacc.co.kr", "http://www.naesoliacc.co.kr")</f>
        <v/>
      </c>
      <c r="G704" t="inlineStr">
        <is>
          <t>1428117478</t>
        </is>
      </c>
      <c r="H704" t="inlineStr">
        <is>
          <t>1345110133071</t>
        </is>
      </c>
      <c r="I704" t="inlineStr">
        <is>
          <t>대상아님</t>
        </is>
      </c>
      <c r="J704" t="inlineStr">
        <is>
          <t>일반법인</t>
        </is>
      </c>
      <c r="K704" t="inlineStr">
        <is>
          <t>중소기업</t>
        </is>
      </c>
      <c r="L704" t="inlineStr">
        <is>
          <t>외부감사대상</t>
        </is>
      </c>
      <c r="M704" s="6" t="inlineStr">
        <is>
          <t>2008-12-04</t>
        </is>
      </c>
      <c r="N704" t="inlineStr">
        <is>
          <t>KRI:10R9112100</t>
        </is>
      </c>
      <c r="O704" t="inlineStr">
        <is>
          <t>골프장 운영업</t>
        </is>
      </c>
      <c r="P704" t="inlineStr">
        <is>
          <t>골프장 운영/한식,중식,일식,서양식 음식점/부동산 임대,매매</t>
        </is>
      </c>
      <c r="Q704" t="inlineStr">
        <is>
          <t>경기 용인시 처인구 이동읍 서리 1222번지</t>
        </is>
      </c>
      <c r="R704" t="inlineStr">
        <is>
          <t>경기 용인시 처인구 이동읍 백자로 369</t>
        </is>
      </c>
    </row>
    <row r="705">
      <c r="A705" t="inlineStr">
        <is>
          <t>NICE:C78405</t>
        </is>
      </c>
      <c r="B705" t="inlineStr">
        <is>
          <t>디엠</t>
        </is>
      </c>
      <c r="C705" t="inlineStr">
        <is>
          <t>최성용</t>
        </is>
      </c>
      <c r="D705" t="inlineStr">
        <is>
          <t>053-591-1856</t>
        </is>
      </c>
      <c r="E705" t="inlineStr">
        <is>
          <t>053-591-1858</t>
        </is>
      </c>
      <c r="G705" t="inlineStr">
        <is>
          <t>5038171793</t>
        </is>
      </c>
      <c r="H705" t="inlineStr">
        <is>
          <t>1701110306515</t>
        </is>
      </c>
      <c r="I705" t="inlineStr">
        <is>
          <t>대상아님</t>
        </is>
      </c>
      <c r="J705" t="inlineStr">
        <is>
          <t>일반법인</t>
        </is>
      </c>
      <c r="K705" t="inlineStr">
        <is>
          <t>중소기업</t>
        </is>
      </c>
      <c r="L705" t="inlineStr">
        <is>
          <t>외부감사대상</t>
        </is>
      </c>
      <c r="M705" s="6" t="inlineStr">
        <is>
          <t>2006-03-20</t>
        </is>
      </c>
      <c r="N705" t="inlineStr">
        <is>
          <t>KRI:10C3039900</t>
        </is>
      </c>
      <c r="O705" t="inlineStr">
        <is>
          <t>그 외 자동차용 신품 부품 제조업</t>
        </is>
      </c>
      <c r="P705" t="inlineStr">
        <is>
          <t>자동차부품 제조/태양광 발전/부동산 임대</t>
        </is>
      </c>
      <c r="Q705" t="inlineStr">
        <is>
          <t>대구 달서구 대천동 750번지</t>
        </is>
      </c>
      <c r="R705" t="inlineStr">
        <is>
          <t>대구 달서구 성서로 18-36</t>
        </is>
      </c>
    </row>
    <row r="706" ht="19.2" customHeight="1" s="1">
      <c r="A706" t="inlineStr">
        <is>
          <t>NICE:C78917</t>
        </is>
      </c>
      <c r="B706" t="inlineStr">
        <is>
          <t>햇빛일루콤</t>
        </is>
      </c>
      <c r="C706" t="inlineStr">
        <is>
          <t>김헌철</t>
        </is>
      </c>
      <c r="D706" t="inlineStr">
        <is>
          <t>032-668-9007</t>
        </is>
      </c>
      <c r="E706" t="inlineStr">
        <is>
          <t>032-668-9008</t>
        </is>
      </c>
      <c r="F706" s="3">
        <f>HYPERLINK("http://www.hatbitillu.com", "http://www.hatbitillu.com")</f>
        <v/>
      </c>
      <c r="G706" t="inlineStr">
        <is>
          <t>1308638664</t>
        </is>
      </c>
      <c r="H706" t="inlineStr">
        <is>
          <t>1211110180124</t>
        </is>
      </c>
      <c r="I706" t="inlineStr">
        <is>
          <t>대상아님</t>
        </is>
      </c>
      <c r="J706" t="inlineStr">
        <is>
          <t>일반법인</t>
        </is>
      </c>
      <c r="K706" t="inlineStr">
        <is>
          <t>중소기업</t>
        </is>
      </c>
      <c r="L706" t="inlineStr">
        <is>
          <t>외부감사대상</t>
        </is>
      </c>
      <c r="M706" s="6" t="inlineStr">
        <is>
          <t>2008-11-26</t>
        </is>
      </c>
      <c r="N706" t="inlineStr">
        <is>
          <t>KRI:10C2842100</t>
        </is>
      </c>
      <c r="O706" t="inlineStr">
        <is>
          <t>운송장비용 조명장치 제조업</t>
        </is>
      </c>
      <c r="P706" t="inlineStr">
        <is>
          <t>차랑용무드램프,도어스커프 제조/합성수지,플라스틱물질,전기,전자부품 제조/부동산 임대</t>
        </is>
      </c>
      <c r="Q706" t="inlineStr">
        <is>
          <t>경기 부천시 원미구 도당동 222-40번지 햇빛빌딩</t>
        </is>
      </c>
      <c r="R706" t="inlineStr">
        <is>
          <t>경기 부천시 원미구 수도로 88-34 (도당동,햇빛빌딩)</t>
        </is>
      </c>
    </row>
    <row r="707">
      <c r="A707" t="inlineStr">
        <is>
          <t>NICE:C79291</t>
        </is>
      </c>
      <c r="B707" t="inlineStr">
        <is>
          <t>마포애경타운</t>
        </is>
      </c>
      <c r="C707" t="inlineStr">
        <is>
          <t>고준</t>
        </is>
      </c>
      <c r="D707" t="inlineStr">
        <is>
          <t>02-789-9801</t>
        </is>
      </c>
      <c r="E707" t="inlineStr">
        <is>
          <t>02-789-9898</t>
        </is>
      </c>
      <c r="G707" t="inlineStr">
        <is>
          <t>1198612497</t>
        </is>
      </c>
      <c r="H707" t="inlineStr">
        <is>
          <t>1101114007541</t>
        </is>
      </c>
      <c r="I707" t="inlineStr">
        <is>
          <t>대상아님</t>
        </is>
      </c>
      <c r="J707" t="inlineStr">
        <is>
          <t>일반법인</t>
        </is>
      </c>
      <c r="K707" t="inlineStr">
        <is>
          <t>중견기업</t>
        </is>
      </c>
      <c r="L707" t="inlineStr">
        <is>
          <t>외부감사대상</t>
        </is>
      </c>
      <c r="M707" s="6" t="inlineStr">
        <is>
          <t>2008-12-02</t>
        </is>
      </c>
      <c r="N707" t="inlineStr">
        <is>
          <t>KRI:10L6811200</t>
        </is>
      </c>
      <c r="O707" t="inlineStr">
        <is>
          <t>비주거용 건물 임대업</t>
        </is>
      </c>
      <c r="P707" t="inlineStr">
        <is>
          <t>부동산 임대,관리</t>
        </is>
      </c>
      <c r="Q707" t="inlineStr">
        <is>
          <t>서울 마포구 동교동 190-1번지 애경타워 4층</t>
        </is>
      </c>
      <c r="R707" t="inlineStr">
        <is>
          <t>서울 마포구 양화로 188, 4층 (동교동,애경타워)</t>
        </is>
      </c>
    </row>
    <row r="708" ht="19.2" customHeight="1" s="1">
      <c r="A708" t="inlineStr">
        <is>
          <t>NICE:C79511</t>
        </is>
      </c>
      <c r="B708" t="inlineStr">
        <is>
          <t>챔프스터디</t>
        </is>
      </c>
      <c r="C708" t="inlineStr">
        <is>
          <t>전재윤</t>
        </is>
      </c>
      <c r="D708" t="inlineStr">
        <is>
          <t>02-566-3636</t>
        </is>
      </c>
      <c r="E708" t="inlineStr">
        <is>
          <t>02-563-0622</t>
        </is>
      </c>
      <c r="F708" s="3">
        <f>HYPERLINK("http://www.champstudy.com", "http://www.champstudy.com")</f>
        <v/>
      </c>
      <c r="G708" t="inlineStr">
        <is>
          <t>1208709984</t>
        </is>
      </c>
      <c r="H708" t="inlineStr">
        <is>
          <t>1101113590547</t>
        </is>
      </c>
      <c r="I708" t="inlineStr">
        <is>
          <t>대상아님</t>
        </is>
      </c>
      <c r="J708" t="inlineStr">
        <is>
          <t>일반법인</t>
        </is>
      </c>
      <c r="K708" t="inlineStr">
        <is>
          <t>중견기업</t>
        </is>
      </c>
      <c r="L708" t="inlineStr">
        <is>
          <t>외부감사대상</t>
        </is>
      </c>
      <c r="M708" s="6" t="inlineStr">
        <is>
          <t>2007-01-02</t>
        </is>
      </c>
      <c r="N708" t="inlineStr">
        <is>
          <t>KRI:10P8550300</t>
        </is>
      </c>
      <c r="O708" t="inlineStr">
        <is>
          <t>온라인 교육 학원</t>
        </is>
      </c>
      <c r="P708" t="inlineStr">
        <is>
          <t>원격평생교육/출판/서적 도소매,전자상거래/직업정보제공,교육컨설팅,교육기획,광고</t>
        </is>
      </c>
      <c r="Q708" t="inlineStr">
        <is>
          <t>서울 서초구 서초동 1316-15번지 203호</t>
        </is>
      </c>
      <c r="R708" t="inlineStr">
        <is>
          <t>서울 서초구 강남대로61길 23, 203호</t>
        </is>
      </c>
    </row>
    <row r="709" ht="19.2" customHeight="1" s="1">
      <c r="A709" t="inlineStr">
        <is>
          <t>NICE:C79691</t>
        </is>
      </c>
      <c r="B709" t="inlineStr">
        <is>
          <t>한국기초소재</t>
        </is>
      </c>
      <c r="C709" t="inlineStr">
        <is>
          <t>박홍은</t>
        </is>
      </c>
      <c r="D709" t="inlineStr">
        <is>
          <t>032-777-7871</t>
        </is>
      </c>
      <c r="E709" t="inlineStr">
        <is>
          <t>032-777-7842</t>
        </is>
      </c>
      <c r="F709" s="3">
        <f>HYPERLINK("http://www.hkslag.co.kr", "http://www.hkslag.co.kr")</f>
        <v/>
      </c>
      <c r="G709" t="inlineStr">
        <is>
          <t>1218194935</t>
        </is>
      </c>
      <c r="H709" t="inlineStr">
        <is>
          <t>1201110487232</t>
        </is>
      </c>
      <c r="I709" t="inlineStr">
        <is>
          <t>대상아님</t>
        </is>
      </c>
      <c r="J709" t="inlineStr">
        <is>
          <t>일반법인</t>
        </is>
      </c>
      <c r="K709" t="inlineStr">
        <is>
          <t>중견기업</t>
        </is>
      </c>
      <c r="L709" t="inlineStr">
        <is>
          <t>외부감사대상</t>
        </is>
      </c>
      <c r="M709" s="6" t="inlineStr">
        <is>
          <t>2009-02-09</t>
        </is>
      </c>
      <c r="N709" t="inlineStr">
        <is>
          <t>KRI:10C2331100</t>
        </is>
      </c>
      <c r="O709" t="inlineStr">
        <is>
          <t>시멘트 제조업</t>
        </is>
      </c>
      <c r="P709" t="inlineStr">
        <is>
          <t>슬래그시멘트,파우더 제조</t>
        </is>
      </c>
      <c r="Q709" t="inlineStr">
        <is>
          <t>인천 동구 만석동 2-23번지</t>
        </is>
      </c>
      <c r="R709" t="inlineStr">
        <is>
          <t>인천 동구 만석부두로 16-3</t>
        </is>
      </c>
    </row>
    <row r="710" ht="19.2" customHeight="1" s="1">
      <c r="A710" t="inlineStr">
        <is>
          <t>NICE:C79931</t>
        </is>
      </c>
      <c r="B710" t="inlineStr">
        <is>
          <t>예맛상사</t>
        </is>
      </c>
      <c r="C710" t="inlineStr">
        <is>
          <t>권윤택/장은애</t>
        </is>
      </c>
      <c r="D710" t="inlineStr">
        <is>
          <t>031-631-9003</t>
        </is>
      </c>
      <c r="E710" t="inlineStr">
        <is>
          <t>031-631-9005</t>
        </is>
      </c>
      <c r="F710" s="3">
        <f>HYPERLINK("https://www.yemat.com/", "https://www.yemat.com/")</f>
        <v/>
      </c>
      <c r="G710" t="inlineStr">
        <is>
          <t>1268614912</t>
        </is>
      </c>
      <c r="H710" t="inlineStr">
        <is>
          <t>1344110039099</t>
        </is>
      </c>
      <c r="I710" t="inlineStr">
        <is>
          <t>대상아님</t>
        </is>
      </c>
      <c r="J710" t="inlineStr">
        <is>
          <t>일반법인</t>
        </is>
      </c>
      <c r="K710" t="inlineStr">
        <is>
          <t>중소기업</t>
        </is>
      </c>
      <c r="L710" t="inlineStr">
        <is>
          <t>외부감사대상</t>
        </is>
      </c>
      <c r="M710" s="6" t="inlineStr">
        <is>
          <t>2008-09-09</t>
        </is>
      </c>
      <c r="N710" t="inlineStr">
        <is>
          <t>KRI:10C1022000</t>
        </is>
      </c>
      <c r="O710" t="inlineStr">
        <is>
          <t>수산식물 가공 및 저장 처리업</t>
        </is>
      </c>
      <c r="P710" t="inlineStr">
        <is>
          <t>수산식물 가공,저장처리</t>
        </is>
      </c>
      <c r="Q710" t="inlineStr">
        <is>
          <t>경기 이천시 마장면 이치리 256-5번지</t>
        </is>
      </c>
      <c r="R710" t="inlineStr">
        <is>
          <t>경기 이천시 마장면 서이천로231번길 64</t>
        </is>
      </c>
    </row>
    <row r="711" ht="19.2" customHeight="1" s="1">
      <c r="A711" t="inlineStr">
        <is>
          <t>NICE:C80784</t>
        </is>
      </c>
      <c r="B711" t="inlineStr">
        <is>
          <t>대웅바이오</t>
        </is>
      </c>
      <c r="C711" t="inlineStr">
        <is>
          <t>진성곤</t>
        </is>
      </c>
      <c r="D711" t="inlineStr">
        <is>
          <t>02-550-8338</t>
        </is>
      </c>
      <c r="E711" t="inlineStr">
        <is>
          <t>02-550-8048</t>
        </is>
      </c>
      <c r="F711" s="3">
        <f>HYPERLINK("http://www.daewoongbio.co.kr", "http://www.daewoongbio.co.kr")</f>
        <v/>
      </c>
      <c r="G711" t="inlineStr">
        <is>
          <t>1248677584</t>
        </is>
      </c>
      <c r="H711" t="inlineStr">
        <is>
          <t>1348110172221</t>
        </is>
      </c>
      <c r="I711" t="inlineStr">
        <is>
          <t>대상아님</t>
        </is>
      </c>
      <c r="J711" t="inlineStr">
        <is>
          <t>일반법인</t>
        </is>
      </c>
      <c r="K711" t="inlineStr">
        <is>
          <t>중견기업</t>
        </is>
      </c>
      <c r="L711" t="inlineStr">
        <is>
          <t>외부감사대상</t>
        </is>
      </c>
      <c r="M711" s="6" t="inlineStr">
        <is>
          <t>2009-04-02</t>
        </is>
      </c>
      <c r="N711" t="inlineStr">
        <is>
          <t>KRI:10C2110100</t>
        </is>
      </c>
      <c r="O711" t="inlineStr">
        <is>
          <t>의약용 화합물 및 항생물질 제조업</t>
        </is>
      </c>
      <c r="P711" t="inlineStr">
        <is>
          <t>의약용화합물 제조</t>
        </is>
      </c>
      <c r="Q711" t="inlineStr">
        <is>
          <t>경기 화성시 만세구 향남읍 상신리 906-5번지</t>
        </is>
      </c>
      <c r="R711" t="inlineStr">
        <is>
          <t>경기 화성시 만세구 향남읍 제약공단4길 35-9</t>
        </is>
      </c>
    </row>
    <row r="712" ht="19.2" customHeight="1" s="1">
      <c r="A712" t="inlineStr">
        <is>
          <t>NICE:C81382</t>
        </is>
      </c>
      <c r="B712" t="inlineStr">
        <is>
          <t>창억</t>
        </is>
      </c>
      <c r="C712" t="inlineStr">
        <is>
          <t>임철한</t>
        </is>
      </c>
      <c r="D712" t="inlineStr">
        <is>
          <t>062-520-6032</t>
        </is>
      </c>
      <c r="E712" t="inlineStr">
        <is>
          <t>0507-514-6000</t>
        </is>
      </c>
      <c r="F712" s="3">
        <f>HYPERLINK("http://www.changeok.co.kr", "http://www.changeok.co.kr")</f>
        <v/>
      </c>
      <c r="G712" t="inlineStr">
        <is>
          <t>4098196570</t>
        </is>
      </c>
      <c r="H712" t="inlineStr">
        <is>
          <t>2001110243116</t>
        </is>
      </c>
      <c r="I712" t="inlineStr">
        <is>
          <t>대상아님</t>
        </is>
      </c>
      <c r="J712" t="inlineStr">
        <is>
          <t>일반법인</t>
        </is>
      </c>
      <c r="K712" t="inlineStr">
        <is>
          <t>중소기업</t>
        </is>
      </c>
      <c r="L712" t="inlineStr">
        <is>
          <t>외부감사대상</t>
        </is>
      </c>
      <c r="M712" s="6" t="inlineStr">
        <is>
          <t>2007-05-29</t>
        </is>
      </c>
      <c r="N712" t="inlineStr">
        <is>
          <t>KRI:10C1071100</t>
        </is>
      </c>
      <c r="O712" t="inlineStr">
        <is>
          <t>떡류 제조업</t>
        </is>
      </c>
      <c r="P712" t="inlineStr">
        <is>
          <t>전통식품(떡류) 제조/프랜차이즈/비주거용건물 임대</t>
        </is>
      </c>
      <c r="Q712" t="inlineStr">
        <is>
          <t>광주 북구 중흥동 722-4번지</t>
        </is>
      </c>
      <c r="R712" t="inlineStr">
        <is>
          <t>광주 북구 경열로 242</t>
        </is>
      </c>
    </row>
    <row r="713" ht="19.2" customHeight="1" s="1">
      <c r="A713" t="inlineStr">
        <is>
          <t>NICE:C81475</t>
        </is>
      </c>
      <c r="B713" t="inlineStr">
        <is>
          <t>민성</t>
        </is>
      </c>
      <c r="C713" t="inlineStr">
        <is>
          <t>권택장</t>
        </is>
      </c>
      <c r="D713" t="inlineStr">
        <is>
          <t>052-266-6417</t>
        </is>
      </c>
      <c r="E713" t="inlineStr">
        <is>
          <t>052-266-6419</t>
        </is>
      </c>
      <c r="F713" s="3">
        <f>HYPERLINK("http://www.minsungei.co.kr", "http://www.minsungei.co.kr")</f>
        <v/>
      </c>
      <c r="G713" t="inlineStr">
        <is>
          <t>6108189801</t>
        </is>
      </c>
      <c r="H713" t="inlineStr">
        <is>
          <t>2301110138048</t>
        </is>
      </c>
      <c r="I713" t="inlineStr">
        <is>
          <t>대상아님</t>
        </is>
      </c>
      <c r="J713" t="inlineStr">
        <is>
          <t>일반법인</t>
        </is>
      </c>
      <c r="K713" t="inlineStr">
        <is>
          <t>중소기업</t>
        </is>
      </c>
      <c r="L713" t="inlineStr">
        <is>
          <t>외부감사대상</t>
        </is>
      </c>
      <c r="M713" s="6" t="inlineStr">
        <is>
          <t>2007-11-09</t>
        </is>
      </c>
      <c r="N713" t="inlineStr">
        <is>
          <t>KRI:10F4231100</t>
        </is>
      </c>
      <c r="O713" t="inlineStr">
        <is>
          <t>일반전기 공사업</t>
        </is>
      </c>
      <c r="P713" t="inlineStr">
        <is>
          <t>전기공사,정보통신공사,소방시설공사/배전반,전기자동제어 제조/전기자재 도소매</t>
        </is>
      </c>
      <c r="Q713" t="inlineStr">
        <is>
          <t>울산 울주군 청량읍 상남리 800-8번지</t>
        </is>
      </c>
      <c r="R713" t="inlineStr">
        <is>
          <t>울산 울주군 청량읍 상남2길 25-4</t>
        </is>
      </c>
    </row>
    <row r="714">
      <c r="A714" t="inlineStr">
        <is>
          <t>NICE:C82330</t>
        </is>
      </c>
      <c r="B714" t="inlineStr">
        <is>
          <t>동위</t>
        </is>
      </c>
      <c r="C714" t="inlineStr">
        <is>
          <t>송창선</t>
        </is>
      </c>
      <c r="D714" t="inlineStr">
        <is>
          <t>053-341-7783</t>
        </is>
      </c>
      <c r="E714" t="inlineStr">
        <is>
          <t>053-341-7784</t>
        </is>
      </c>
      <c r="G714" t="inlineStr">
        <is>
          <t>4168142029</t>
        </is>
      </c>
      <c r="H714" t="inlineStr">
        <is>
          <t>2013110025999</t>
        </is>
      </c>
      <c r="I714" t="inlineStr">
        <is>
          <t>대상아님</t>
        </is>
      </c>
      <c r="J714" t="inlineStr">
        <is>
          <t>일반법인</t>
        </is>
      </c>
      <c r="K714" t="inlineStr">
        <is>
          <t>중소기업</t>
        </is>
      </c>
      <c r="L714" t="inlineStr">
        <is>
          <t>외부감사대상</t>
        </is>
      </c>
      <c r="M714" s="6" t="inlineStr">
        <is>
          <t>2003-08-04</t>
        </is>
      </c>
      <c r="N714" t="inlineStr">
        <is>
          <t>KRI:10F4220200</t>
        </is>
      </c>
      <c r="O714" t="inlineStr">
        <is>
          <t>건물용 기계ㆍ장비 설치 공사업</t>
        </is>
      </c>
      <c r="P714" t="inlineStr">
        <is>
          <t>기계설비공사,전문소방시설공사,미장방수공사</t>
        </is>
      </c>
      <c r="Q714" t="inlineStr">
        <is>
          <t>대구 수성구 고모동 376-1번지</t>
        </is>
      </c>
      <c r="R714" t="inlineStr">
        <is>
          <t>대구 수성구 고모로39길 22</t>
        </is>
      </c>
    </row>
    <row r="715" ht="19.2" customHeight="1" s="1">
      <c r="A715" t="inlineStr">
        <is>
          <t>NICE:C83218</t>
        </is>
      </c>
      <c r="B715" t="inlineStr">
        <is>
          <t>토마토디앤씨</t>
        </is>
      </c>
      <c r="C715" t="inlineStr">
        <is>
          <t>김윤희</t>
        </is>
      </c>
      <c r="D715" t="inlineStr">
        <is>
          <t>02-3474-8400</t>
        </is>
      </c>
      <c r="E715" t="inlineStr">
        <is>
          <t>02-521-5046</t>
        </is>
      </c>
      <c r="F715" s="3">
        <f>HYPERLINK("http://www.1001optics.co.kr", "http://www.1001optics.co.kr")</f>
        <v/>
      </c>
      <c r="G715" t="inlineStr">
        <is>
          <t>6178171210</t>
        </is>
      </c>
      <c r="H715" t="inlineStr">
        <is>
          <t>1801110627703</t>
        </is>
      </c>
      <c r="I715" t="inlineStr">
        <is>
          <t>대상아님</t>
        </is>
      </c>
      <c r="J715" t="inlineStr">
        <is>
          <t>일반법인</t>
        </is>
      </c>
      <c r="K715" t="inlineStr">
        <is>
          <t>중소기업</t>
        </is>
      </c>
      <c r="L715" t="inlineStr">
        <is>
          <t>외부감사대상</t>
        </is>
      </c>
      <c r="M715" s="6" t="inlineStr">
        <is>
          <t>2008-03-27</t>
        </is>
      </c>
      <c r="N715" t="inlineStr">
        <is>
          <t>KRI:10N7640000</t>
        </is>
      </c>
      <c r="O715" t="inlineStr">
        <is>
          <t>무형재산권 임대업</t>
        </is>
      </c>
      <c r="P715" t="inlineStr">
        <is>
          <t>무형재산권임대업, 화장품　도매업</t>
        </is>
      </c>
      <c r="Q715" t="inlineStr">
        <is>
          <t>서울 서초구 서초동 1457-1번지</t>
        </is>
      </c>
      <c r="R715" t="inlineStr">
        <is>
          <t>서울 서초구 효령로 274</t>
        </is>
      </c>
    </row>
    <row r="716" ht="19.2" customHeight="1" s="1">
      <c r="A716" t="inlineStr">
        <is>
          <t>NICE:C83231</t>
        </is>
      </c>
      <c r="B716" t="inlineStr">
        <is>
          <t>씨앤오건설</t>
        </is>
      </c>
      <c r="C716" t="inlineStr">
        <is>
          <t>조용준</t>
        </is>
      </c>
      <c r="D716" t="inlineStr">
        <is>
          <t>02-742-8261</t>
        </is>
      </c>
      <c r="E716" t="inlineStr">
        <is>
          <t>02-742-8260</t>
        </is>
      </c>
      <c r="F716" s="3">
        <f>HYPERLINK("http://www.cnoenc.com", "http://www.cnoenc.com")</f>
        <v/>
      </c>
      <c r="G716" t="inlineStr">
        <is>
          <t>1018639312</t>
        </is>
      </c>
      <c r="H716" t="inlineStr">
        <is>
          <t>1101113884346</t>
        </is>
      </c>
      <c r="I716" t="inlineStr">
        <is>
          <t>대상아님</t>
        </is>
      </c>
      <c r="J716" t="inlineStr">
        <is>
          <t>일반법인</t>
        </is>
      </c>
      <c r="K716" t="inlineStr">
        <is>
          <t>중소기업</t>
        </is>
      </c>
      <c r="L716" t="inlineStr">
        <is>
          <t>외부감사대상</t>
        </is>
      </c>
      <c r="M716" s="6" t="inlineStr">
        <is>
          <t>2008-04-22</t>
        </is>
      </c>
      <c r="N716" t="inlineStr">
        <is>
          <t>KRI:10F4110000</t>
        </is>
      </c>
      <c r="O716" t="inlineStr">
        <is>
          <t>건물 건설업</t>
        </is>
      </c>
      <c r="P716" t="inlineStr">
        <is>
          <t>건축공사,토목공사,주택공사/건축자재 도소매/시공자문</t>
        </is>
      </c>
      <c r="Q716" t="inlineStr">
        <is>
          <t>서울 종로구 명륜1가 33-30번지 3층 306호</t>
        </is>
      </c>
      <c r="R716" t="inlineStr">
        <is>
          <t>서울 종로구 혜화로 35, 3층 306호</t>
        </is>
      </c>
    </row>
    <row r="717" ht="19.2" customHeight="1" s="1">
      <c r="A717" t="inlineStr">
        <is>
          <t>NICE:C83675</t>
        </is>
      </c>
      <c r="B717" t="inlineStr">
        <is>
          <t>네이버클라우드</t>
        </is>
      </c>
      <c r="C717" t="inlineStr">
        <is>
          <t>김유원</t>
        </is>
      </c>
      <c r="D717" t="inlineStr">
        <is>
          <t>1566-3880</t>
        </is>
      </c>
      <c r="E717" t="inlineStr">
        <is>
          <t>031-784-1800</t>
        </is>
      </c>
      <c r="F717" s="3">
        <f>HYPERLINK("http://www.navercloudcorp.com", "http://www.navercloudcorp.com")</f>
        <v/>
      </c>
      <c r="G717" t="inlineStr">
        <is>
          <t>1298631394</t>
        </is>
      </c>
      <c r="H717" t="inlineStr">
        <is>
          <t>1311110230662</t>
        </is>
      </c>
      <c r="I717" t="inlineStr">
        <is>
          <t>대상아님</t>
        </is>
      </c>
      <c r="J717" t="inlineStr">
        <is>
          <t>일반법인</t>
        </is>
      </c>
      <c r="K717" t="inlineStr">
        <is>
          <t>대기업</t>
        </is>
      </c>
      <c r="L717" t="inlineStr">
        <is>
          <t>외부감사대상</t>
        </is>
      </c>
      <c r="M717" s="6" t="inlineStr">
        <is>
          <t>2009-05-01</t>
        </is>
      </c>
      <c r="N717" t="inlineStr">
        <is>
          <t>KRI:10J6312000</t>
        </is>
      </c>
      <c r="O717" t="inlineStr">
        <is>
          <t>포털 및 기타 인터넷 정보매개 서비스업</t>
        </is>
      </c>
      <c r="P717" t="inlineStr">
        <is>
          <t>포털,정보매개,정보 자료처리,컴퓨터 운영/온라인 마케팅,인터넷광고 대행</t>
        </is>
      </c>
      <c r="Q717" t="inlineStr">
        <is>
          <t>경기 성남시 분당구 정자동 178-1번지 네이버그린팩토리</t>
        </is>
      </c>
      <c r="R717" t="inlineStr">
        <is>
          <t>경기 성남시 분당구 불정로 6 (정자동,네이버그린팩토리)</t>
        </is>
      </c>
    </row>
    <row r="718">
      <c r="A718" t="inlineStr">
        <is>
          <t>NICE:C84224</t>
        </is>
      </c>
      <c r="B718" t="inlineStr">
        <is>
          <t>엠이에이치</t>
        </is>
      </c>
      <c r="C718" t="inlineStr">
        <is>
          <t>김기원</t>
        </is>
      </c>
      <c r="D718" t="inlineStr">
        <is>
          <t>031-4465-1160</t>
        </is>
      </c>
      <c r="E718" t="inlineStr">
        <is>
          <t>031-337-1468</t>
        </is>
      </c>
      <c r="G718" t="inlineStr">
        <is>
          <t>1358159150</t>
        </is>
      </c>
      <c r="H718" t="inlineStr">
        <is>
          <t>1345110066686</t>
        </is>
      </c>
      <c r="I718" t="inlineStr">
        <is>
          <t>대상아님</t>
        </is>
      </c>
      <c r="J718" t="inlineStr">
        <is>
          <t>일반법인</t>
        </is>
      </c>
      <c r="K718" t="inlineStr">
        <is>
          <t>중소기업</t>
        </is>
      </c>
      <c r="L718" t="inlineStr">
        <is>
          <t>외부감사대상</t>
        </is>
      </c>
      <c r="M718" s="6" t="inlineStr">
        <is>
          <t>2002-12-12</t>
        </is>
      </c>
      <c r="N718" t="inlineStr">
        <is>
          <t>KRI:10L6812100</t>
        </is>
      </c>
      <c r="O718" t="inlineStr">
        <is>
          <t>주거용 건물 개발 및 공급업</t>
        </is>
      </c>
      <c r="P718" t="inlineStr">
        <is>
          <t>주택신축판매</t>
        </is>
      </c>
      <c r="Q718" t="inlineStr">
        <is>
          <t>경기 용인시 처인구 역북동 436-2번지</t>
        </is>
      </c>
      <c r="R718" t="inlineStr">
        <is>
          <t>경기 용인시 처인구 중부대로 1315</t>
        </is>
      </c>
    </row>
    <row r="719" ht="19.2" customHeight="1" s="1">
      <c r="A719" t="inlineStr">
        <is>
          <t>NICE:C86231</t>
        </is>
      </c>
      <c r="B719" t="inlineStr">
        <is>
          <t>목포신항만운영</t>
        </is>
      </c>
      <c r="C719" t="inlineStr">
        <is>
          <t>신회식</t>
        </is>
      </c>
      <c r="D719" t="inlineStr">
        <is>
          <t>061-460-8114</t>
        </is>
      </c>
      <c r="E719" t="inlineStr">
        <is>
          <t>061-460-8115</t>
        </is>
      </c>
      <c r="F719" s="3">
        <f>HYPERLINK("http://www.mokport.com", "http://www.mokport.com")</f>
        <v/>
      </c>
      <c r="G719" t="inlineStr">
        <is>
          <t>4118156528</t>
        </is>
      </c>
      <c r="H719" t="inlineStr">
        <is>
          <t>2011110029648</t>
        </is>
      </c>
      <c r="I719" t="inlineStr">
        <is>
          <t>대상아님</t>
        </is>
      </c>
      <c r="J719" t="inlineStr">
        <is>
          <t>일반법인</t>
        </is>
      </c>
      <c r="K719" t="inlineStr">
        <is>
          <t>중견기업</t>
        </is>
      </c>
      <c r="L719" t="inlineStr">
        <is>
          <t>외부감사대상</t>
        </is>
      </c>
      <c r="M719" s="6" t="inlineStr">
        <is>
          <t>2009-02-05</t>
        </is>
      </c>
      <c r="N719" t="inlineStr">
        <is>
          <t>KRI:10H5012200</t>
        </is>
      </c>
      <c r="O719" t="inlineStr">
        <is>
          <t>내항 화물 운송업</t>
        </is>
      </c>
      <c r="P719" t="inlineStr">
        <is>
          <t>내외항,화물 운수,중개,대리/주택공사/무역/부동산 임대</t>
        </is>
      </c>
      <c r="Q719" t="inlineStr">
        <is>
          <t>전남 목포시 달동 1329번지</t>
        </is>
      </c>
      <c r="R719" t="inlineStr">
        <is>
          <t>전남 목포시 신항로294번길 45</t>
        </is>
      </c>
    </row>
    <row r="720" ht="19.2" customHeight="1" s="1">
      <c r="A720" t="inlineStr">
        <is>
          <t>NICE:C86503</t>
        </is>
      </c>
      <c r="B720" t="inlineStr">
        <is>
          <t>석도국제훼리</t>
        </is>
      </c>
      <c r="C720" t="inlineStr">
        <is>
          <t>김상겸</t>
        </is>
      </c>
      <c r="D720" t="inlineStr">
        <is>
          <t>063-441-1231</t>
        </is>
      </c>
      <c r="E720" t="inlineStr">
        <is>
          <t>063-441-1230</t>
        </is>
      </c>
      <c r="F720" s="3">
        <f>HYPERLINK("http://www.shidaoferry.com", "http://www.shidaoferry.com")</f>
        <v/>
      </c>
      <c r="G720" t="inlineStr">
        <is>
          <t>4018133120</t>
        </is>
      </c>
      <c r="H720" t="inlineStr">
        <is>
          <t>2111110023771</t>
        </is>
      </c>
      <c r="I720" t="inlineStr">
        <is>
          <t>대상아님</t>
        </is>
      </c>
      <c r="J720" t="inlineStr">
        <is>
          <t>일반법인</t>
        </is>
      </c>
      <c r="K720" t="inlineStr">
        <is>
          <t>중소기업</t>
        </is>
      </c>
      <c r="L720" t="inlineStr">
        <is>
          <t>외부감사대상</t>
        </is>
      </c>
      <c r="M720" s="6" t="inlineStr">
        <is>
          <t>2008-01-31</t>
        </is>
      </c>
      <c r="N720" t="inlineStr">
        <is>
          <t>KRI:10H5011100</t>
        </is>
      </c>
      <c r="O720" t="inlineStr">
        <is>
          <t>외항 여객 운송업</t>
        </is>
      </c>
      <c r="P720" t="inlineStr">
        <is>
          <t>해상여객운송,국제해운운송,선박대리점</t>
        </is>
      </c>
      <c r="Q720" t="inlineStr">
        <is>
          <t>전북 군산시 소룡동 1668번지 군산항국제여객터미널 내 석도국제훼리주식회사</t>
        </is>
      </c>
      <c r="R720" t="inlineStr">
        <is>
          <t>전북 군산시 임해로 378-14 (소룡동,군산항국제여객터미널 내 석도국제훼리주식회사)</t>
        </is>
      </c>
    </row>
    <row r="721" ht="19.2" customHeight="1" s="1">
      <c r="A721" t="inlineStr">
        <is>
          <t>NICE:C86709</t>
        </is>
      </c>
      <c r="B721" t="inlineStr">
        <is>
          <t>성신씨엠</t>
        </is>
      </c>
      <c r="C721" t="inlineStr">
        <is>
          <t>민성환</t>
        </is>
      </c>
      <c r="D721" t="inlineStr">
        <is>
          <t>031-681-1373</t>
        </is>
      </c>
      <c r="E721" t="inlineStr">
        <is>
          <t>031-681-1378</t>
        </is>
      </c>
      <c r="F721" s="3">
        <f>HYPERLINK("http://sungshincm.co.kr/", "http://sungshincm.co.kr/")</f>
        <v/>
      </c>
      <c r="G721" t="inlineStr">
        <is>
          <t>3118127117</t>
        </is>
      </c>
      <c r="H721" t="inlineStr">
        <is>
          <t>1650110022326</t>
        </is>
      </c>
      <c r="I721" t="inlineStr">
        <is>
          <t>대상아님</t>
        </is>
      </c>
      <c r="J721" t="inlineStr">
        <is>
          <t>일반법인</t>
        </is>
      </c>
      <c r="K721" t="inlineStr">
        <is>
          <t>중견기업</t>
        </is>
      </c>
      <c r="L721" t="inlineStr">
        <is>
          <t>외부감사대상</t>
        </is>
      </c>
      <c r="M721" s="6" t="inlineStr">
        <is>
          <t>2007-10-18</t>
        </is>
      </c>
      <c r="N721" t="inlineStr">
        <is>
          <t>KRI:10C2331100</t>
        </is>
      </c>
      <c r="O721" t="inlineStr">
        <is>
          <t>시멘트 제조업</t>
        </is>
      </c>
      <c r="P721" t="inlineStr">
        <is>
          <t>시멘트,슬래그미분말,레미콘 제조,수출입/건설장비 임대(건설)/건축자재 도소매/하역</t>
        </is>
      </c>
      <c r="Q721" t="inlineStr">
        <is>
          <t>충남 당진시 신평면 매산리 976-15번지</t>
        </is>
      </c>
      <c r="R721" t="inlineStr">
        <is>
          <t>충남 당진시 신평면 당진항만로 65</t>
        </is>
      </c>
    </row>
    <row r="722" ht="19.2" customHeight="1" s="1">
      <c r="A722" t="inlineStr">
        <is>
          <t>NICE:C88356</t>
        </is>
      </c>
      <c r="B722" t="inlineStr">
        <is>
          <t>에프디씨</t>
        </is>
      </c>
      <c r="C722" t="inlineStr">
        <is>
          <t>윤하원/이종원</t>
        </is>
      </c>
      <c r="D722" t="inlineStr">
        <is>
          <t>055-337-0852</t>
        </is>
      </c>
      <c r="E722" t="inlineStr">
        <is>
          <t>055-337-0848</t>
        </is>
      </c>
      <c r="F722" s="3">
        <f>HYPERLINK("http://www.finedisc.co.kr", "http://www.finedisc.co.kr")</f>
        <v/>
      </c>
      <c r="G722" t="inlineStr">
        <is>
          <t>6158165518</t>
        </is>
      </c>
      <c r="H722" t="inlineStr">
        <is>
          <t>1955110111553</t>
        </is>
      </c>
      <c r="I722" t="inlineStr">
        <is>
          <t>대상아님</t>
        </is>
      </c>
      <c r="J722" t="inlineStr">
        <is>
          <t>일반법인</t>
        </is>
      </c>
      <c r="K722" t="inlineStr">
        <is>
          <t>중소기업</t>
        </is>
      </c>
      <c r="L722" t="inlineStr">
        <is>
          <t>외부감사대상</t>
        </is>
      </c>
      <c r="M722" s="6" t="inlineStr">
        <is>
          <t>2008-09-25</t>
        </is>
      </c>
      <c r="N722" t="inlineStr">
        <is>
          <t>KRI:10C2599900</t>
        </is>
      </c>
      <c r="O722" t="inlineStr">
        <is>
          <t>그 외 기타 분류 안된 금속 가공 제품 제조업</t>
        </is>
      </c>
      <c r="P722" t="inlineStr">
        <is>
          <t>파열판 제조</t>
        </is>
      </c>
      <c r="Q722" t="inlineStr">
        <is>
          <t>경남 김해시 주촌면 망덕리 877-1번지</t>
        </is>
      </c>
      <c r="R722" t="inlineStr">
        <is>
          <t>경남 김해시 주촌면 골든루트로129번길 129</t>
        </is>
      </c>
    </row>
    <row r="723">
      <c r="A723" t="inlineStr">
        <is>
          <t>NICE:C88361</t>
        </is>
      </c>
      <c r="B723" t="inlineStr">
        <is>
          <t>와이에스피</t>
        </is>
      </c>
      <c r="C723" t="inlineStr">
        <is>
          <t>전학수</t>
        </is>
      </c>
      <c r="D723" t="inlineStr">
        <is>
          <t>062-600-1800</t>
        </is>
      </c>
      <c r="E723" t="inlineStr">
        <is>
          <t>062-600-1807</t>
        </is>
      </c>
      <c r="G723" t="inlineStr">
        <is>
          <t>4108618147</t>
        </is>
      </c>
      <c r="H723" t="inlineStr">
        <is>
          <t>2001110257216</t>
        </is>
      </c>
      <c r="I723" t="inlineStr">
        <is>
          <t>대상아님</t>
        </is>
      </c>
      <c r="J723" t="inlineStr">
        <is>
          <t>일반법인</t>
        </is>
      </c>
      <c r="K723" t="inlineStr">
        <is>
          <t>중견기업</t>
        </is>
      </c>
      <c r="L723" t="inlineStr">
        <is>
          <t>외부감사대상</t>
        </is>
      </c>
      <c r="M723" s="6" t="inlineStr">
        <is>
          <t>2008-03-20</t>
        </is>
      </c>
      <c r="N723" t="inlineStr">
        <is>
          <t>KRI:10C3039900</t>
        </is>
      </c>
      <c r="O723" t="inlineStr">
        <is>
          <t>그 외 자동차용 신품 부품 제조업</t>
        </is>
      </c>
      <c r="P723" t="inlineStr">
        <is>
          <t>자동차부품,공기조화장치 제조/화물 포장,검수,형량/태양광 발전</t>
        </is>
      </c>
      <c r="Q723" t="inlineStr">
        <is>
          <t>광주 광산구 연산동 1309번지</t>
        </is>
      </c>
      <c r="R723" t="inlineStr">
        <is>
          <t>광주 광산구 평동산단10번로 19</t>
        </is>
      </c>
    </row>
    <row r="724">
      <c r="A724" t="inlineStr">
        <is>
          <t>NICE:C89492</t>
        </is>
      </c>
      <c r="B724" t="inlineStr">
        <is>
          <t>이성당</t>
        </is>
      </c>
      <c r="C724" t="inlineStr">
        <is>
          <t>김현주</t>
        </is>
      </c>
      <c r="D724" t="inlineStr">
        <is>
          <t>063-730-2701</t>
        </is>
      </c>
      <c r="E724" t="inlineStr">
        <is>
          <t>063-730-2701</t>
        </is>
      </c>
      <c r="G724" t="inlineStr">
        <is>
          <t>4018123812</t>
        </is>
      </c>
      <c r="H724" t="inlineStr">
        <is>
          <t>2111110016528</t>
        </is>
      </c>
      <c r="I724" t="inlineStr">
        <is>
          <t>대상아님</t>
        </is>
      </c>
      <c r="J724" t="inlineStr">
        <is>
          <t>일반법인</t>
        </is>
      </c>
      <c r="K724" t="inlineStr">
        <is>
          <t>중소기업</t>
        </is>
      </c>
      <c r="L724" t="inlineStr">
        <is>
          <t>외부감사대상</t>
        </is>
      </c>
      <c r="M724" s="6" t="inlineStr">
        <is>
          <t>2003-04-12</t>
        </is>
      </c>
      <c r="N724" t="inlineStr">
        <is>
          <t>KRI:10C1071200</t>
        </is>
      </c>
      <c r="O724" t="inlineStr">
        <is>
          <t>빵류 제조업</t>
        </is>
      </c>
      <c r="P724" t="inlineStr">
        <is>
          <t>제과제빵 제조,도소매/제과점</t>
        </is>
      </c>
      <c r="Q724" t="inlineStr">
        <is>
          <t>전북 군산시 중앙로1가 12-2번지</t>
        </is>
      </c>
      <c r="R724" t="inlineStr">
        <is>
          <t>전북 군산시 중앙로 177</t>
        </is>
      </c>
    </row>
    <row r="725" ht="19.2" customHeight="1" s="1">
      <c r="A725" t="inlineStr">
        <is>
          <t>NICE:C90061</t>
        </is>
      </c>
      <c r="B725" t="inlineStr">
        <is>
          <t>신송산업</t>
        </is>
      </c>
      <c r="C725" t="inlineStr">
        <is>
          <t>조승우/조승현/탁성봉</t>
        </is>
      </c>
      <c r="D725" t="inlineStr">
        <is>
          <t>02-6265-7789</t>
        </is>
      </c>
      <c r="E725" t="inlineStr">
        <is>
          <t>02-784-3216</t>
        </is>
      </c>
      <c r="F725" s="3">
        <f>HYPERLINK("http://www.singsongindustry.com/", "http://www.singsongindustry.com/")</f>
        <v/>
      </c>
      <c r="G725" t="inlineStr">
        <is>
          <t>1078723080</t>
        </is>
      </c>
      <c r="H725" t="inlineStr">
        <is>
          <t>1101114151348</t>
        </is>
      </c>
      <c r="I725" t="inlineStr">
        <is>
          <t>대상아님</t>
        </is>
      </c>
      <c r="J725" t="inlineStr">
        <is>
          <t>일반법인</t>
        </is>
      </c>
      <c r="K725" t="inlineStr">
        <is>
          <t>중소기업</t>
        </is>
      </c>
      <c r="L725" t="inlineStr">
        <is>
          <t>외부감사대상</t>
        </is>
      </c>
      <c r="M725" s="6" t="inlineStr">
        <is>
          <t>2009-08-03</t>
        </is>
      </c>
      <c r="N725" t="inlineStr">
        <is>
          <t>KRI:10C1062000</t>
        </is>
      </c>
      <c r="O725" t="inlineStr">
        <is>
          <t>전분제품 및 당류 제조업</t>
        </is>
      </c>
      <c r="P725" t="inlineStr">
        <is>
          <t>전분,글루텐,아미노산 제조,도매/부동산 임대</t>
        </is>
      </c>
      <c r="Q725" t="inlineStr">
        <is>
          <t>서울 영등포구 여의도동 26-5번지</t>
        </is>
      </c>
      <c r="R725" t="inlineStr">
        <is>
          <t>서울 영등포구 여의나루로 53-1</t>
        </is>
      </c>
    </row>
    <row r="726" ht="19.2" customHeight="1" s="1">
      <c r="A726" t="inlineStr">
        <is>
          <t>NICE:C90937</t>
        </is>
      </c>
      <c r="B726" t="inlineStr">
        <is>
          <t>어등산리조트</t>
        </is>
      </c>
      <c r="C726" t="inlineStr">
        <is>
          <t>고경주/이정진</t>
        </is>
      </c>
      <c r="D726" t="inlineStr">
        <is>
          <t>062-605-3112</t>
        </is>
      </c>
      <c r="E726" t="inlineStr">
        <is>
          <t>062-605-3009</t>
        </is>
      </c>
      <c r="F726" s="3">
        <f>HYPERLINK("http://www.eodeungsancc.com/", "http://www.eodeungsancc.com/")</f>
        <v/>
      </c>
      <c r="G726" t="inlineStr">
        <is>
          <t>4088177911</t>
        </is>
      </c>
      <c r="H726" t="inlineStr">
        <is>
          <t>2001110258991</t>
        </is>
      </c>
      <c r="I726" t="inlineStr">
        <is>
          <t>대상아님</t>
        </is>
      </c>
      <c r="J726" t="inlineStr">
        <is>
          <t>일반법인</t>
        </is>
      </c>
      <c r="K726" t="inlineStr">
        <is>
          <t>중소기업</t>
        </is>
      </c>
      <c r="L726" t="inlineStr">
        <is>
          <t>외부감사대상</t>
        </is>
      </c>
      <c r="M726" s="6" t="inlineStr">
        <is>
          <t>2008-04-24</t>
        </is>
      </c>
      <c r="N726" t="inlineStr">
        <is>
          <t>KRI:10R9112100</t>
        </is>
      </c>
      <c r="O726" t="inlineStr">
        <is>
          <t>골프장 운영업</t>
        </is>
      </c>
      <c r="P726" t="inlineStr">
        <is>
          <t>골프장 운영/부동산 임대</t>
        </is>
      </c>
      <c r="Q726" t="inlineStr">
        <is>
          <t>광주 광산구 운수동 산157-15번지</t>
        </is>
      </c>
      <c r="R726" t="inlineStr">
        <is>
          <t>광주 광산구 무진대로 31</t>
        </is>
      </c>
    </row>
    <row r="727" ht="19.2" customHeight="1" s="1">
      <c r="A727" t="inlineStr">
        <is>
          <t>NICE:C92148</t>
        </is>
      </c>
      <c r="B727" t="inlineStr">
        <is>
          <t>미부중공업</t>
        </is>
      </c>
      <c r="C727" t="inlineStr">
        <is>
          <t>지영만/지현규</t>
        </is>
      </c>
      <c r="D727" t="inlineStr">
        <is>
          <t>051-261-0805</t>
        </is>
      </c>
      <c r="E727" t="inlineStr">
        <is>
          <t>051-262-0086</t>
        </is>
      </c>
      <c r="F727" s="3">
        <f>HYPERLINK("http://www.hankukmiboo.co.kr", "http://www.hankukmiboo.co.kr")</f>
        <v/>
      </c>
      <c r="G727" t="inlineStr">
        <is>
          <t>6138149318</t>
        </is>
      </c>
      <c r="H727" t="inlineStr">
        <is>
          <t>1954110016490</t>
        </is>
      </c>
      <c r="I727" t="inlineStr">
        <is>
          <t>대상아님</t>
        </is>
      </c>
      <c r="J727" t="inlineStr">
        <is>
          <t>일반법인</t>
        </is>
      </c>
      <c r="K727" t="inlineStr">
        <is>
          <t>중소기업</t>
        </is>
      </c>
      <c r="L727" t="inlineStr">
        <is>
          <t>외부감사대상</t>
        </is>
      </c>
      <c r="M727" s="6" t="inlineStr">
        <is>
          <t>2008-07-17</t>
        </is>
      </c>
      <c r="N727" t="inlineStr">
        <is>
          <t>KRI:10C3111400</t>
        </is>
      </c>
      <c r="O727" t="inlineStr">
        <is>
          <t>선박 구성 부분품 제조업</t>
        </is>
      </c>
      <c r="P727" t="inlineStr">
        <is>
          <t>선박구성부분품.조선기자재 제조/채권매입</t>
        </is>
      </c>
      <c r="Q727" t="inlineStr">
        <is>
          <t>부산 서구 암남동 616-4번지 3층</t>
        </is>
      </c>
      <c r="R727" t="inlineStr">
        <is>
          <t>부산 서구 암남공원로 82, 3층</t>
        </is>
      </c>
    </row>
    <row r="728" ht="19.2" customHeight="1" s="1">
      <c r="A728" t="inlineStr">
        <is>
          <t>NICE:C93536</t>
        </is>
      </c>
      <c r="B728" t="inlineStr">
        <is>
          <t>에이에이호텔매니지먼트</t>
        </is>
      </c>
      <c r="C728" t="inlineStr">
        <is>
          <t>가스이안시몬스</t>
        </is>
      </c>
      <c r="D728" t="inlineStr">
        <is>
          <t>02-2270-3998</t>
        </is>
      </c>
      <c r="E728" t="inlineStr">
        <is>
          <t>02-2270-3241</t>
        </is>
      </c>
      <c r="F728" s="3">
        <f>HYPERLINK("http://www.ambatel.com", "http://www.ambatel.com")</f>
        <v/>
      </c>
      <c r="G728" t="inlineStr">
        <is>
          <t>2018198616</t>
        </is>
      </c>
      <c r="H728" t="inlineStr">
        <is>
          <t>1101113526485</t>
        </is>
      </c>
      <c r="I728" t="inlineStr">
        <is>
          <t>대상아님</t>
        </is>
      </c>
      <c r="J728" t="inlineStr">
        <is>
          <t>일반법인</t>
        </is>
      </c>
      <c r="K728" t="inlineStr">
        <is>
          <t>중소기업</t>
        </is>
      </c>
      <c r="L728" t="inlineStr">
        <is>
          <t>외부감사대상</t>
        </is>
      </c>
      <c r="M728" s="6" t="inlineStr">
        <is>
          <t>2006-09-12</t>
        </is>
      </c>
      <c r="N728" t="inlineStr">
        <is>
          <t>KRI:10I5510100</t>
        </is>
      </c>
      <c r="O728" t="inlineStr">
        <is>
          <t>호텔업</t>
        </is>
      </c>
      <c r="P728" t="inlineStr">
        <is>
          <t>호텔 운영</t>
        </is>
      </c>
      <c r="Q728" t="inlineStr">
        <is>
          <t>서울 중구 장충동2가 180-10번지</t>
        </is>
      </c>
      <c r="R728" t="inlineStr">
        <is>
          <t>서울 중구 동호로 297</t>
        </is>
      </c>
    </row>
    <row r="729">
      <c r="A729" t="inlineStr">
        <is>
          <t>NICE:C94624</t>
        </is>
      </c>
      <c r="B729" t="inlineStr">
        <is>
          <t>태일회계법인</t>
        </is>
      </c>
      <c r="C729" t="inlineStr">
        <is>
          <t>권순식/남기권/배영석</t>
        </is>
      </c>
      <c r="D729" t="inlineStr">
        <is>
          <t>02-2164-9230</t>
        </is>
      </c>
      <c r="E729" t="inlineStr">
        <is>
          <t>02-2164-9269</t>
        </is>
      </c>
      <c r="G729" t="inlineStr">
        <is>
          <t>1078718699</t>
        </is>
      </c>
      <c r="H729" t="inlineStr">
        <is>
          <t>2541340016199</t>
        </is>
      </c>
      <c r="I729" t="inlineStr">
        <is>
          <t>대상아님</t>
        </is>
      </c>
      <c r="J729" t="inlineStr">
        <is>
          <t>일반법인</t>
        </is>
      </c>
      <c r="K729" t="inlineStr">
        <is>
          <t>중소기업</t>
        </is>
      </c>
      <c r="L729" t="inlineStr">
        <is>
          <t>외부감사비대상</t>
        </is>
      </c>
      <c r="M729" s="6" t="inlineStr">
        <is>
          <t>2009-04-03</t>
        </is>
      </c>
      <c r="N729" t="inlineStr">
        <is>
          <t>KRI:10M7120100</t>
        </is>
      </c>
      <c r="O729" t="inlineStr">
        <is>
          <t>공인회계사업</t>
        </is>
      </c>
      <c r="P729" t="inlineStr">
        <is>
          <t>공인회계사,학술연구,원가계산</t>
        </is>
      </c>
      <c r="Q729" t="inlineStr">
        <is>
          <t>서울 영등포구 여의도동 17-6번지 광복회관 2층,3층</t>
        </is>
      </c>
      <c r="R729" t="inlineStr">
        <is>
          <t>서울 영등포구 국회대로62길 15, 2층,3층 (여의도동,광복회관)</t>
        </is>
      </c>
    </row>
    <row r="730" ht="19.2" customHeight="1" s="1">
      <c r="A730" t="inlineStr">
        <is>
          <t>NICE:C98079</t>
        </is>
      </c>
      <c r="B730" t="inlineStr">
        <is>
          <t>금호티앤엘</t>
        </is>
      </c>
      <c r="C730" t="inlineStr">
        <is>
          <t>송유선</t>
        </is>
      </c>
      <c r="D730" t="inlineStr">
        <is>
          <t>061-808-3311</t>
        </is>
      </c>
      <c r="E730" t="inlineStr">
        <is>
          <t>061-808-3329</t>
        </is>
      </c>
      <c r="F730" s="3">
        <f>HYPERLINK("http://www.ktnl.co.kr", "http://www.ktnl.co.kr")</f>
        <v/>
      </c>
      <c r="G730" t="inlineStr">
        <is>
          <t>4178138794</t>
        </is>
      </c>
      <c r="H730" t="inlineStr">
        <is>
          <t>2062110039707</t>
        </is>
      </c>
      <c r="I730" t="inlineStr">
        <is>
          <t>대상아님</t>
        </is>
      </c>
      <c r="J730" t="inlineStr">
        <is>
          <t>일반법인</t>
        </is>
      </c>
      <c r="K730" t="inlineStr">
        <is>
          <t>중견기업</t>
        </is>
      </c>
      <c r="L730" t="inlineStr">
        <is>
          <t>외부감사대상</t>
        </is>
      </c>
      <c r="M730" s="6" t="inlineStr">
        <is>
          <t>2009-09-22</t>
        </is>
      </c>
      <c r="N730" t="inlineStr">
        <is>
          <t>KRI:10H5294200</t>
        </is>
      </c>
      <c r="O730" t="inlineStr">
        <is>
          <t>수상 화물 취급업</t>
        </is>
      </c>
      <c r="P730" t="inlineStr">
        <is>
          <t>수상 화물 취급(유연탄 하역,보관,이송)</t>
        </is>
      </c>
      <c r="Q730" t="inlineStr">
        <is>
          <t>전남 여수시 낙포동 1354번지</t>
        </is>
      </c>
      <c r="R730" t="inlineStr">
        <is>
          <t>전남 여수시 여수산단로 1469-100</t>
        </is>
      </c>
    </row>
    <row r="731">
      <c r="A731" t="inlineStr">
        <is>
          <t>NICE:C98919</t>
        </is>
      </c>
      <c r="B731" t="inlineStr">
        <is>
          <t>태진</t>
        </is>
      </c>
      <c r="C731" t="inlineStr">
        <is>
          <t>여태곤</t>
        </is>
      </c>
      <c r="D731" t="inlineStr">
        <is>
          <t>061-464-0093</t>
        </is>
      </c>
      <c r="E731" t="inlineStr">
        <is>
          <t>061-464-0095</t>
        </is>
      </c>
      <c r="G731" t="inlineStr">
        <is>
          <t>4118144508</t>
        </is>
      </c>
      <c r="H731" t="inlineStr">
        <is>
          <t>2054110039184</t>
        </is>
      </c>
      <c r="I731" t="inlineStr">
        <is>
          <t>대상아님</t>
        </is>
      </c>
      <c r="J731" t="inlineStr">
        <is>
          <t>일반법인</t>
        </is>
      </c>
      <c r="K731" t="inlineStr">
        <is>
          <t>중소기업</t>
        </is>
      </c>
      <c r="L731" t="inlineStr">
        <is>
          <t>외부감사대상</t>
        </is>
      </c>
      <c r="M731" s="6" t="inlineStr">
        <is>
          <t>2006-05-17</t>
        </is>
      </c>
      <c r="N731" t="inlineStr">
        <is>
          <t>KRI:10C2594400</t>
        </is>
      </c>
      <c r="O731" t="inlineStr">
        <is>
          <t>금속선 가공제품 제조업</t>
        </is>
      </c>
      <c r="P731" t="inlineStr">
        <is>
          <t>선박제품</t>
        </is>
      </c>
      <c r="Q731" t="inlineStr">
        <is>
          <t>전남 영암군 삼호읍 나불리 339-19번지</t>
        </is>
      </c>
      <c r="R731" t="inlineStr">
        <is>
          <t>전남 영암군 삼호읍 자유무역로 13</t>
        </is>
      </c>
    </row>
    <row r="732" ht="19.2" customHeight="1" s="1">
      <c r="A732" t="inlineStr">
        <is>
          <t>NICE:CB9762</t>
        </is>
      </c>
      <c r="B732" t="inlineStr">
        <is>
          <t>메이블</t>
        </is>
      </c>
      <c r="C732" t="inlineStr">
        <is>
          <t>박세권</t>
        </is>
      </c>
      <c r="D732" t="inlineStr">
        <is>
          <t>02-2210-7706</t>
        </is>
      </c>
      <c r="E732" t="inlineStr">
        <is>
          <t>02-2210-7777</t>
        </is>
      </c>
      <c r="F732" s="3">
        <f>HYPERLINK("http://www.mable-company.com", "http://www.mable-company.com")</f>
        <v/>
      </c>
      <c r="G732" t="inlineStr">
        <is>
          <t>1298691922</t>
        </is>
      </c>
      <c r="H732" t="inlineStr">
        <is>
          <t>1311110395557</t>
        </is>
      </c>
      <c r="I732" t="inlineStr">
        <is>
          <t>대상아님</t>
        </is>
      </c>
      <c r="J732" t="inlineStr">
        <is>
          <t>일반법인</t>
        </is>
      </c>
      <c r="K732" t="inlineStr">
        <is>
          <t>중소기업</t>
        </is>
      </c>
      <c r="L732" t="inlineStr">
        <is>
          <t>외부감사대상</t>
        </is>
      </c>
      <c r="M732" s="6" t="inlineStr">
        <is>
          <t>2014-12-23</t>
        </is>
      </c>
      <c r="N732" t="inlineStr">
        <is>
          <t>KRI:10C1419400</t>
        </is>
      </c>
      <c r="O732" t="inlineStr">
        <is>
          <t>유아용 의복 제조업</t>
        </is>
      </c>
      <c r="P732" t="inlineStr">
        <is>
          <t>아동복 제조/전자상거래/디자인컨설팅</t>
        </is>
      </c>
      <c r="Q732" t="inlineStr">
        <is>
          <t>서울 성동구 성수동2가 280-6번지 생각공장데시앙플렉스 1807호</t>
        </is>
      </c>
      <c r="R732" t="inlineStr">
        <is>
          <t>서울 성동구 아차산로17길 49, 1807호 (성수동2가,생각공장데시앙플렉스)</t>
        </is>
      </c>
    </row>
    <row r="733">
      <c r="A733" t="inlineStr">
        <is>
          <t>NICE:CB9934</t>
        </is>
      </c>
      <c r="B733" t="inlineStr">
        <is>
          <t>피알앤디컴퍼니</t>
        </is>
      </c>
      <c r="C733" t="inlineStr">
        <is>
          <t>박진우</t>
        </is>
      </c>
      <c r="D733" t="inlineStr">
        <is>
          <t>070-7459-4788</t>
        </is>
      </c>
      <c r="G733" t="inlineStr">
        <is>
          <t>2208895088</t>
        </is>
      </c>
      <c r="H733" t="inlineStr">
        <is>
          <t>1101115599050</t>
        </is>
      </c>
      <c r="I733" t="inlineStr">
        <is>
          <t>대상아님</t>
        </is>
      </c>
      <c r="J733" t="inlineStr">
        <is>
          <t>일반법인</t>
        </is>
      </c>
      <c r="K733" t="inlineStr">
        <is>
          <t>중소기업</t>
        </is>
      </c>
      <c r="L733" t="inlineStr">
        <is>
          <t>외부감사대상</t>
        </is>
      </c>
      <c r="M733" s="6" t="inlineStr">
        <is>
          <t>2014-12-24</t>
        </is>
      </c>
      <c r="N733" t="inlineStr">
        <is>
          <t>KRI:10J5822200</t>
        </is>
      </c>
      <c r="O733" t="inlineStr">
        <is>
          <t>응용 소프트웨어 개발 및 공급업</t>
        </is>
      </c>
      <c r="P733" t="inlineStr">
        <is>
          <t>어플리케이션 구축</t>
        </is>
      </c>
      <c r="Q733" t="inlineStr">
        <is>
          <t>서울 서초구 서초동 1321-20번지 디에셋 8층</t>
        </is>
      </c>
      <c r="R733" t="inlineStr">
        <is>
          <t>서울 서초구 서초대로74길 14, 8층 (서초동,디에셋)</t>
        </is>
      </c>
    </row>
    <row r="734" ht="19.2" customHeight="1" s="1">
      <c r="A734" t="inlineStr">
        <is>
          <t>NICE:CC1967</t>
        </is>
      </c>
      <c r="B734" t="inlineStr">
        <is>
          <t>동광제약</t>
        </is>
      </c>
      <c r="C734" t="inlineStr">
        <is>
          <t>장만식</t>
        </is>
      </c>
      <c r="D734" t="inlineStr">
        <is>
          <t>02-776-7641</t>
        </is>
      </c>
      <c r="E734" t="inlineStr">
        <is>
          <t>02-319-1180</t>
        </is>
      </c>
      <c r="F734" s="3">
        <f>HYPERLINK("http://dkpco.co.kr", "http://dkpco.co.kr")</f>
        <v/>
      </c>
      <c r="G734" t="inlineStr">
        <is>
          <t>2018644250</t>
        </is>
      </c>
      <c r="H734" t="inlineStr">
        <is>
          <t>1101115603257</t>
        </is>
      </c>
      <c r="I734" t="inlineStr">
        <is>
          <t>대상아님</t>
        </is>
      </c>
      <c r="J734" t="inlineStr">
        <is>
          <t>일반법인</t>
        </is>
      </c>
      <c r="K734" t="inlineStr">
        <is>
          <t>중견기업</t>
        </is>
      </c>
      <c r="L734" t="inlineStr">
        <is>
          <t>외부감사대상</t>
        </is>
      </c>
      <c r="M734" s="6" t="inlineStr">
        <is>
          <t>2014-12-31</t>
        </is>
      </c>
      <c r="N734" t="inlineStr">
        <is>
          <t>KRI:10C2121000</t>
        </is>
      </c>
      <c r="O734" t="inlineStr">
        <is>
          <t>완제 의약품 제조업</t>
        </is>
      </c>
      <c r="P734" t="inlineStr">
        <is>
          <t>양약,자양강장제 제조,도소매,통신판매</t>
        </is>
      </c>
      <c r="Q734" t="inlineStr">
        <is>
          <t>서울 중구 충무로1가 25-5번지 고려대연각센터빌딩 12층</t>
        </is>
      </c>
      <c r="R734" t="inlineStr">
        <is>
          <t>서울 중구 퇴계로 97, 12층 (충무로1가,고려대연각센터빌딩)</t>
        </is>
      </c>
    </row>
    <row r="735" ht="19.2" customHeight="1" s="1">
      <c r="A735" t="inlineStr">
        <is>
          <t>NICE:CC6566</t>
        </is>
      </c>
      <c r="B735" t="inlineStr">
        <is>
          <t>청양해운</t>
        </is>
      </c>
      <c r="C735" t="inlineStr">
        <is>
          <t>박종은/정흥건</t>
        </is>
      </c>
      <c r="D735" t="inlineStr">
        <is>
          <t>051-603-3900</t>
        </is>
      </c>
      <c r="E735" t="inlineStr">
        <is>
          <t>051-745-9101</t>
        </is>
      </c>
      <c r="F735" s="3">
        <f>HYPERLINK("http://www.cyship.co.kr", "http://www.cyship.co.kr")</f>
        <v/>
      </c>
      <c r="G735" t="inlineStr">
        <is>
          <t>6178625900</t>
        </is>
      </c>
      <c r="H735" t="inlineStr">
        <is>
          <t>1801110952598</t>
        </is>
      </c>
      <c r="I735" t="inlineStr">
        <is>
          <t>대상아님</t>
        </is>
      </c>
      <c r="J735" t="inlineStr">
        <is>
          <t>일반법인</t>
        </is>
      </c>
      <c r="K735" t="inlineStr">
        <is>
          <t>중소기업</t>
        </is>
      </c>
      <c r="L735" t="inlineStr">
        <is>
          <t>외부감사대상</t>
        </is>
      </c>
      <c r="M735" s="6" t="inlineStr">
        <is>
          <t>2015-01-15</t>
        </is>
      </c>
      <c r="N735" t="inlineStr">
        <is>
          <t>KRI:10H5011200</t>
        </is>
      </c>
      <c r="O735" t="inlineStr">
        <is>
          <t>외항 화물 운송업</t>
        </is>
      </c>
      <c r="P735" t="inlineStr">
        <is>
          <t>외항화물 운송/선박 임대/부동산 전대/해양엔지니어링 서비스</t>
        </is>
      </c>
      <c r="Q735" t="inlineStr">
        <is>
          <t>서울 강남구 논현동 86-15번지 청양해운빌딩 1층 5층 6층</t>
        </is>
      </c>
      <c r="R735" t="inlineStr">
        <is>
          <t>서울 강남구 학동로31길 13, 1층 5층 6층 (논현동,청양해운빌딩)</t>
        </is>
      </c>
    </row>
    <row r="736">
      <c r="A736" t="inlineStr">
        <is>
          <t>NICE:CD2997</t>
        </is>
      </c>
      <c r="B736" t="inlineStr">
        <is>
          <t>에스제이지홀딩스</t>
        </is>
      </c>
      <c r="C736" t="inlineStr">
        <is>
          <t>박정길</t>
        </is>
      </c>
      <c r="D736" t="inlineStr">
        <is>
          <t>070-7733-1684</t>
        </is>
      </c>
      <c r="E736" t="inlineStr">
        <is>
          <t>02-542-0703</t>
        </is>
      </c>
      <c r="G736" t="inlineStr">
        <is>
          <t>2618125454</t>
        </is>
      </c>
      <c r="H736" t="inlineStr">
        <is>
          <t>1101115634260</t>
        </is>
      </c>
      <c r="I736" t="inlineStr">
        <is>
          <t>대상아님</t>
        </is>
      </c>
      <c r="J736" t="inlineStr">
        <is>
          <t>일반법인</t>
        </is>
      </c>
      <c r="K736" t="inlineStr">
        <is>
          <t>중소기업</t>
        </is>
      </c>
      <c r="L736" t="inlineStr">
        <is>
          <t>외부감사대상</t>
        </is>
      </c>
      <c r="M736" s="6" t="inlineStr">
        <is>
          <t>2015-02-04</t>
        </is>
      </c>
      <c r="N736" t="inlineStr">
        <is>
          <t>KRI:10M7150000</t>
        </is>
      </c>
      <c r="O736" t="inlineStr">
        <is>
          <t>회사 본부 및 경영 컨설팅 서비스업</t>
        </is>
      </c>
      <c r="P736" t="inlineStr">
        <is>
          <t>비금융지주,경영 컨설팅</t>
        </is>
      </c>
      <c r="Q736" t="inlineStr">
        <is>
          <t>서울 강남구 논현동 97-23번지 세종빌딩 11층</t>
        </is>
      </c>
      <c r="R736" t="inlineStr">
        <is>
          <t>서울 강남구 언주로 732, 11층 (논현동,세종빌딩)</t>
        </is>
      </c>
    </row>
    <row r="737">
      <c r="A737" t="inlineStr">
        <is>
          <t>NICE:D46645</t>
        </is>
      </c>
      <c r="B737" t="inlineStr">
        <is>
          <t>한양여자대학교산학협력단</t>
        </is>
      </c>
      <c r="C737" t="inlineStr">
        <is>
          <t>신해웅</t>
        </is>
      </c>
      <c r="D737" t="inlineStr">
        <is>
          <t>02-2290-2057</t>
        </is>
      </c>
      <c r="E737" t="inlineStr">
        <is>
          <t>02-2290-2059</t>
        </is>
      </c>
      <c r="G737" t="inlineStr">
        <is>
          <t>2068207378</t>
        </is>
      </c>
      <c r="H737" t="inlineStr">
        <is>
          <t>2401710007675</t>
        </is>
      </c>
      <c r="I737" t="inlineStr">
        <is>
          <t>대상아님</t>
        </is>
      </c>
      <c r="J737" t="inlineStr">
        <is>
          <t>비영리법인</t>
        </is>
      </c>
      <c r="K737" t="inlineStr">
        <is>
          <t>대상아님</t>
        </is>
      </c>
      <c r="L737" t="inlineStr">
        <is>
          <t>외부감사비대상</t>
        </is>
      </c>
      <c r="M737" s="6" t="inlineStr">
        <is>
          <t>2004-06-03</t>
        </is>
      </c>
      <c r="N737" t="inlineStr">
        <is>
          <t>KRI:10M7160000</t>
        </is>
      </c>
      <c r="O737" t="inlineStr">
        <is>
          <t>기타 전문 서비스업</t>
        </is>
      </c>
      <c r="P737" t="inlineStr">
        <is>
          <t>산학협력,학술,기술연구용역/농산물 도소매,전자상거래</t>
        </is>
      </c>
      <c r="Q737" t="inlineStr">
        <is>
          <t>서울 성동구 사근동 110번지</t>
        </is>
      </c>
      <c r="R737" t="inlineStr">
        <is>
          <t>서울 성동구 살곶이길 200</t>
        </is>
      </c>
    </row>
    <row r="738">
      <c r="A738" t="inlineStr">
        <is>
          <t>NICE:DS1192</t>
        </is>
      </c>
      <c r="B738" t="inlineStr">
        <is>
          <t>미성코스메틱</t>
        </is>
      </c>
      <c r="C738" t="inlineStr">
        <is>
          <t>김태호</t>
        </is>
      </c>
      <c r="D738" t="inlineStr">
        <is>
          <t>031-388-9630</t>
        </is>
      </c>
      <c r="E738" t="inlineStr">
        <is>
          <t>031-388-9631</t>
        </is>
      </c>
      <c r="G738" t="inlineStr">
        <is>
          <t>7318100063</t>
        </is>
      </c>
      <c r="H738" t="inlineStr">
        <is>
          <t>1341110406418</t>
        </is>
      </c>
      <c r="I738" t="inlineStr">
        <is>
          <t>대상아님</t>
        </is>
      </c>
      <c r="J738" t="inlineStr">
        <is>
          <t>일반법인</t>
        </is>
      </c>
      <c r="K738" t="inlineStr">
        <is>
          <t>중소기업</t>
        </is>
      </c>
      <c r="L738" t="inlineStr">
        <is>
          <t>외부감사대상</t>
        </is>
      </c>
      <c r="M738" s="6" t="inlineStr">
        <is>
          <t>2015-03-13</t>
        </is>
      </c>
      <c r="N738" t="inlineStr">
        <is>
          <t>KRI:10G4644300</t>
        </is>
      </c>
      <c r="O738" t="inlineStr">
        <is>
          <t>화장품 및 화장용품 도매업</t>
        </is>
      </c>
      <c r="P738" t="inlineStr">
        <is>
          <t>화장품원료,의약품원료 도소매/부동산 임대</t>
        </is>
      </c>
      <c r="Q738" t="inlineStr">
        <is>
          <t>경기 안양시 동안구 관양동 922번지 평촌하이필드지식산업센타 A동 1406호</t>
        </is>
      </c>
      <c r="R738" t="inlineStr">
        <is>
          <t>경기 안양시 동안구 벌말로 66, A동 1406호 (관양동,평촌하이필드지식산업센타)</t>
        </is>
      </c>
    </row>
    <row r="739" ht="19.2" customHeight="1" s="1">
      <c r="A739" t="inlineStr">
        <is>
          <t>NICE:E10098</t>
        </is>
      </c>
      <c r="B739" t="inlineStr">
        <is>
          <t>뉴빛테크놀러지</t>
        </is>
      </c>
      <c r="C739" t="inlineStr">
        <is>
          <t>김진묵</t>
        </is>
      </c>
      <c r="D739" t="inlineStr">
        <is>
          <t>031-719-9490</t>
        </is>
      </c>
      <c r="E739" t="inlineStr">
        <is>
          <t>031-719-9489</t>
        </is>
      </c>
      <c r="F739" s="3">
        <f>HYPERLINK("http://www.newbit.co.kr", "http://www.newbit.co.kr")</f>
        <v/>
      </c>
      <c r="G739" t="inlineStr">
        <is>
          <t>1298182976</t>
        </is>
      </c>
      <c r="H739" t="inlineStr">
        <is>
          <t>1311110136472</t>
        </is>
      </c>
      <c r="I739" t="inlineStr">
        <is>
          <t>대상아님</t>
        </is>
      </c>
      <c r="J739" t="inlineStr">
        <is>
          <t>일반법인</t>
        </is>
      </c>
      <c r="K739" t="inlineStr">
        <is>
          <t>중소기업</t>
        </is>
      </c>
      <c r="L739" t="inlineStr">
        <is>
          <t>외부감사대상</t>
        </is>
      </c>
      <c r="M739" s="6" t="inlineStr">
        <is>
          <t>2005-03-21</t>
        </is>
      </c>
      <c r="N739" t="inlineStr">
        <is>
          <t>KRI:10M7012100</t>
        </is>
      </c>
      <c r="O739" t="inlineStr">
        <is>
          <t>전기ㆍ전자공학 연구개발업</t>
        </is>
      </c>
      <c r="P739" t="inlineStr">
        <is>
          <t>종합군수지원요소 개발/소프트웨어자문,개발,공급,통신,컴퓨터유지보수용역,컴퓨터,주변기기유지보수/기술교범인쇄/컴퓨터,주변기기,전기전자,통신장비 도소매</t>
        </is>
      </c>
      <c r="Q739" t="inlineStr">
        <is>
          <t>경기 성남시 분당구 구미동 153번지 로드랜드이지타워 3층 309호</t>
        </is>
      </c>
      <c r="R739" t="inlineStr">
        <is>
          <t>경기 성남시 분당구 성남대로 69, 3층 309호 (구미동,로드랜드이지타워)</t>
        </is>
      </c>
    </row>
    <row r="740">
      <c r="A740" t="inlineStr">
        <is>
          <t>NICE:E10138</t>
        </is>
      </c>
      <c r="B740" t="inlineStr">
        <is>
          <t>대연</t>
        </is>
      </c>
      <c r="C740" t="inlineStr">
        <is>
          <t>김대성</t>
        </is>
      </c>
      <c r="D740" t="inlineStr">
        <is>
          <t>031-495-3301</t>
        </is>
      </c>
      <c r="E740" t="inlineStr">
        <is>
          <t>031-495-3305</t>
        </is>
      </c>
      <c r="G740" t="inlineStr">
        <is>
          <t>1408126175</t>
        </is>
      </c>
      <c r="H740" t="inlineStr">
        <is>
          <t>1355110186178</t>
        </is>
      </c>
      <c r="I740" t="inlineStr">
        <is>
          <t>대상아님</t>
        </is>
      </c>
      <c r="J740" t="inlineStr">
        <is>
          <t>일반법인</t>
        </is>
      </c>
      <c r="K740" t="inlineStr">
        <is>
          <t>중소기업</t>
        </is>
      </c>
      <c r="L740" t="inlineStr">
        <is>
          <t>외부감사대상</t>
        </is>
      </c>
      <c r="M740" s="6" t="inlineStr">
        <is>
          <t>2007-11-29</t>
        </is>
      </c>
      <c r="N740" t="inlineStr">
        <is>
          <t>KRI:10C1340200</t>
        </is>
      </c>
      <c r="O740" t="inlineStr">
        <is>
          <t>직물, 편조원단 및 의복류 염색 가공업</t>
        </is>
      </c>
      <c r="P740" t="inlineStr">
        <is>
          <t>섬유 염색,제조,판매,가공</t>
        </is>
      </c>
      <c r="Q740" t="inlineStr">
        <is>
          <t>경기 안산시 단원구 초지동 624-4번지</t>
        </is>
      </c>
      <c r="R740" t="inlineStr">
        <is>
          <t>경기 안산시 단원구 별망로 703</t>
        </is>
      </c>
    </row>
    <row r="741" ht="19.2" customHeight="1" s="1">
      <c r="A741" t="inlineStr">
        <is>
          <t>NICE:E10282</t>
        </is>
      </c>
      <c r="B741" t="inlineStr">
        <is>
          <t>이노바이오써지</t>
        </is>
      </c>
      <c r="C741" t="inlineStr">
        <is>
          <t>왕제원</t>
        </is>
      </c>
      <c r="D741" t="inlineStr">
        <is>
          <t>042-933-2879</t>
        </is>
      </c>
      <c r="E741" t="inlineStr">
        <is>
          <t>042-933-2881</t>
        </is>
      </c>
      <c r="F741" s="3">
        <f>HYPERLINK("http://www.ibsimplant.com", "http://www.ibsimplant.com")</f>
        <v/>
      </c>
      <c r="G741" t="inlineStr">
        <is>
          <t>3058194533</t>
        </is>
      </c>
      <c r="H741" t="inlineStr">
        <is>
          <t>1601110247266</t>
        </is>
      </c>
      <c r="I741" t="inlineStr">
        <is>
          <t>대상아님</t>
        </is>
      </c>
      <c r="J741" t="inlineStr">
        <is>
          <t>일반법인</t>
        </is>
      </c>
      <c r="K741" t="inlineStr">
        <is>
          <t>중소기업</t>
        </is>
      </c>
      <c r="L741" t="inlineStr">
        <is>
          <t>외부감사대상</t>
        </is>
      </c>
      <c r="M741" s="6" t="inlineStr">
        <is>
          <t>2008-09-04</t>
        </is>
      </c>
      <c r="N741" t="inlineStr">
        <is>
          <t>KRI:10C2719200</t>
        </is>
      </c>
      <c r="O741" t="inlineStr">
        <is>
          <t>정형외과용 및 신체보정용 기기 제조업</t>
        </is>
      </c>
      <c r="P741" t="inlineStr">
        <is>
          <t>정형외과용신체보정기기,치과용임플란트 제조,도소매,무역/의학,약학 연구개발</t>
        </is>
      </c>
      <c r="Q741" t="inlineStr">
        <is>
          <t>대전 유성구 탑립동 811번지</t>
        </is>
      </c>
      <c r="R741" t="inlineStr">
        <is>
          <t>대전 유성구 테크노10로 44-19</t>
        </is>
      </c>
    </row>
    <row r="742" ht="19.2" customHeight="1" s="1">
      <c r="A742" t="inlineStr">
        <is>
          <t>NICE:E10695</t>
        </is>
      </c>
      <c r="B742" t="inlineStr">
        <is>
          <t>신지모루</t>
        </is>
      </c>
      <c r="C742" t="inlineStr">
        <is>
          <t>정찬호</t>
        </is>
      </c>
      <c r="D742" t="inlineStr">
        <is>
          <t>070-8233-5700</t>
        </is>
      </c>
      <c r="E742" t="inlineStr">
        <is>
          <t>02-6008-7301</t>
        </is>
      </c>
      <c r="F742" s="3">
        <f>HYPERLINK("http://www.sinjimall.com", "http://www.sinjimall.com")</f>
        <v/>
      </c>
      <c r="G742" t="inlineStr">
        <is>
          <t>1138621396</t>
        </is>
      </c>
      <c r="H742" t="inlineStr">
        <is>
          <t>1101113887605</t>
        </is>
      </c>
      <c r="I742" t="inlineStr">
        <is>
          <t>대상아님</t>
        </is>
      </c>
      <c r="J742" t="inlineStr">
        <is>
          <t>일반법인</t>
        </is>
      </c>
      <c r="K742" t="inlineStr">
        <is>
          <t>중소기업</t>
        </is>
      </c>
      <c r="L742" t="inlineStr">
        <is>
          <t>외부감사대상</t>
        </is>
      </c>
      <c r="M742" s="6" t="inlineStr">
        <is>
          <t>2008-04-28</t>
        </is>
      </c>
      <c r="N742" t="inlineStr">
        <is>
          <t>KRI:10C2629500</t>
        </is>
      </c>
      <c r="O742" t="inlineStr">
        <is>
          <t>전자감지장치 제조업</t>
        </is>
      </c>
      <c r="P742" t="inlineStr">
        <is>
          <t>전기전자제품 제조</t>
        </is>
      </c>
      <c r="Q742" t="inlineStr">
        <is>
          <t>서울 마포구 상암동 1605번지 누리꿈스퀘어 19층</t>
        </is>
      </c>
      <c r="R742" t="inlineStr">
        <is>
          <t>서울 마포구 월드컵북로 396, 19층 (상암동,누리꿈스퀘어)</t>
        </is>
      </c>
    </row>
    <row r="743">
      <c r="A743" t="inlineStr">
        <is>
          <t>NICE:E39368</t>
        </is>
      </c>
      <c r="B743" t="inlineStr">
        <is>
          <t>한국사회복지공제회</t>
        </is>
      </c>
      <c r="C743" t="inlineStr">
        <is>
          <t>김용하</t>
        </is>
      </c>
      <c r="D743" t="inlineStr">
        <is>
          <t>02-3775-1680</t>
        </is>
      </c>
      <c r="G743" t="inlineStr">
        <is>
          <t>1078215606</t>
        </is>
      </c>
      <c r="H743" t="inlineStr">
        <is>
          <t>2541710021231</t>
        </is>
      </c>
      <c r="I743" t="inlineStr">
        <is>
          <t>대상아님</t>
        </is>
      </c>
      <c r="J743" t="inlineStr">
        <is>
          <t>비영리법인</t>
        </is>
      </c>
      <c r="K743" t="inlineStr">
        <is>
          <t>대상아님</t>
        </is>
      </c>
      <c r="L743" t="inlineStr">
        <is>
          <t>외부감사비대상</t>
        </is>
      </c>
      <c r="M743" s="6" t="inlineStr">
        <is>
          <t>2011-12-09</t>
        </is>
      </c>
      <c r="N743" t="inlineStr">
        <is>
          <t>KRI:10K6620900</t>
        </is>
      </c>
      <c r="O743" t="inlineStr">
        <is>
          <t>기타 보험 및 연금관련 서비스업</t>
        </is>
      </c>
      <c r="P743" t="inlineStr">
        <is>
          <t>보험,연금관리서비스/비주거용 건물 임대</t>
        </is>
      </c>
      <c r="Q743" t="inlineStr">
        <is>
          <t>서울 서초구 반포동 706-10번지 지하, 10층, 11층, 12층</t>
        </is>
      </c>
      <c r="R743" t="inlineStr">
        <is>
          <t>서울 서초구 강남대로 545-4, 지하, 10층, 11층, 12층</t>
        </is>
      </c>
    </row>
    <row r="744" ht="19.2" customHeight="1" s="1">
      <c r="A744" t="inlineStr">
        <is>
          <t>NICE:E39535</t>
        </is>
      </c>
      <c r="B744" t="inlineStr">
        <is>
          <t>아시아에너지</t>
        </is>
      </c>
      <c r="C744" t="inlineStr">
        <is>
          <t>김영미</t>
        </is>
      </c>
      <c r="D744" t="inlineStr">
        <is>
          <t>051-741-6220</t>
        </is>
      </c>
      <c r="E744" t="inlineStr">
        <is>
          <t>051-741-6222</t>
        </is>
      </c>
      <c r="F744" s="3">
        <f>HYPERLINK("http://www.asiaenergy.kr", "http://www.asiaenergy.kr")</f>
        <v/>
      </c>
      <c r="G744" t="inlineStr">
        <is>
          <t>6218197126</t>
        </is>
      </c>
      <c r="H744" t="inlineStr">
        <is>
          <t>2341110066485</t>
        </is>
      </c>
      <c r="I744" t="inlineStr">
        <is>
          <t>대상아님</t>
        </is>
      </c>
      <c r="J744" t="inlineStr">
        <is>
          <t>일반법인</t>
        </is>
      </c>
      <c r="K744" t="inlineStr">
        <is>
          <t>중소기업</t>
        </is>
      </c>
      <c r="L744" t="inlineStr">
        <is>
          <t>외부감사대상</t>
        </is>
      </c>
      <c r="M744" s="6" t="inlineStr">
        <is>
          <t>2012-08-03</t>
        </is>
      </c>
      <c r="N744" t="inlineStr">
        <is>
          <t>KRI:10C1921000</t>
        </is>
      </c>
      <c r="O744" t="inlineStr">
        <is>
          <t>원유 정제처리업</t>
        </is>
      </c>
      <c r="P744" t="inlineStr">
        <is>
          <t>석유화학(바이오중유,정제유) 가공/알루미늄 제조/우드펠렛 도소매/무역/엔지니어링,대체에너지 연구개발</t>
        </is>
      </c>
      <c r="Q744" t="inlineStr">
        <is>
          <t>부산 해운대구 우동 1454번지 벽산이센텀클래스원2차 1309호, 1310호</t>
        </is>
      </c>
      <c r="R744" t="inlineStr">
        <is>
          <t>부산 해운대구 센텀동로 71, 1309호, 1310호 (우동,벽산이센텀클래스원2차)</t>
        </is>
      </c>
    </row>
    <row r="745" ht="19.2" customHeight="1" s="1">
      <c r="A745" t="inlineStr">
        <is>
          <t>NICE:E44883</t>
        </is>
      </c>
      <c r="B745" t="inlineStr">
        <is>
          <t>티젠</t>
        </is>
      </c>
      <c r="C745" t="inlineStr">
        <is>
          <t>김병희/신진주</t>
        </is>
      </c>
      <c r="D745" t="inlineStr">
        <is>
          <t>02-6246-8010</t>
        </is>
      </c>
      <c r="E745" t="inlineStr">
        <is>
          <t>02-6246-8020</t>
        </is>
      </c>
      <c r="F745" s="3">
        <f>HYPERLINK("http://www.teazen.co.kr", "http://www.teazen.co.kr")</f>
        <v/>
      </c>
      <c r="G745" t="inlineStr">
        <is>
          <t>4158146492</t>
        </is>
      </c>
      <c r="H745" t="inlineStr">
        <is>
          <t>2014110012233</t>
        </is>
      </c>
      <c r="I745" t="inlineStr">
        <is>
          <t>대상아님</t>
        </is>
      </c>
      <c r="J745" t="inlineStr">
        <is>
          <t>일반법인</t>
        </is>
      </c>
      <c r="K745" t="inlineStr">
        <is>
          <t>중소기업</t>
        </is>
      </c>
      <c r="L745" t="inlineStr">
        <is>
          <t>외부감사대상</t>
        </is>
      </c>
      <c r="M745" s="6" t="inlineStr">
        <is>
          <t>2000-03-02</t>
        </is>
      </c>
      <c r="N745" t="inlineStr">
        <is>
          <t>KRI:10C1079200</t>
        </is>
      </c>
      <c r="O745" t="inlineStr">
        <is>
          <t>차류 가공업</t>
        </is>
      </c>
      <c r="P745" t="inlineStr">
        <is>
          <t>다류,(건강)기능성음료 제조,판매/식품 재배/화장품 도소매,무역,전자상거래</t>
        </is>
      </c>
      <c r="Q745" t="inlineStr">
        <is>
          <t>서울 용산구 동자동 56번지 트윈시티남산 5층</t>
        </is>
      </c>
      <c r="R745" t="inlineStr">
        <is>
          <t>서울 용산구 한강대로 366, 5층 (동자동,트윈시티남산)</t>
        </is>
      </c>
    </row>
    <row r="746" ht="19.2" customHeight="1" s="1">
      <c r="A746" t="inlineStr">
        <is>
          <t>NICE:E48598</t>
        </is>
      </c>
      <c r="B746" t="inlineStr">
        <is>
          <t>델릭스</t>
        </is>
      </c>
      <c r="C746" t="inlineStr">
        <is>
          <t>남석주</t>
        </is>
      </c>
      <c r="D746" t="inlineStr">
        <is>
          <t>055-282-5061</t>
        </is>
      </c>
      <c r="E746" t="inlineStr">
        <is>
          <t>055-282-5062</t>
        </is>
      </c>
      <c r="F746" s="3">
        <f>HYPERLINK("http://www.dellics.com", "http://www.dellics.com")</f>
        <v/>
      </c>
      <c r="G746" t="inlineStr">
        <is>
          <t>6098601251</t>
        </is>
      </c>
      <c r="H746" t="inlineStr">
        <is>
          <t>1942110193657</t>
        </is>
      </c>
      <c r="I746" t="inlineStr">
        <is>
          <t>대상아님</t>
        </is>
      </c>
      <c r="J746" t="inlineStr">
        <is>
          <t>일반법인</t>
        </is>
      </c>
      <c r="K746" t="inlineStr">
        <is>
          <t>중소기업</t>
        </is>
      </c>
      <c r="L746" t="inlineStr">
        <is>
          <t>외부감사대상</t>
        </is>
      </c>
      <c r="M746" s="6" t="inlineStr">
        <is>
          <t>1995-09-01</t>
        </is>
      </c>
      <c r="N746" t="inlineStr">
        <is>
          <t>KRI:10C3031000</t>
        </is>
      </c>
      <c r="O746" t="inlineStr">
        <is>
          <t>자동차 엔진용 신품 부품 제조업</t>
        </is>
      </c>
      <c r="P746" t="inlineStr">
        <is>
          <t>자동차엔진용부품,자동차부품 제조</t>
        </is>
      </c>
      <c r="Q746" t="inlineStr">
        <is>
          <t>경남 창원시 마산합포구 진북면 신촌리 9-2번지</t>
        </is>
      </c>
      <c r="R746" t="inlineStr">
        <is>
          <t>경남 창원시 마산합포구 진북면 진북신촌로 176</t>
        </is>
      </c>
    </row>
    <row r="747" ht="19.2" customHeight="1" s="1">
      <c r="A747" t="inlineStr">
        <is>
          <t>NICE:E57489</t>
        </is>
      </c>
      <c r="B747" t="inlineStr">
        <is>
          <t>한민</t>
        </is>
      </c>
      <c r="C747" t="inlineStr">
        <is>
          <t>김재찬</t>
        </is>
      </c>
      <c r="D747" t="inlineStr">
        <is>
          <t>041-532-8195</t>
        </is>
      </c>
      <c r="E747" t="inlineStr">
        <is>
          <t>041-532-8198</t>
        </is>
      </c>
      <c r="F747" s="3">
        <f>HYPERLINK("http://www.hanminesg.com", "http://www.hanminesg.com")</f>
        <v/>
      </c>
      <c r="G747" t="inlineStr">
        <is>
          <t>3128639659</t>
        </is>
      </c>
      <c r="H747" t="inlineStr">
        <is>
          <t>1648110065967</t>
        </is>
      </c>
      <c r="I747" t="inlineStr">
        <is>
          <t>대상아님</t>
        </is>
      </c>
      <c r="J747" t="inlineStr">
        <is>
          <t>일반법인</t>
        </is>
      </c>
      <c r="K747" t="inlineStr">
        <is>
          <t>중소기업</t>
        </is>
      </c>
      <c r="L747" t="inlineStr">
        <is>
          <t>외부감사대상</t>
        </is>
      </c>
      <c r="M747" s="6" t="inlineStr">
        <is>
          <t>2012-05-10</t>
        </is>
      </c>
      <c r="N747" t="inlineStr">
        <is>
          <t>KRI:10C2421900</t>
        </is>
      </c>
      <c r="O747" t="inlineStr">
        <is>
          <t>기타 비철금속 제련, 정련 및 합금 제조업</t>
        </is>
      </c>
      <c r="P747" t="inlineStr">
        <is>
          <t>귀금속정련,도시광산,전자부품,반도체소자 제조/비철금속,반도체장비,부품,생필품잡화 도소매,무역</t>
        </is>
      </c>
      <c r="Q747" t="inlineStr">
        <is>
          <t>충남 아산시 둔포면 신항리 35-1번지</t>
        </is>
      </c>
      <c r="R747" t="inlineStr">
        <is>
          <t>충남 아산시 둔포면 해위안길 82-10</t>
        </is>
      </c>
    </row>
    <row r="748" ht="19.2" customHeight="1" s="1">
      <c r="A748" t="inlineStr">
        <is>
          <t>NICE:E57576</t>
        </is>
      </c>
      <c r="B748" t="inlineStr">
        <is>
          <t>디엠티</t>
        </is>
      </c>
      <c r="C748" t="inlineStr">
        <is>
          <t>양화준</t>
        </is>
      </c>
      <c r="D748" t="inlineStr">
        <is>
          <t>041-532-1480</t>
        </is>
      </c>
      <c r="E748" t="inlineStr">
        <is>
          <t>041-533-1443</t>
        </is>
      </c>
      <c r="F748" s="3">
        <f>HYPERLINK("http://www.dmtcorp.co.kr/", "http://www.dmtcorp.co.kr/")</f>
        <v/>
      </c>
      <c r="G748" t="inlineStr">
        <is>
          <t>3128632544</t>
        </is>
      </c>
      <c r="H748" t="inlineStr">
        <is>
          <t>1648110062484</t>
        </is>
      </c>
      <c r="I748" t="inlineStr">
        <is>
          <t>대상아님</t>
        </is>
      </c>
      <c r="J748" t="inlineStr">
        <is>
          <t>일반법인</t>
        </is>
      </c>
      <c r="K748" t="inlineStr">
        <is>
          <t>중소기업</t>
        </is>
      </c>
      <c r="L748" t="inlineStr">
        <is>
          <t>외부감사대상</t>
        </is>
      </c>
      <c r="M748" s="6" t="inlineStr">
        <is>
          <t>2010-02-22</t>
        </is>
      </c>
      <c r="N748" t="inlineStr">
        <is>
          <t>KRI:10C2592200</t>
        </is>
      </c>
      <c r="O748" t="inlineStr">
        <is>
          <t>도금업</t>
        </is>
      </c>
      <c r="P748" t="inlineStr">
        <is>
          <t>자동차부품,산업부품 도금,표면처리,열처리</t>
        </is>
      </c>
      <c r="Q748" t="inlineStr">
        <is>
          <t>충남 아산시 인주면 걸매리 1032번지</t>
        </is>
      </c>
      <c r="R748" t="inlineStr">
        <is>
          <t>충남 아산시 인주면 인주산단로 123-59</t>
        </is>
      </c>
    </row>
    <row r="749">
      <c r="A749" t="inlineStr">
        <is>
          <t>NICE:E57579</t>
        </is>
      </c>
      <c r="B749" t="inlineStr">
        <is>
          <t>다호피앤씨</t>
        </is>
      </c>
      <c r="C749" t="inlineStr">
        <is>
          <t>권영종</t>
        </is>
      </c>
      <c r="D749" t="inlineStr">
        <is>
          <t>041-542-3842</t>
        </is>
      </c>
      <c r="E749" t="inlineStr">
        <is>
          <t>041-542-3844</t>
        </is>
      </c>
      <c r="G749" t="inlineStr">
        <is>
          <t>3128632317</t>
        </is>
      </c>
      <c r="H749" t="inlineStr">
        <is>
          <t>1648110062418</t>
        </is>
      </c>
      <c r="I749" t="inlineStr">
        <is>
          <t>대상아님</t>
        </is>
      </c>
      <c r="J749" t="inlineStr">
        <is>
          <t>일반법인</t>
        </is>
      </c>
      <c r="K749" t="inlineStr">
        <is>
          <t>중소기업</t>
        </is>
      </c>
      <c r="L749" t="inlineStr">
        <is>
          <t>외부감사대상</t>
        </is>
      </c>
      <c r="M749" s="6" t="inlineStr">
        <is>
          <t>2011-10-24</t>
        </is>
      </c>
      <c r="N749" t="inlineStr">
        <is>
          <t>KRI:10C2221200</t>
        </is>
      </c>
      <c r="O749" t="inlineStr">
        <is>
          <t>플라스틱 필름 제조업</t>
        </is>
      </c>
      <c r="P749" t="inlineStr">
        <is>
          <t>에어비닐,합성수지/재생섬유소및그유도체,상품중개업.포장자재,화장품,생활용품,미용기기,통신판매(전자상거래)</t>
        </is>
      </c>
      <c r="Q749" t="inlineStr">
        <is>
          <t>충남 아산시 선장면 선창리 310-24번지</t>
        </is>
      </c>
      <c r="R749" t="inlineStr">
        <is>
          <t>충남 아산시 선장면 아산만로 592-15</t>
        </is>
      </c>
    </row>
    <row r="750">
      <c r="A750" t="inlineStr">
        <is>
          <t>NICE:E65281</t>
        </is>
      </c>
      <c r="B750" t="inlineStr">
        <is>
          <t>하이테코</t>
        </is>
      </c>
      <c r="C750" t="inlineStr">
        <is>
          <t>박성종/이길태</t>
        </is>
      </c>
      <c r="D750" t="inlineStr">
        <is>
          <t>070-4825-2192</t>
        </is>
      </c>
      <c r="E750" t="inlineStr">
        <is>
          <t>031-319-8665</t>
        </is>
      </c>
      <c r="G750" t="inlineStr">
        <is>
          <t>1408157339</t>
        </is>
      </c>
      <c r="H750" t="inlineStr">
        <is>
          <t>1355110230074</t>
        </is>
      </c>
      <c r="I750" t="inlineStr">
        <is>
          <t>대상아님</t>
        </is>
      </c>
      <c r="J750" t="inlineStr">
        <is>
          <t>일반법인</t>
        </is>
      </c>
      <c r="K750" t="inlineStr">
        <is>
          <t>중소기업</t>
        </is>
      </c>
      <c r="L750" t="inlineStr">
        <is>
          <t>외부감사대상</t>
        </is>
      </c>
      <c r="M750" s="6" t="inlineStr">
        <is>
          <t>2011-10-24</t>
        </is>
      </c>
      <c r="N750" t="inlineStr">
        <is>
          <t>KRI:10G4653900</t>
        </is>
      </c>
      <c r="O750" t="inlineStr">
        <is>
          <t>기타 산업용 기계 및 장비 도매업</t>
        </is>
      </c>
      <c r="P750" t="inlineStr">
        <is>
          <t>기계공구,절삭가공공구 도소매</t>
        </is>
      </c>
      <c r="Q750" t="inlineStr">
        <is>
          <t>경기 시흥시 정왕동 2664-1번지</t>
        </is>
      </c>
      <c r="R750" t="inlineStr">
        <is>
          <t>경기 시흥시 엠티브이24로 27</t>
        </is>
      </c>
    </row>
    <row r="751" ht="19.2" customHeight="1" s="1">
      <c r="A751" t="inlineStr">
        <is>
          <t>NICE:E66566</t>
        </is>
      </c>
      <c r="B751" t="inlineStr">
        <is>
          <t>위테크</t>
        </is>
      </c>
      <c r="C751" t="inlineStr">
        <is>
          <t>안종용</t>
        </is>
      </c>
      <c r="D751" t="inlineStr">
        <is>
          <t>031-224-0110</t>
        </is>
      </c>
      <c r="E751" t="inlineStr">
        <is>
          <t>031-224-0117</t>
        </is>
      </c>
      <c r="F751" s="3">
        <f>HYPERLINK("http://www.반도체배관.한국", "http://www.반도체배관.한국")</f>
        <v/>
      </c>
      <c r="G751" t="inlineStr">
        <is>
          <t>1358625878</t>
        </is>
      </c>
      <c r="H751" t="inlineStr">
        <is>
          <t>1348110251752</t>
        </is>
      </c>
      <c r="I751" t="inlineStr">
        <is>
          <t>대상아님</t>
        </is>
      </c>
      <c r="J751" t="inlineStr">
        <is>
          <t>일반법인</t>
        </is>
      </c>
      <c r="K751" t="inlineStr">
        <is>
          <t>중소기업</t>
        </is>
      </c>
      <c r="L751" t="inlineStr">
        <is>
          <t>외부감사대상</t>
        </is>
      </c>
      <c r="M751" s="6" t="inlineStr">
        <is>
          <t>2012-08-29</t>
        </is>
      </c>
      <c r="N751" t="inlineStr">
        <is>
          <t>KRI:10F4122500</t>
        </is>
      </c>
      <c r="O751" t="inlineStr">
        <is>
          <t>산업생산시설 종합건설업</t>
        </is>
      </c>
      <c r="P751" t="inlineStr">
        <is>
          <t>산업설비공사,플랜트공사/반도체 반도체배관 제작,설계</t>
        </is>
      </c>
      <c r="Q751" t="inlineStr">
        <is>
          <t>경기 화성시 병점구 기산동 284번지 1동</t>
        </is>
      </c>
      <c r="R751" t="inlineStr">
        <is>
          <t>경기 화성시 병점구 기산로 59, 1동</t>
        </is>
      </c>
    </row>
    <row r="752" ht="19.2" customHeight="1" s="1">
      <c r="A752" t="inlineStr">
        <is>
          <t>NICE:E66641</t>
        </is>
      </c>
      <c r="B752" t="inlineStr">
        <is>
          <t>이지켐</t>
        </is>
      </c>
      <c r="C752" t="inlineStr">
        <is>
          <t>조성일</t>
        </is>
      </c>
      <c r="D752" t="inlineStr">
        <is>
          <t>041-857-5984</t>
        </is>
      </c>
      <c r="E752" t="inlineStr">
        <is>
          <t>041-857-5986</t>
        </is>
      </c>
      <c r="F752" s="3">
        <f>HYPERLINK("http://www.egchem.com", "http://www.egchem.com")</f>
        <v/>
      </c>
      <c r="G752" t="inlineStr">
        <is>
          <t>1358625179</t>
        </is>
      </c>
      <c r="H752" t="inlineStr">
        <is>
          <t>1348110249905</t>
        </is>
      </c>
      <c r="I752" t="inlineStr">
        <is>
          <t>대상아님</t>
        </is>
      </c>
      <c r="J752" t="inlineStr">
        <is>
          <t>일반법인</t>
        </is>
      </c>
      <c r="K752" t="inlineStr">
        <is>
          <t>중소기업</t>
        </is>
      </c>
      <c r="L752" t="inlineStr">
        <is>
          <t>외부감사대상</t>
        </is>
      </c>
      <c r="M752" s="6" t="inlineStr">
        <is>
          <t>2012-08-01</t>
        </is>
      </c>
      <c r="N752" t="inlineStr">
        <is>
          <t>KRI:10C2612900</t>
        </is>
      </c>
      <c r="O752" t="inlineStr">
        <is>
          <t>기타 반도체소자 제조업</t>
        </is>
      </c>
      <c r="P752" t="inlineStr">
        <is>
          <t>반도체 제조/전자재료 제조,도소매/태양광 재료,화학원료 도소매/부동산 임대</t>
        </is>
      </c>
      <c r="Q752" t="inlineStr">
        <is>
          <t>충남 공주시 탄천면 안영리 838-1번지</t>
        </is>
      </c>
      <c r="R752" t="inlineStr">
        <is>
          <t>충남 공주시 탄천면 탄천산업단지길 33-26</t>
        </is>
      </c>
    </row>
    <row r="753" ht="19.2" customHeight="1" s="1">
      <c r="A753" t="inlineStr">
        <is>
          <t>NICE:E66715</t>
        </is>
      </c>
      <c r="B753" t="inlineStr">
        <is>
          <t>썬프로로시스템코리아</t>
        </is>
      </c>
      <c r="C753" t="inlineStr">
        <is>
          <t>카와구치미츠요시</t>
        </is>
      </c>
      <c r="D753" t="inlineStr">
        <is>
          <t>041-566-3266</t>
        </is>
      </c>
      <c r="E753" t="inlineStr">
        <is>
          <t>041-566-3268</t>
        </is>
      </c>
      <c r="F753" s="3">
        <f>HYPERLINK("http://www.sunfluro.co.kr", "http://www.sunfluro.co.kr")</f>
        <v/>
      </c>
      <c r="G753" t="inlineStr">
        <is>
          <t>1358624340</t>
        </is>
      </c>
      <c r="H753" t="inlineStr">
        <is>
          <t>1348110248395</t>
        </is>
      </c>
      <c r="I753" t="inlineStr">
        <is>
          <t>대상아님</t>
        </is>
      </c>
      <c r="J753" t="inlineStr">
        <is>
          <t>일반법인</t>
        </is>
      </c>
      <c r="K753" t="inlineStr">
        <is>
          <t>중소기업</t>
        </is>
      </c>
      <c r="L753" t="inlineStr">
        <is>
          <t>외부감사대상</t>
        </is>
      </c>
      <c r="M753" s="6" t="inlineStr">
        <is>
          <t>2012-07-13</t>
        </is>
      </c>
      <c r="N753" t="inlineStr">
        <is>
          <t>KRI:10C2020200</t>
        </is>
      </c>
      <c r="O753" t="inlineStr">
        <is>
          <t>합성수지 및 기타 플라스틱 물질 제조업</t>
        </is>
      </c>
      <c r="P753" t="inlineStr">
        <is>
          <t>불소수지라이닝제품,화학물저장탱크 제조,도매,진단,점검</t>
        </is>
      </c>
      <c r="Q753" t="inlineStr">
        <is>
          <t>충남 천안시 동남구 성남면 대화리 354번지</t>
        </is>
      </c>
      <c r="R753" t="inlineStr">
        <is>
          <t>충남 천안시 동남구 성남면 5산단3로 1</t>
        </is>
      </c>
    </row>
    <row r="754" ht="19.2" customHeight="1" s="1">
      <c r="A754" t="inlineStr">
        <is>
          <t>NICE:E71111</t>
        </is>
      </c>
      <c r="B754" t="inlineStr">
        <is>
          <t>네스필러피케이지</t>
        </is>
      </c>
      <c r="C754" t="inlineStr">
        <is>
          <t>심윤석</t>
        </is>
      </c>
      <c r="D754" t="inlineStr">
        <is>
          <t>032-323-6060</t>
        </is>
      </c>
      <c r="E754" t="inlineStr">
        <is>
          <t>032-328-4349</t>
        </is>
      </c>
      <c r="F754" s="3">
        <f>HYPERLINK("http://www.nest-filler.com", "http://www.nest-filler.com")</f>
        <v/>
      </c>
      <c r="G754" t="inlineStr">
        <is>
          <t>1308637423</t>
        </is>
      </c>
      <c r="H754" t="inlineStr">
        <is>
          <t>1211110177626</t>
        </is>
      </c>
      <c r="I754" t="inlineStr">
        <is>
          <t>대상아님</t>
        </is>
      </c>
      <c r="J754" t="inlineStr">
        <is>
          <t>일반법인</t>
        </is>
      </c>
      <c r="K754" t="inlineStr">
        <is>
          <t>중소기업</t>
        </is>
      </c>
      <c r="L754" t="inlineStr">
        <is>
          <t>외부감사비대상</t>
        </is>
      </c>
      <c r="M754" s="6" t="inlineStr">
        <is>
          <t>2008-09-23</t>
        </is>
      </c>
      <c r="N754" t="inlineStr">
        <is>
          <t>KRI:10C2223200</t>
        </is>
      </c>
      <c r="O754" t="inlineStr">
        <is>
          <t>포장용 플라스틱 성형용기 제조업</t>
        </is>
      </c>
      <c r="P754" t="inlineStr">
        <is>
          <t>포장용기,금형 제조/무역/산업디자인</t>
        </is>
      </c>
      <c r="Q754" t="inlineStr">
        <is>
          <t>경기 부천시 원미구 춘의동 75-8번지 네스필러타워 6층,7층,8층</t>
        </is>
      </c>
      <c r="R754" t="inlineStr">
        <is>
          <t>경기 부천시 원미구 길주로 433, 6층,7층,8층 (춘의동,네스필러타워)</t>
        </is>
      </c>
    </row>
    <row r="755" ht="19.2" customHeight="1" s="1">
      <c r="A755" t="inlineStr">
        <is>
          <t>NICE:E72345</t>
        </is>
      </c>
      <c r="B755" t="inlineStr">
        <is>
          <t>인슐레이션코리아</t>
        </is>
      </c>
      <c r="C755" t="inlineStr">
        <is>
          <t>승영순</t>
        </is>
      </c>
      <c r="D755" t="inlineStr">
        <is>
          <t>02-535-1437</t>
        </is>
      </c>
      <c r="E755" t="inlineStr">
        <is>
          <t>02-523-7139</t>
        </is>
      </c>
      <c r="F755" s="3">
        <f>HYPERLINK("http://www.insulationkorea.co.kr", "http://www.insulationkorea.co.kr")</f>
        <v/>
      </c>
      <c r="G755" t="inlineStr">
        <is>
          <t>2148829297</t>
        </is>
      </c>
      <c r="H755" t="inlineStr">
        <is>
          <t>1101113932012</t>
        </is>
      </c>
      <c r="I755" t="inlineStr">
        <is>
          <t>대상아님</t>
        </is>
      </c>
      <c r="J755" t="inlineStr">
        <is>
          <t>일반법인</t>
        </is>
      </c>
      <c r="K755" t="inlineStr">
        <is>
          <t>중소기업</t>
        </is>
      </c>
      <c r="L755" t="inlineStr">
        <is>
          <t>외부감사대상</t>
        </is>
      </c>
      <c r="M755" s="6" t="inlineStr">
        <is>
          <t>2008-07-09</t>
        </is>
      </c>
      <c r="N755" t="inlineStr">
        <is>
          <t>KRI:10F4220300</t>
        </is>
      </c>
      <c r="O755" t="inlineStr">
        <is>
          <t>방음, 방진 및 내화 공사업</t>
        </is>
      </c>
      <c r="P755" t="inlineStr">
        <is>
          <t>내화단열공사,산업플랜트공사/구조용정형내화제품,플랜트소유자재 내화단열벽돌,세라믹 도매</t>
        </is>
      </c>
      <c r="Q755" t="inlineStr">
        <is>
          <t>서울 서초구 방배동 915-13번지 아이케이빌딩</t>
        </is>
      </c>
      <c r="R755" t="inlineStr">
        <is>
          <t>서울 서초구 효령로 101 (방배동,아이케이빌딩)</t>
        </is>
      </c>
    </row>
    <row r="756" ht="19.2" customHeight="1" s="1">
      <c r="A756" t="inlineStr">
        <is>
          <t>NICE:E73240</t>
        </is>
      </c>
      <c r="B756" t="inlineStr">
        <is>
          <t>아이티잉크</t>
        </is>
      </c>
      <c r="C756" t="inlineStr">
        <is>
          <t>김인태</t>
        </is>
      </c>
      <c r="D756" t="inlineStr">
        <is>
          <t>031-977-2989</t>
        </is>
      </c>
      <c r="E756" t="inlineStr">
        <is>
          <t>031-977-2986</t>
        </is>
      </c>
      <c r="F756" s="3">
        <f>HYPERLINK("http://www.itink.co.kr", "http://www.itink.co.kr")</f>
        <v/>
      </c>
      <c r="G756" t="inlineStr">
        <is>
          <t>1288632503</t>
        </is>
      </c>
      <c r="H756" t="inlineStr">
        <is>
          <t>2850110147062</t>
        </is>
      </c>
      <c r="I756" t="inlineStr">
        <is>
          <t>대상아님</t>
        </is>
      </c>
      <c r="J756" t="inlineStr">
        <is>
          <t>일반법인</t>
        </is>
      </c>
      <c r="K756" t="inlineStr">
        <is>
          <t>중소기업</t>
        </is>
      </c>
      <c r="L756" t="inlineStr">
        <is>
          <t>외부감사대상</t>
        </is>
      </c>
      <c r="M756" s="6" t="inlineStr">
        <is>
          <t>2008-07-16</t>
        </is>
      </c>
      <c r="N756" t="inlineStr">
        <is>
          <t>KRI:10C2041300</t>
        </is>
      </c>
      <c r="O756" t="inlineStr">
        <is>
          <t>인쇄잉크 및 회화용 물감 제조업</t>
        </is>
      </c>
      <c r="P756" t="inlineStr">
        <is>
          <t>잉크제품(특수잉크젯잉크),컴퓨터주변기기 제조</t>
        </is>
      </c>
      <c r="Q756" t="inlineStr">
        <is>
          <t>경기 파주시 신촌동 724-2번지</t>
        </is>
      </c>
      <c r="R756" t="inlineStr">
        <is>
          <t>경기 파주시 신촌2로 23</t>
        </is>
      </c>
    </row>
    <row r="757" ht="19.2" customHeight="1" s="1">
      <c r="A757" t="inlineStr">
        <is>
          <t>NICE:E73798</t>
        </is>
      </c>
      <c r="B757" t="inlineStr">
        <is>
          <t>다이킨코리아</t>
        </is>
      </c>
      <c r="C757" t="inlineStr">
        <is>
          <t>토리이히로시</t>
        </is>
      </c>
      <c r="D757" t="inlineStr">
        <is>
          <t>02-568-1722</t>
        </is>
      </c>
      <c r="E757" t="inlineStr">
        <is>
          <t>02-573-1620</t>
        </is>
      </c>
      <c r="F757" s="3">
        <f>HYPERLINK("http://www.daikin-korea.co.kr", "http://www.daikin-korea.co.kr")</f>
        <v/>
      </c>
      <c r="G757" t="inlineStr">
        <is>
          <t>2148829147</t>
        </is>
      </c>
      <c r="H757" t="inlineStr">
        <is>
          <t>1101113928459</t>
        </is>
      </c>
      <c r="I757" t="inlineStr">
        <is>
          <t>대상아님</t>
        </is>
      </c>
      <c r="J757" t="inlineStr">
        <is>
          <t>일반법인</t>
        </is>
      </c>
      <c r="K757" t="inlineStr">
        <is>
          <t>중소기업</t>
        </is>
      </c>
      <c r="L757" t="inlineStr">
        <is>
          <t>외부감사대상</t>
        </is>
      </c>
      <c r="M757" s="6" t="inlineStr">
        <is>
          <t>2008-07-04</t>
        </is>
      </c>
      <c r="N757" t="inlineStr">
        <is>
          <t>KRI:10G4673900</t>
        </is>
      </c>
      <c r="O757" t="inlineStr">
        <is>
          <t>기타 화학물질 및 화학제품 도매업</t>
        </is>
      </c>
      <c r="P757" t="inlineStr">
        <is>
          <t>불소계화학제품 도매,제조,가공</t>
        </is>
      </c>
      <c r="Q757" t="inlineStr">
        <is>
          <t>서울 강남구 역삼동 677-25번지 602호</t>
        </is>
      </c>
      <c r="R757" t="inlineStr">
        <is>
          <t>서울 강남구 테헤란로 223, 602호</t>
        </is>
      </c>
    </row>
    <row r="758">
      <c r="A758" t="inlineStr">
        <is>
          <t>NICE:E76732</t>
        </is>
      </c>
      <c r="B758" t="inlineStr">
        <is>
          <t>케이더블유기우산업</t>
        </is>
      </c>
      <c r="C758" t="inlineStr">
        <is>
          <t>이창순</t>
        </is>
      </c>
      <c r="D758" t="inlineStr">
        <is>
          <t>041-556-8090</t>
        </is>
      </c>
      <c r="E758" t="inlineStr">
        <is>
          <t>041-556-8091</t>
        </is>
      </c>
      <c r="G758" t="inlineStr">
        <is>
          <t>1238613234</t>
        </is>
      </c>
      <c r="H758" t="inlineStr">
        <is>
          <t>1341110163274</t>
        </is>
      </c>
      <c r="I758" t="inlineStr">
        <is>
          <t>대상아님</t>
        </is>
      </c>
      <c r="J758" t="inlineStr">
        <is>
          <t>일반법인</t>
        </is>
      </c>
      <c r="K758" t="inlineStr">
        <is>
          <t>중소기업</t>
        </is>
      </c>
      <c r="L758" t="inlineStr">
        <is>
          <t>외부감사대상</t>
        </is>
      </c>
      <c r="M758" s="6" t="inlineStr">
        <is>
          <t>2008-02-13</t>
        </is>
      </c>
      <c r="N758" t="inlineStr">
        <is>
          <t>KRI:10C3039300</t>
        </is>
      </c>
      <c r="O758" t="inlineStr">
        <is>
          <t>자동차용 신품 의자 제조업</t>
        </is>
      </c>
      <c r="P758" t="inlineStr">
        <is>
          <t>자동차시트 제조,도매,무역/부동산 임대</t>
        </is>
      </c>
      <c r="Q758" t="inlineStr">
        <is>
          <t>충남 천안시 동남구 수신면 신풍리 372-7번지</t>
        </is>
      </c>
      <c r="R758" t="inlineStr">
        <is>
          <t>충남 천안시 동남구 수신면 신풍1길 11-26</t>
        </is>
      </c>
    </row>
    <row r="759">
      <c r="A759" t="inlineStr">
        <is>
          <t>NICE:E79863</t>
        </is>
      </c>
      <c r="B759" t="inlineStr">
        <is>
          <t>씨에이이플라이트앤시뮬레이터서비시즈코리아</t>
        </is>
      </c>
      <c r="C759" t="inlineStr">
        <is>
          <t>미쉘아싸라함뮤다</t>
        </is>
      </c>
      <c r="D759" t="inlineStr">
        <is>
          <t>02-2630-6014</t>
        </is>
      </c>
      <c r="E759" t="inlineStr">
        <is>
          <t>02-2630-6014</t>
        </is>
      </c>
      <c r="G759" t="inlineStr">
        <is>
          <t>1378628492</t>
        </is>
      </c>
      <c r="H759" t="inlineStr">
        <is>
          <t>1244110126244</t>
        </is>
      </c>
      <c r="I759" t="inlineStr">
        <is>
          <t>대상아님</t>
        </is>
      </c>
      <c r="J759" t="inlineStr">
        <is>
          <t>일반법인</t>
        </is>
      </c>
      <c r="K759" t="inlineStr">
        <is>
          <t>중소기업</t>
        </is>
      </c>
      <c r="L759" t="inlineStr">
        <is>
          <t>외부감사대상</t>
        </is>
      </c>
      <c r="M759" s="6" t="inlineStr">
        <is>
          <t>2012-09-04</t>
        </is>
      </c>
      <c r="N759" t="inlineStr">
        <is>
          <t>KRI:10H5293900</t>
        </is>
      </c>
      <c r="O759" t="inlineStr">
        <is>
          <t>기타 항공 운송지원 서비스업</t>
        </is>
      </c>
      <c r="P759" t="inlineStr">
        <is>
          <t>민간항공훈련교육</t>
        </is>
      </c>
      <c r="Q759" t="inlineStr">
        <is>
          <t>서울 강서구 공항동 1373-5번지 화물터미널 게이트8</t>
        </is>
      </c>
      <c r="R759" t="inlineStr">
        <is>
          <t>서울 강서구 하늘길 210 (공항동,화물터미널 게이트8)</t>
        </is>
      </c>
    </row>
    <row r="760" ht="19.2" customHeight="1" s="1">
      <c r="A760" t="inlineStr">
        <is>
          <t>NICE:E80944</t>
        </is>
      </c>
      <c r="B760" t="inlineStr">
        <is>
          <t>케이알</t>
        </is>
      </c>
      <c r="C760" t="inlineStr">
        <is>
          <t>변재삼</t>
        </is>
      </c>
      <c r="D760" t="inlineStr">
        <is>
          <t>032-684-5204</t>
        </is>
      </c>
      <c r="E760" t="inlineStr">
        <is>
          <t>032-684-5205</t>
        </is>
      </c>
      <c r="F760" s="3">
        <f>HYPERLINK("http://www.krpkg.co.kr/ww-ko/", "http://www.krpkg.co.kr/ww-ko/")</f>
        <v/>
      </c>
      <c r="G760" t="inlineStr">
        <is>
          <t>1308672487</t>
        </is>
      </c>
      <c r="H760" t="inlineStr">
        <is>
          <t>1211110237652</t>
        </is>
      </c>
      <c r="I760" t="inlineStr">
        <is>
          <t>대상아님</t>
        </is>
      </c>
      <c r="J760" t="inlineStr">
        <is>
          <t>일반법인</t>
        </is>
      </c>
      <c r="K760" t="inlineStr">
        <is>
          <t>중소기업</t>
        </is>
      </c>
      <c r="L760" t="inlineStr">
        <is>
          <t>외부감사대상</t>
        </is>
      </c>
      <c r="M760" s="6" t="inlineStr">
        <is>
          <t>2012-07-20</t>
        </is>
      </c>
      <c r="N760" t="inlineStr">
        <is>
          <t>KRI:10C2229900</t>
        </is>
      </c>
      <c r="O760" t="inlineStr">
        <is>
          <t>그 외 기타 플라스틱 제품 제조업</t>
        </is>
      </c>
      <c r="P760" t="inlineStr">
        <is>
          <t>플라스틱용기(화장품용기),주형,금형 제조,도소매,통신판매</t>
        </is>
      </c>
      <c r="Q760" t="inlineStr">
        <is>
          <t>경기 부천시 오정구 오정동 772-14번지</t>
        </is>
      </c>
      <c r="R760" t="inlineStr">
        <is>
          <t>경기 부천시 오정구 산업로8번길 42-14</t>
        </is>
      </c>
    </row>
    <row r="761" ht="19.2" customHeight="1" s="1">
      <c r="A761" t="inlineStr">
        <is>
          <t>NICE:E82226</t>
        </is>
      </c>
      <c r="B761" t="inlineStr">
        <is>
          <t>파라다이스세가사미</t>
        </is>
      </c>
      <c r="C761" t="inlineStr">
        <is>
          <t>최종환</t>
        </is>
      </c>
      <c r="D761" t="inlineStr">
        <is>
          <t>032-729-3346</t>
        </is>
      </c>
      <c r="E761" t="inlineStr">
        <is>
          <t>032-729-3245</t>
        </is>
      </c>
      <c r="F761" s="3">
        <f>HYPERLINK("http://www.p-city.com", "http://www.p-city.com")</f>
        <v/>
      </c>
      <c r="G761" t="inlineStr">
        <is>
          <t>1218618441</t>
        </is>
      </c>
      <c r="H761" t="inlineStr">
        <is>
          <t>1201110620056</t>
        </is>
      </c>
      <c r="I761" t="inlineStr">
        <is>
          <t>대상아님</t>
        </is>
      </c>
      <c r="J761" t="inlineStr">
        <is>
          <t>일반법인</t>
        </is>
      </c>
      <c r="K761" t="inlineStr">
        <is>
          <t>중견기업</t>
        </is>
      </c>
      <c r="L761" t="inlineStr">
        <is>
          <t>외부감사대상</t>
        </is>
      </c>
      <c r="M761" s="6" t="inlineStr">
        <is>
          <t>2012-07-18</t>
        </is>
      </c>
      <c r="N761" t="inlineStr">
        <is>
          <t>KRI:10I5510100</t>
        </is>
      </c>
      <c r="O761" t="inlineStr">
        <is>
          <t>호텔업</t>
        </is>
      </c>
      <c r="P761" t="inlineStr">
        <is>
          <t>호텔/관광사업개발/의류 도소매,전자상거래/일반음식점(중식외)/환전영업/부동산 임대</t>
        </is>
      </c>
      <c r="Q761" t="inlineStr">
        <is>
          <t>인천 중구 운서동 2874번지 파라다이스시티</t>
        </is>
      </c>
      <c r="R761" t="inlineStr">
        <is>
          <t>인천 중구 영종해안남로321번길 186 (운서동,파라다이스시티)</t>
        </is>
      </c>
    </row>
    <row r="762">
      <c r="A762" t="inlineStr">
        <is>
          <t>NICE:E83511</t>
        </is>
      </c>
      <c r="B762" t="inlineStr">
        <is>
          <t>엘에스화장품</t>
        </is>
      </c>
      <c r="C762" t="inlineStr">
        <is>
          <t>이영호</t>
        </is>
      </c>
      <c r="D762" t="inlineStr">
        <is>
          <t>070-8666-7681</t>
        </is>
      </c>
      <c r="E762" t="inlineStr">
        <is>
          <t>032-813-0107</t>
        </is>
      </c>
      <c r="G762" t="inlineStr">
        <is>
          <t>1318617963</t>
        </is>
      </c>
      <c r="H762" t="inlineStr">
        <is>
          <t>1201110516099</t>
        </is>
      </c>
      <c r="I762" t="inlineStr">
        <is>
          <t>대상아님</t>
        </is>
      </c>
      <c r="J762" t="inlineStr">
        <is>
          <t>일반법인</t>
        </is>
      </c>
      <c r="K762" t="inlineStr">
        <is>
          <t>중소기업</t>
        </is>
      </c>
      <c r="L762" t="inlineStr">
        <is>
          <t>외부감사대상</t>
        </is>
      </c>
      <c r="M762" s="6" t="inlineStr">
        <is>
          <t>2009-12-01</t>
        </is>
      </c>
      <c r="N762" t="inlineStr">
        <is>
          <t>KRI:10C2042300</t>
        </is>
      </c>
      <c r="O762" t="inlineStr">
        <is>
          <t>화장품 제조업</t>
        </is>
      </c>
      <c r="P762" t="inlineStr">
        <is>
          <t>화장품 제조,도매</t>
        </is>
      </c>
      <c r="Q762" t="inlineStr">
        <is>
          <t>인천 남동구 논현동 446-6번지</t>
        </is>
      </c>
      <c r="R762" t="inlineStr">
        <is>
          <t>인천 남동구 남동서로236번길 31</t>
        </is>
      </c>
    </row>
    <row r="763" ht="19.2" customHeight="1" s="1">
      <c r="A763" t="inlineStr">
        <is>
          <t>NICE:E85748</t>
        </is>
      </c>
      <c r="B763" t="inlineStr">
        <is>
          <t>스위트스페이스</t>
        </is>
      </c>
      <c r="C763" t="inlineStr">
        <is>
          <t>사공숙희</t>
        </is>
      </c>
      <c r="D763" t="inlineStr">
        <is>
          <t>02-2176-0317</t>
        </is>
      </c>
      <c r="E763" t="inlineStr">
        <is>
          <t>02-566-2779</t>
        </is>
      </c>
      <c r="F763" s="3">
        <f>HYPERLINK("http://www.sweetspace.co.kr", "http://www.sweetspace.co.kr")</f>
        <v/>
      </c>
      <c r="G763" t="inlineStr">
        <is>
          <t>2208847010</t>
        </is>
      </c>
      <c r="H763" t="inlineStr">
        <is>
          <t>1101114988147</t>
        </is>
      </c>
      <c r="I763" t="inlineStr">
        <is>
          <t>대상아님</t>
        </is>
      </c>
      <c r="J763" t="inlineStr">
        <is>
          <t>일반법인</t>
        </is>
      </c>
      <c r="K763" t="inlineStr">
        <is>
          <t>중소기업</t>
        </is>
      </c>
      <c r="L763" t="inlineStr">
        <is>
          <t>외부감사대상</t>
        </is>
      </c>
      <c r="M763" s="6" t="inlineStr">
        <is>
          <t>2012-10-25</t>
        </is>
      </c>
      <c r="N763" t="inlineStr">
        <is>
          <t>KRI:10G4632900</t>
        </is>
      </c>
      <c r="O763" t="inlineStr">
        <is>
          <t>기타 가공식품 도매업</t>
        </is>
      </c>
      <c r="P763" t="inlineStr">
        <is>
          <t>식품,잡화 도소매,무역</t>
        </is>
      </c>
      <c r="Q763" t="inlineStr">
        <is>
          <t>서울 중구 신당동 333-79번지 성원빌딩</t>
        </is>
      </c>
      <c r="R763" t="inlineStr">
        <is>
          <t>서울 중구 다산로 168 (신당동,성원빌딩)</t>
        </is>
      </c>
    </row>
    <row r="764" ht="19.2" customHeight="1" s="1">
      <c r="A764" t="inlineStr">
        <is>
          <t>NICE:E87201</t>
        </is>
      </c>
      <c r="B764" t="inlineStr">
        <is>
          <t>애드이피션시</t>
        </is>
      </c>
      <c r="C764" t="inlineStr">
        <is>
          <t>박소현/한유진</t>
        </is>
      </c>
      <c r="D764" t="inlineStr">
        <is>
          <t>070-4651-1199</t>
        </is>
      </c>
      <c r="E764" t="inlineStr">
        <is>
          <t>02-532-0806</t>
        </is>
      </c>
      <c r="F764" s="3">
        <f>HYPERLINK("http://www.adef.co.kr", "http://www.adef.co.kr")</f>
        <v/>
      </c>
      <c r="G764" t="inlineStr">
        <is>
          <t>2648102917</t>
        </is>
      </c>
      <c r="H764" t="inlineStr">
        <is>
          <t>1101114953992</t>
        </is>
      </c>
      <c r="I764" t="inlineStr">
        <is>
          <t>대상아님</t>
        </is>
      </c>
      <c r="J764" t="inlineStr">
        <is>
          <t>일반법인</t>
        </is>
      </c>
      <c r="K764" t="inlineStr">
        <is>
          <t>중견기업</t>
        </is>
      </c>
      <c r="L764" t="inlineStr">
        <is>
          <t>외부감사대상</t>
        </is>
      </c>
      <c r="M764" s="6" t="inlineStr">
        <is>
          <t>2012-09-05</t>
        </is>
      </c>
      <c r="N764" t="inlineStr">
        <is>
          <t>KRI:10M7131000</t>
        </is>
      </c>
      <c r="O764" t="inlineStr">
        <is>
          <t>광고 대행업</t>
        </is>
      </c>
      <c r="P764" t="inlineStr">
        <is>
          <t>광고 대행,홍보 기획,소프트웨어 개발,공급,웹사이트 구축</t>
        </is>
      </c>
      <c r="Q764" t="inlineStr">
        <is>
          <t>서울 서초구 서초동 1337-4번지 동오빌딩 6층</t>
        </is>
      </c>
      <c r="R764" t="inlineStr">
        <is>
          <t>서울 서초구 효령로77길 28, 6층 (서초동,동오빌딩)</t>
        </is>
      </c>
    </row>
    <row r="765">
      <c r="A765" t="inlineStr">
        <is>
          <t>NICE:E89635</t>
        </is>
      </c>
      <c r="B765" t="inlineStr">
        <is>
          <t>제이에이치트레이드</t>
        </is>
      </c>
      <c r="C765" t="inlineStr">
        <is>
          <t>김정환</t>
        </is>
      </c>
      <c r="D765" t="inlineStr">
        <is>
          <t>02-572-8990</t>
        </is>
      </c>
      <c r="E765" t="inlineStr">
        <is>
          <t>02-572-8991</t>
        </is>
      </c>
      <c r="G765" t="inlineStr">
        <is>
          <t>2208841525</t>
        </is>
      </c>
      <c r="H765" t="inlineStr">
        <is>
          <t>1101114904325</t>
        </is>
      </c>
      <c r="I765" t="inlineStr">
        <is>
          <t>대상아님</t>
        </is>
      </c>
      <c r="J765" t="inlineStr">
        <is>
          <t>일반법인</t>
        </is>
      </c>
      <c r="K765" t="inlineStr">
        <is>
          <t>중소기업</t>
        </is>
      </c>
      <c r="L765" t="inlineStr">
        <is>
          <t>외부감사대상</t>
        </is>
      </c>
      <c r="M765" s="6" t="inlineStr">
        <is>
          <t>2012-06-29</t>
        </is>
      </c>
      <c r="N765" t="inlineStr">
        <is>
          <t>KRI:10G4673900</t>
        </is>
      </c>
      <c r="O765" t="inlineStr">
        <is>
          <t>기타 화학물질 및 화학제품 도매업</t>
        </is>
      </c>
      <c r="P765" t="inlineStr">
        <is>
          <t>화학물질,화학제품 도소매</t>
        </is>
      </c>
      <c r="Q765" t="inlineStr">
        <is>
          <t>서울 서초구 서초동 1364-2번지 영진빌딩 302호</t>
        </is>
      </c>
      <c r="R765" t="inlineStr">
        <is>
          <t>서울 서초구 서운로 18, 302호 (서초동,영진빌딩)</t>
        </is>
      </c>
    </row>
    <row r="766">
      <c r="A766" t="inlineStr">
        <is>
          <t>NICE:E90630</t>
        </is>
      </c>
      <c r="B766" t="inlineStr">
        <is>
          <t>아이디에스엘티디</t>
        </is>
      </c>
      <c r="C766" t="inlineStr">
        <is>
          <t>안광영</t>
        </is>
      </c>
      <c r="D766" t="inlineStr">
        <is>
          <t>02-2025-1151</t>
        </is>
      </c>
      <c r="E766" t="inlineStr">
        <is>
          <t>02-2025-1154</t>
        </is>
      </c>
      <c r="G766" t="inlineStr">
        <is>
          <t>1138659927</t>
        </is>
      </c>
      <c r="H766" t="inlineStr">
        <is>
          <t>1101114878132</t>
        </is>
      </c>
      <c r="I766" t="inlineStr">
        <is>
          <t>대상아님</t>
        </is>
      </c>
      <c r="J766" t="inlineStr">
        <is>
          <t>일반법인</t>
        </is>
      </c>
      <c r="K766" t="inlineStr">
        <is>
          <t>중소기업</t>
        </is>
      </c>
      <c r="L766" t="inlineStr">
        <is>
          <t>외부감사대상</t>
        </is>
      </c>
      <c r="M766" s="6" t="inlineStr">
        <is>
          <t>2012-05-25</t>
        </is>
      </c>
      <c r="N766" t="inlineStr">
        <is>
          <t>KRI:10C2719900</t>
        </is>
      </c>
      <c r="O766" t="inlineStr">
        <is>
          <t>그 외 기타 의료용 기기 제조업</t>
        </is>
      </c>
      <c r="P766" t="inlineStr">
        <is>
          <t>의료용구 제조</t>
        </is>
      </c>
      <c r="Q766" t="inlineStr">
        <is>
          <t>경기 파주시 광탄면 마장리 338-4번지</t>
        </is>
      </c>
      <c r="R766" t="inlineStr">
        <is>
          <t>경기 파주시 광탄면 심궁로 194</t>
        </is>
      </c>
    </row>
    <row r="767" ht="19.2" customHeight="1" s="1">
      <c r="A767" t="inlineStr">
        <is>
          <t>NICE:E94115</t>
        </is>
      </c>
      <c r="B767" t="inlineStr">
        <is>
          <t>서울터널</t>
        </is>
      </c>
      <c r="C767" t="inlineStr">
        <is>
          <t>박한진</t>
        </is>
      </c>
      <c r="D767" t="inlineStr">
        <is>
          <t>070-8031-3691</t>
        </is>
      </c>
      <c r="E767" t="inlineStr">
        <is>
          <t>070-8031-3699</t>
        </is>
      </c>
      <c r="F767" s="3">
        <f>HYPERLINK("http://www.seoultunnel.co.kr", "http://www.seoultunnel.co.kr")</f>
        <v/>
      </c>
      <c r="G767" t="inlineStr">
        <is>
          <t>1018668006</t>
        </is>
      </c>
      <c r="H767" t="inlineStr">
        <is>
          <t>1101114745927</t>
        </is>
      </c>
      <c r="I767" t="inlineStr">
        <is>
          <t>대상아님</t>
        </is>
      </c>
      <c r="J767" t="inlineStr">
        <is>
          <t>일반법인</t>
        </is>
      </c>
      <c r="K767" t="inlineStr">
        <is>
          <t>중소기업</t>
        </is>
      </c>
      <c r="L767" t="inlineStr">
        <is>
          <t>외부감사대상</t>
        </is>
      </c>
      <c r="M767" s="6" t="inlineStr">
        <is>
          <t>2011-12-08</t>
        </is>
      </c>
      <c r="N767" t="inlineStr">
        <is>
          <t>KRI:10H5291400</t>
        </is>
      </c>
      <c r="O767" t="inlineStr">
        <is>
          <t>도로 및 관련시설 운영업</t>
        </is>
      </c>
      <c r="P767" t="inlineStr">
        <is>
          <t>서울제물포터널 운영,관리,건설</t>
        </is>
      </c>
      <c r="Q767" t="inlineStr">
        <is>
          <t>서울 양천구 신정동 1060번지 3층</t>
        </is>
      </c>
      <c r="R767" t="inlineStr">
        <is>
          <t>서울 양천구 국회대로 248-1, 3층</t>
        </is>
      </c>
    </row>
    <row r="768" ht="19.2" customHeight="1" s="1">
      <c r="A768" t="inlineStr">
        <is>
          <t>NICE:E96374</t>
        </is>
      </c>
      <c r="B768" t="inlineStr">
        <is>
          <t>벨라시스텍</t>
        </is>
      </c>
      <c r="C768" t="inlineStr">
        <is>
          <t>이기선</t>
        </is>
      </c>
      <c r="D768" t="inlineStr">
        <is>
          <t>070-7725-9888</t>
        </is>
      </c>
      <c r="E768" t="inlineStr">
        <is>
          <t>02-481-5954</t>
        </is>
      </c>
      <c r="F768" s="3">
        <f>HYPERLINK("http://www.bella-systech.co.kr", "http://www.bella-systech.co.kr")</f>
        <v/>
      </c>
      <c r="G768" t="inlineStr">
        <is>
          <t>2068658176</t>
        </is>
      </c>
      <c r="H768" t="inlineStr">
        <is>
          <t>1101114701648</t>
        </is>
      </c>
      <c r="I768" t="inlineStr">
        <is>
          <t>대상아님</t>
        </is>
      </c>
      <c r="J768" t="inlineStr">
        <is>
          <t>일반법인</t>
        </is>
      </c>
      <c r="K768" t="inlineStr">
        <is>
          <t>중소기업</t>
        </is>
      </c>
      <c r="L768" t="inlineStr">
        <is>
          <t>외부감사대상</t>
        </is>
      </c>
      <c r="M768" s="6" t="inlineStr">
        <is>
          <t>2011-10-06</t>
        </is>
      </c>
      <c r="N768" t="inlineStr">
        <is>
          <t>KRI:10G4652100</t>
        </is>
      </c>
      <c r="O768" t="inlineStr">
        <is>
          <t>가전제품 및 부품 도매업</t>
        </is>
      </c>
      <c r="P768" t="inlineStr">
        <is>
          <t>피부미용장비 도소매</t>
        </is>
      </c>
      <c r="Q768" t="inlineStr">
        <is>
          <t>서울 성동구 성수동2가 289-18번지 서울숲코리아아이티센터 901호</t>
        </is>
      </c>
      <c r="R768" t="inlineStr">
        <is>
          <t>서울 성동구 성수일로12길 26, 901호 (성수동2가,서울숲코리아아이티센터)</t>
        </is>
      </c>
    </row>
    <row r="769" ht="19.2" customHeight="1" s="1">
      <c r="A769" t="inlineStr">
        <is>
          <t>NICE:E96481</t>
        </is>
      </c>
      <c r="B769" t="inlineStr">
        <is>
          <t>하모니렌트카</t>
        </is>
      </c>
      <c r="C769" t="inlineStr">
        <is>
          <t>김위연</t>
        </is>
      </c>
      <c r="D769" t="inlineStr">
        <is>
          <t>02-1588-5802</t>
        </is>
      </c>
      <c r="E769" t="inlineStr">
        <is>
          <t>02-6442-7977</t>
        </is>
      </c>
      <c r="F769" s="3">
        <f>HYPERLINK("http://harmonyrentcar.com", "http://harmonyrentcar.com")</f>
        <v/>
      </c>
      <c r="G769" t="inlineStr">
        <is>
          <t>1098631667</t>
        </is>
      </c>
      <c r="H769" t="inlineStr">
        <is>
          <t>1101114699603</t>
        </is>
      </c>
      <c r="I769" t="inlineStr">
        <is>
          <t>대상아님</t>
        </is>
      </c>
      <c r="J769" t="inlineStr">
        <is>
          <t>일반법인</t>
        </is>
      </c>
      <c r="K769" t="inlineStr">
        <is>
          <t>중소기업</t>
        </is>
      </c>
      <c r="L769" t="inlineStr">
        <is>
          <t>외부감사대상</t>
        </is>
      </c>
      <c r="M769" s="6" t="inlineStr">
        <is>
          <t>2011-10-04</t>
        </is>
      </c>
      <c r="N769" t="inlineStr">
        <is>
          <t>KRI:10N7611000</t>
        </is>
      </c>
      <c r="O769" t="inlineStr">
        <is>
          <t>자동차 임대업</t>
        </is>
      </c>
      <c r="P769" t="inlineStr">
        <is>
          <t>차량 대여/자동차렌트 리스중개</t>
        </is>
      </c>
      <c r="Q769" t="inlineStr">
        <is>
          <t>서울 강서구 가양동 1498번지 강서한강자이타워 비901호,비902호</t>
        </is>
      </c>
      <c r="R769" t="inlineStr">
        <is>
          <t>서울 강서구 양천로 401, 비901호,비902호 (가양동,강서한강자이타워)</t>
        </is>
      </c>
    </row>
    <row r="770" ht="19.2" customHeight="1" s="1">
      <c r="A770" t="inlineStr">
        <is>
          <t>NICE:EO2515</t>
        </is>
      </c>
      <c r="B770" t="inlineStr">
        <is>
          <t>블랙큐브</t>
        </is>
      </c>
      <c r="C770" t="inlineStr">
        <is>
          <t>김진숙</t>
        </is>
      </c>
      <c r="D770" t="inlineStr">
        <is>
          <t>031-315-1300</t>
        </is>
      </c>
      <c r="E770" t="inlineStr">
        <is>
          <t>031-315-1394</t>
        </is>
      </c>
      <c r="F770" s="3">
        <f>HYPERLINK("http://www.wblackcube.com", "http://www.wblackcube.com")</f>
        <v/>
      </c>
      <c r="G770" t="inlineStr">
        <is>
          <t>5518800035</t>
        </is>
      </c>
      <c r="H770" t="inlineStr">
        <is>
          <t>1341110407002</t>
        </is>
      </c>
      <c r="I770" t="inlineStr">
        <is>
          <t>대상아님</t>
        </is>
      </c>
      <c r="J770" t="inlineStr">
        <is>
          <t>일반법인</t>
        </is>
      </c>
      <c r="K770" t="inlineStr">
        <is>
          <t>중소기업</t>
        </is>
      </c>
      <c r="L770" t="inlineStr">
        <is>
          <t>외부감사대상</t>
        </is>
      </c>
      <c r="M770" s="6" t="inlineStr">
        <is>
          <t>2015-03-19</t>
        </is>
      </c>
      <c r="N770" t="inlineStr">
        <is>
          <t>KRI:10G4643300</t>
        </is>
      </c>
      <c r="O770" t="inlineStr">
        <is>
          <t>생활용 유리ㆍ요업ㆍ목재ㆍ금속 제품 및 날붙이 도매업</t>
        </is>
      </c>
      <c r="P770" t="inlineStr">
        <is>
          <t>스텐레스 주방용품,생활용품 도소매,제조/무역,전자상거래</t>
        </is>
      </c>
      <c r="Q770" t="inlineStr">
        <is>
          <t>경기 시흥시 배곧동 216번지 아브뉴프랑센트럴옐로우 431호,532호,533호</t>
        </is>
      </c>
      <c r="R770" t="inlineStr">
        <is>
          <t>경기 시흥시 서울대학로278번길 34, 아브뉴프랑센트럴옐로우 431호,532호,533호</t>
        </is>
      </c>
    </row>
    <row r="771" ht="19.2" customHeight="1" s="1">
      <c r="A771" t="inlineStr">
        <is>
          <t>NICE:F00170</t>
        </is>
      </c>
      <c r="B771" t="inlineStr">
        <is>
          <t>대한슬래그</t>
        </is>
      </c>
      <c r="C771" t="inlineStr">
        <is>
          <t>강병복</t>
        </is>
      </c>
      <c r="D771" t="inlineStr">
        <is>
          <t>061-798-9600</t>
        </is>
      </c>
      <c r="E771" t="inlineStr">
        <is>
          <t>061-798-9699</t>
        </is>
      </c>
      <c r="F771" s="3">
        <f>HYPERLINK("http://dhslag.co.kr", "http://dhslag.co.kr")</f>
        <v/>
      </c>
      <c r="G771" t="inlineStr">
        <is>
          <t>4168169329</t>
        </is>
      </c>
      <c r="H771" t="inlineStr">
        <is>
          <t>2046110030668</t>
        </is>
      </c>
      <c r="I771" t="inlineStr">
        <is>
          <t>대상아님</t>
        </is>
      </c>
      <c r="J771" t="inlineStr">
        <is>
          <t>일반법인</t>
        </is>
      </c>
      <c r="K771" t="inlineStr">
        <is>
          <t>중견기업</t>
        </is>
      </c>
      <c r="L771" t="inlineStr">
        <is>
          <t>외부감사대상</t>
        </is>
      </c>
      <c r="M771" s="6" t="inlineStr">
        <is>
          <t>2009-11-02</t>
        </is>
      </c>
      <c r="N771" t="inlineStr">
        <is>
          <t>KRI:10C2399300</t>
        </is>
      </c>
      <c r="O771" t="inlineStr">
        <is>
          <t>비금속광물 분쇄물 생산업</t>
        </is>
      </c>
      <c r="P771" t="inlineStr">
        <is>
          <t>슬래그파우더(콘크리트 혼합재료) 제조,도매</t>
        </is>
      </c>
      <c r="Q771" t="inlineStr">
        <is>
          <t>전남 광양시 태인동 1659-8번지</t>
        </is>
      </c>
      <c r="R771" t="inlineStr">
        <is>
          <t>전남 광양시 산업로 207</t>
        </is>
      </c>
    </row>
    <row r="772" ht="19.2" customHeight="1" s="1">
      <c r="A772" t="inlineStr">
        <is>
          <t>NICE:F02964</t>
        </is>
      </c>
      <c r="B772" t="inlineStr">
        <is>
          <t>서한이앤피</t>
        </is>
      </c>
      <c r="C772" t="inlineStr">
        <is>
          <t>서유성</t>
        </is>
      </c>
      <c r="D772" t="inlineStr">
        <is>
          <t>054-620-5200</t>
        </is>
      </c>
      <c r="E772" t="inlineStr">
        <is>
          <t>054-620-3131</t>
        </is>
      </c>
      <c r="F772" s="3">
        <f>HYPERLINK("http://www.seohanenp.com", "http://www.seohanenp.com")</f>
        <v/>
      </c>
      <c r="G772" t="inlineStr">
        <is>
          <t>5058158160</t>
        </is>
      </c>
      <c r="H772" t="inlineStr">
        <is>
          <t>1712110057701</t>
        </is>
      </c>
      <c r="I772" t="inlineStr">
        <is>
          <t>대상아님</t>
        </is>
      </c>
      <c r="J772" t="inlineStr">
        <is>
          <t>일반법인</t>
        </is>
      </c>
      <c r="K772" t="inlineStr">
        <is>
          <t>중견기업</t>
        </is>
      </c>
      <c r="L772" t="inlineStr">
        <is>
          <t>외부감사대상</t>
        </is>
      </c>
      <c r="M772" s="6" t="inlineStr">
        <is>
          <t>2009-12-30</t>
        </is>
      </c>
      <c r="N772" t="inlineStr">
        <is>
          <t>KRI:10C2591200</t>
        </is>
      </c>
      <c r="O772" t="inlineStr">
        <is>
          <t>금속 단조제품 제조업</t>
        </is>
      </c>
      <c r="P772" t="inlineStr">
        <is>
          <t>단조제품(풍력발전설비,플랜트부품) 제조/철판,슬라브 도소매</t>
        </is>
      </c>
      <c r="Q772" t="inlineStr">
        <is>
          <t>경북 경주시 건천읍 용명리 2585번지</t>
        </is>
      </c>
      <c r="R772" t="inlineStr">
        <is>
          <t>경북 경주시 건천읍 용명공단길 173-47</t>
        </is>
      </c>
    </row>
    <row r="773" ht="19.2" customHeight="1" s="1">
      <c r="A773" t="inlineStr">
        <is>
          <t>NICE:F03344</t>
        </is>
      </c>
      <c r="B773" t="inlineStr">
        <is>
          <t>테너지</t>
        </is>
      </c>
      <c r="C773" t="inlineStr">
        <is>
          <t>최두원/최재권</t>
        </is>
      </c>
      <c r="D773" t="inlineStr">
        <is>
          <t>031-888-9870</t>
        </is>
      </c>
      <c r="E773" t="inlineStr">
        <is>
          <t>070-5143-1290</t>
        </is>
      </c>
      <c r="F773" s="3">
        <f>HYPERLINK("http://www.tenergy-x.com", "http://www.tenergy-x.com")</f>
        <v/>
      </c>
      <c r="G773" t="inlineStr">
        <is>
          <t>1358196188</t>
        </is>
      </c>
      <c r="H773" t="inlineStr">
        <is>
          <t>1358110149542</t>
        </is>
      </c>
      <c r="I773" t="inlineStr">
        <is>
          <t>대상아님</t>
        </is>
      </c>
      <c r="J773" t="inlineStr">
        <is>
          <t>일반법인</t>
        </is>
      </c>
      <c r="K773" t="inlineStr">
        <is>
          <t>중소기업</t>
        </is>
      </c>
      <c r="L773" t="inlineStr">
        <is>
          <t>외부감사대상</t>
        </is>
      </c>
      <c r="M773" s="6" t="inlineStr">
        <is>
          <t>2008-03-04</t>
        </is>
      </c>
      <c r="N773" t="inlineStr">
        <is>
          <t>KRI:10M7012900</t>
        </is>
      </c>
      <c r="O773" t="inlineStr">
        <is>
          <t>기타 공학 연구개발업</t>
        </is>
      </c>
      <c r="P773" t="inlineStr">
        <is>
          <t>공학,기술(엔진,자동차엔진) 연구개발/응용소프트웨어 개발,공급</t>
        </is>
      </c>
      <c r="Q773" t="inlineStr">
        <is>
          <t>경기 성남시 수정구 금토동 714번지</t>
        </is>
      </c>
      <c r="R773" t="inlineStr">
        <is>
          <t>경기 성남시 수정구 금토로80번길 22</t>
        </is>
      </c>
    </row>
    <row r="774" ht="19.2" customHeight="1" s="1">
      <c r="A774" t="inlineStr">
        <is>
          <t>NICE:F04894</t>
        </is>
      </c>
      <c r="B774" t="inlineStr">
        <is>
          <t>에스엔디엔지</t>
        </is>
      </c>
      <c r="C774" t="inlineStr">
        <is>
          <t>송영석</t>
        </is>
      </c>
      <c r="D774" t="inlineStr">
        <is>
          <t>02-2662-4297</t>
        </is>
      </c>
      <c r="E774" t="inlineStr">
        <is>
          <t>031-984-4296</t>
        </is>
      </c>
      <c r="F774" s="3">
        <f>HYPERLINK("http://www.sndng.co.kr", "http://www.sndng.co.kr")</f>
        <v/>
      </c>
      <c r="G774" t="inlineStr">
        <is>
          <t>1098614727</t>
        </is>
      </c>
      <c r="H774" t="inlineStr">
        <is>
          <t>1101113961996</t>
        </is>
      </c>
      <c r="I774" t="inlineStr">
        <is>
          <t>대상아님</t>
        </is>
      </c>
      <c r="J774" t="inlineStr">
        <is>
          <t>일반법인</t>
        </is>
      </c>
      <c r="K774" t="inlineStr">
        <is>
          <t>중소기업</t>
        </is>
      </c>
      <c r="L774" t="inlineStr">
        <is>
          <t>외부감사대상</t>
        </is>
      </c>
      <c r="M774" s="6" t="inlineStr">
        <is>
          <t>2008-09-01</t>
        </is>
      </c>
      <c r="N774" t="inlineStr">
        <is>
          <t>KRI:10C3209100</t>
        </is>
      </c>
      <c r="O774" t="inlineStr">
        <is>
          <t>금속 가구 제조업</t>
        </is>
      </c>
      <c r="P774" t="inlineStr">
        <is>
          <t>가구류,가구하드웨어,금형,비철금속가공 제조/도배공사.실내장식공사,내장목공사/엘이디조명,엘이디조명기구,건축자재 도소매</t>
        </is>
      </c>
      <c r="Q774" t="inlineStr">
        <is>
          <t>경기 김포시 양촌읍 학운리 3892번지</t>
        </is>
      </c>
      <c r="R774" t="inlineStr">
        <is>
          <t>경기 김포시 양촌읍 황금로291번길 30</t>
        </is>
      </c>
    </row>
    <row r="775" ht="19.2" customHeight="1" s="1">
      <c r="A775" t="inlineStr">
        <is>
          <t>NICE:F07556</t>
        </is>
      </c>
      <c r="B775" t="inlineStr">
        <is>
          <t>보임코퍼레이션</t>
        </is>
      </c>
      <c r="C775" t="inlineStr">
        <is>
          <t>한문선</t>
        </is>
      </c>
      <c r="D775" t="inlineStr">
        <is>
          <t>061-686-6420</t>
        </is>
      </c>
      <c r="E775" t="inlineStr">
        <is>
          <t>061-686-6422</t>
        </is>
      </c>
      <c r="F775" s="3">
        <f>HYPERLINK("http://www.boimkorea.com", "http://www.boimkorea.com")</f>
        <v/>
      </c>
      <c r="G775" t="inlineStr">
        <is>
          <t>4178133014</t>
        </is>
      </c>
      <c r="H775" t="inlineStr">
        <is>
          <t>2062110032438</t>
        </is>
      </c>
      <c r="I775" t="inlineStr">
        <is>
          <t>대상아님</t>
        </is>
      </c>
      <c r="J775" t="inlineStr">
        <is>
          <t>일반법인</t>
        </is>
      </c>
      <c r="K775" t="inlineStr">
        <is>
          <t>중견기업</t>
        </is>
      </c>
      <c r="L775" t="inlineStr">
        <is>
          <t>외부감사대상</t>
        </is>
      </c>
      <c r="M775" s="6" t="inlineStr">
        <is>
          <t>2006-07-05</t>
        </is>
      </c>
      <c r="N775" t="inlineStr">
        <is>
          <t>KRI:10H5292100</t>
        </is>
      </c>
      <c r="O775" t="inlineStr">
        <is>
          <t>항구 및 기타 해상 터미널 운영업</t>
        </is>
      </c>
      <c r="P775" t="inlineStr">
        <is>
          <t>항만시설운영/석유화학계 기초화학물질,계면활성제 제조</t>
        </is>
      </c>
      <c r="Q775" t="inlineStr">
        <is>
          <t>전남 여수시 낙포동 1370번지</t>
        </is>
      </c>
      <c r="R775" t="inlineStr">
        <is>
          <t>전남 여수시 여수산단로 1469-120</t>
        </is>
      </c>
    </row>
    <row r="776" ht="19.2" customHeight="1" s="1">
      <c r="A776" t="inlineStr">
        <is>
          <t>NICE:F09722</t>
        </is>
      </c>
      <c r="B776" t="inlineStr">
        <is>
          <t>씨지앤율촌전력</t>
        </is>
      </c>
      <c r="C776" t="inlineStr">
        <is>
          <t>송주호</t>
        </is>
      </c>
      <c r="D776" t="inlineStr">
        <is>
          <t>02-399-7800</t>
        </is>
      </c>
      <c r="E776" t="inlineStr">
        <is>
          <t>02-399-7815</t>
        </is>
      </c>
      <c r="F776" s="3">
        <f>HYPERLINK("http://cgnyulchon.co.kr", "http://cgnyulchon.co.kr")</f>
        <v/>
      </c>
      <c r="G776" t="inlineStr">
        <is>
          <t>4168167786</t>
        </is>
      </c>
      <c r="H776" t="inlineStr">
        <is>
          <t>2013110041094</t>
        </is>
      </c>
      <c r="I776" t="inlineStr">
        <is>
          <t>대상아님</t>
        </is>
      </c>
      <c r="J776" t="inlineStr">
        <is>
          <t>일반법인</t>
        </is>
      </c>
      <c r="K776" t="inlineStr">
        <is>
          <t>중견기업</t>
        </is>
      </c>
      <c r="L776" t="inlineStr">
        <is>
          <t>외부감사대상</t>
        </is>
      </c>
      <c r="M776" s="6" t="inlineStr">
        <is>
          <t>2009-07-28</t>
        </is>
      </c>
      <c r="N776" t="inlineStr">
        <is>
          <t>KRI:10D3511300</t>
        </is>
      </c>
      <c r="O776" t="inlineStr">
        <is>
          <t>화력 발전업</t>
        </is>
      </c>
      <c r="P776" t="inlineStr">
        <is>
          <t>전력 생산,공급</t>
        </is>
      </c>
      <c r="Q776" t="inlineStr">
        <is>
          <t>전남 광양시 광양읍 세풍리 2199번지</t>
        </is>
      </c>
      <c r="R776" t="inlineStr">
        <is>
          <t>전남 광양시 광양읍 인덕로 360-202</t>
        </is>
      </c>
    </row>
    <row r="777" ht="19.2" customHeight="1" s="1">
      <c r="A777" t="inlineStr">
        <is>
          <t>NICE:F11537</t>
        </is>
      </c>
      <c r="B777" t="inlineStr">
        <is>
          <t>파인텍</t>
        </is>
      </c>
      <c r="C777" t="inlineStr">
        <is>
          <t>노영석/장석준</t>
        </is>
      </c>
      <c r="D777" t="inlineStr">
        <is>
          <t>031-378-3716</t>
        </is>
      </c>
      <c r="E777" t="inlineStr">
        <is>
          <t>031-378-3719</t>
        </is>
      </c>
      <c r="F777" s="3">
        <f>HYPERLINK("http://www.fine-tech.kr", "http://www.fine-tech.kr")</f>
        <v/>
      </c>
      <c r="G777" t="inlineStr">
        <is>
          <t>1248655028</t>
        </is>
      </c>
      <c r="H777" t="inlineStr">
        <is>
          <t>1348110138348</t>
        </is>
      </c>
      <c r="I777" t="inlineStr">
        <is>
          <t>대상아님</t>
        </is>
      </c>
      <c r="J777" t="inlineStr">
        <is>
          <t>일반법인</t>
        </is>
      </c>
      <c r="K777" t="inlineStr">
        <is>
          <t>중소기업</t>
        </is>
      </c>
      <c r="L777" t="inlineStr">
        <is>
          <t>외부감사대상</t>
        </is>
      </c>
      <c r="M777" s="6" t="inlineStr">
        <is>
          <t>2007-04-25</t>
        </is>
      </c>
      <c r="N777" t="inlineStr">
        <is>
          <t>KRI:10F4122500</t>
        </is>
      </c>
      <c r="O777" t="inlineStr">
        <is>
          <t>산업생산시설 종합건설업</t>
        </is>
      </c>
      <c r="P777" t="inlineStr">
        <is>
          <t>산업환경설비공사,가스시설시공,기계설비공사, 정보통신공사,전기공사/반도체 제조/반도체 배관 설계</t>
        </is>
      </c>
      <c r="Q777" t="inlineStr">
        <is>
          <t>경기 평택시 진위면 청호리 330-4번지</t>
        </is>
      </c>
      <c r="R777" t="inlineStr">
        <is>
          <t>경기 평택시 진위면 진위산단로 53-60</t>
        </is>
      </c>
    </row>
    <row r="778" ht="19.2" customHeight="1" s="1">
      <c r="A778" t="inlineStr">
        <is>
          <t>NICE:F13559</t>
        </is>
      </c>
      <c r="B778" t="inlineStr">
        <is>
          <t>이동의즐거움</t>
        </is>
      </c>
      <c r="C778" t="inlineStr">
        <is>
          <t>손민수</t>
        </is>
      </c>
      <c r="D778" t="inlineStr">
        <is>
          <t>02-6466-7000</t>
        </is>
      </c>
      <c r="E778" t="inlineStr">
        <is>
          <t>02-6466-7008</t>
        </is>
      </c>
      <c r="F778" s="3">
        <f>HYPERLINK("http://www.myezl.com/", "http://www.myezl.com/")</f>
        <v/>
      </c>
      <c r="G778" t="inlineStr">
        <is>
          <t>1298638970</t>
        </is>
      </c>
      <c r="H778" t="inlineStr">
        <is>
          <t>1311110241776</t>
        </is>
      </c>
      <c r="I778" t="inlineStr">
        <is>
          <t>대상아님</t>
        </is>
      </c>
      <c r="J778" t="inlineStr">
        <is>
          <t>일반법인</t>
        </is>
      </c>
      <c r="K778" t="inlineStr">
        <is>
          <t>중견기업</t>
        </is>
      </c>
      <c r="L778" t="inlineStr">
        <is>
          <t>외부감사대상</t>
        </is>
      </c>
      <c r="M778" s="6" t="inlineStr">
        <is>
          <t>2009-10-19</t>
        </is>
      </c>
      <c r="N778" t="inlineStr">
        <is>
          <t>KRI:10K6619900</t>
        </is>
      </c>
      <c r="O778" t="inlineStr">
        <is>
          <t>그 외 기타 금융 지원 서비스업</t>
        </is>
      </c>
      <c r="P778" t="inlineStr">
        <is>
          <t>전자화폐,교통카드 발행,운영 관리</t>
        </is>
      </c>
      <c r="Q778" t="inlineStr">
        <is>
          <t>서울 중구 다동 39번지 케이스퀘어시티 제10층 제1001호, 제11층 제1101호</t>
        </is>
      </c>
      <c r="R778" t="inlineStr">
        <is>
          <t>서울 중구 청계천로 24, 제10층 제1001호, 제11층 제1101호 (다동,케이스퀘어시티)</t>
        </is>
      </c>
    </row>
    <row r="779" ht="19.2" customHeight="1" s="1">
      <c r="A779" t="inlineStr">
        <is>
          <t>NICE:F15998</t>
        </is>
      </c>
      <c r="B779" t="inlineStr">
        <is>
          <t>에이스나노켐</t>
        </is>
      </c>
      <c r="C779" t="inlineStr">
        <is>
          <t>이종훈</t>
        </is>
      </c>
      <c r="D779" t="inlineStr">
        <is>
          <t>053-857-6240</t>
        </is>
      </c>
      <c r="E779" t="inlineStr">
        <is>
          <t>053-856-6849</t>
        </is>
      </c>
      <c r="F779" s="3">
        <f>HYPERLINK("http://www.acenanochem.com", "http://www.acenanochem.com")</f>
        <v/>
      </c>
      <c r="G779" t="inlineStr">
        <is>
          <t>5158139501</t>
        </is>
      </c>
      <c r="H779" t="inlineStr">
        <is>
          <t>1748110054710</t>
        </is>
      </c>
      <c r="I779" t="inlineStr">
        <is>
          <t>대상아님</t>
        </is>
      </c>
      <c r="J779" t="inlineStr">
        <is>
          <t>일반법인</t>
        </is>
      </c>
      <c r="K779" t="inlineStr">
        <is>
          <t>중소기업</t>
        </is>
      </c>
      <c r="L779" t="inlineStr">
        <is>
          <t>외부감사대상</t>
        </is>
      </c>
      <c r="M779" s="6" t="inlineStr">
        <is>
          <t>2010-05-24</t>
        </is>
      </c>
      <c r="N779" t="inlineStr">
        <is>
          <t>KRI:10C2049900</t>
        </is>
      </c>
      <c r="O779" t="inlineStr">
        <is>
          <t>그 외 기타 분류 안된 화학제품 제조업</t>
        </is>
      </c>
      <c r="P779" t="inlineStr">
        <is>
          <t>화학제품 제조</t>
        </is>
      </c>
      <c r="Q779" t="inlineStr">
        <is>
          <t>경북 영천시 금호읍 구암리 1330-1번지</t>
        </is>
      </c>
      <c r="R779" t="inlineStr">
        <is>
          <t>경북 영천시 금호읍 영천산단로 217</t>
        </is>
      </c>
    </row>
    <row r="780">
      <c r="A780" t="inlineStr">
        <is>
          <t>NICE:F16929</t>
        </is>
      </c>
      <c r="B780" t="inlineStr">
        <is>
          <t>문화상사</t>
        </is>
      </c>
      <c r="C780" t="inlineStr">
        <is>
          <t>박상헌/박중우</t>
        </is>
      </c>
      <c r="D780" t="inlineStr">
        <is>
          <t>051-519-6356</t>
        </is>
      </c>
      <c r="E780" t="inlineStr">
        <is>
          <t>051-714-1817</t>
        </is>
      </c>
      <c r="G780" t="inlineStr">
        <is>
          <t>6078183500</t>
        </is>
      </c>
      <c r="H780" t="inlineStr">
        <is>
          <t>1801110617134</t>
        </is>
      </c>
      <c r="I780" t="inlineStr">
        <is>
          <t>대상아님</t>
        </is>
      </c>
      <c r="J780" t="inlineStr">
        <is>
          <t>일반법인</t>
        </is>
      </c>
      <c r="K780" t="inlineStr">
        <is>
          <t>중소기업</t>
        </is>
      </c>
      <c r="L780" t="inlineStr">
        <is>
          <t>외부감사대상</t>
        </is>
      </c>
      <c r="M780" s="6" t="inlineStr">
        <is>
          <t>2007-12-28</t>
        </is>
      </c>
      <c r="N780" t="inlineStr">
        <is>
          <t>KRI:10G4632900</t>
        </is>
      </c>
      <c r="O780" t="inlineStr">
        <is>
          <t>기타 가공식품 도매업</t>
        </is>
      </c>
      <c r="P780" t="inlineStr">
        <is>
          <t>건강기능식품 도소매/전자상거래,통신판매/부동산 매매/경영 컨설팅</t>
        </is>
      </c>
      <c r="Q780" t="inlineStr">
        <is>
          <t>부산 동래구 온천동 1429-29번지 문화빌딩 3층</t>
        </is>
      </c>
      <c r="R780" t="inlineStr">
        <is>
          <t>부산 동래구 중앙대로1335번길 77, 3층 (온천동,문화빌딩)</t>
        </is>
      </c>
    </row>
    <row r="781" ht="19.2" customHeight="1" s="1">
      <c r="A781" t="inlineStr">
        <is>
          <t>NICE:F17679</t>
        </is>
      </c>
      <c r="B781" t="inlineStr">
        <is>
          <t>드림아스콘</t>
        </is>
      </c>
      <c r="C781" t="inlineStr">
        <is>
          <t>박혜연/서정윤</t>
        </is>
      </c>
      <c r="D781" t="inlineStr">
        <is>
          <t>032-678-0081</t>
        </is>
      </c>
      <c r="E781" t="inlineStr">
        <is>
          <t>032-672-5072</t>
        </is>
      </c>
      <c r="F781" s="3">
        <f>HYPERLINK("http://www.hi-dreams.com/", "http://www.hi-dreams.com/")</f>
        <v/>
      </c>
      <c r="G781" t="inlineStr">
        <is>
          <t>1308640248</t>
        </is>
      </c>
      <c r="H781" t="inlineStr">
        <is>
          <t>1511110032337</t>
        </is>
      </c>
      <c r="I781" t="inlineStr">
        <is>
          <t>대상아님</t>
        </is>
      </c>
      <c r="J781" t="inlineStr">
        <is>
          <t>일반법인</t>
        </is>
      </c>
      <c r="K781" t="inlineStr">
        <is>
          <t>중소기업</t>
        </is>
      </c>
      <c r="L781" t="inlineStr">
        <is>
          <t>외부감사대상</t>
        </is>
      </c>
      <c r="M781" s="6" t="inlineStr">
        <is>
          <t>2008-04-07</t>
        </is>
      </c>
      <c r="N781" t="inlineStr">
        <is>
          <t>KRI:10C2399100</t>
        </is>
      </c>
      <c r="O781" t="inlineStr">
        <is>
          <t>아스팔트 콘크리트 및 혼합제품 제조업</t>
        </is>
      </c>
      <c r="P781" t="inlineStr">
        <is>
          <t>아스콘 제조</t>
        </is>
      </c>
      <c r="Q781" t="inlineStr">
        <is>
          <t>경기 부천시 오정구 삼정동 34-8번지</t>
        </is>
      </c>
      <c r="R781" t="inlineStr">
        <is>
          <t>경기 부천시 오정구 오정로 12</t>
        </is>
      </c>
    </row>
    <row r="782" ht="19.2" customHeight="1" s="1">
      <c r="A782" t="inlineStr">
        <is>
          <t>NICE:F18713</t>
        </is>
      </c>
      <c r="B782" t="inlineStr">
        <is>
          <t>퍼틸레인</t>
        </is>
      </c>
      <c r="C782" t="inlineStr">
        <is>
          <t>김진</t>
        </is>
      </c>
      <c r="D782" t="inlineStr">
        <is>
          <t>02-546-7377</t>
        </is>
      </c>
      <c r="E782" t="inlineStr">
        <is>
          <t>02-546-7379</t>
        </is>
      </c>
      <c r="F782" s="3">
        <f>HYPERLINK("http://www.fertilerains.com", "http://www.fertilerains.com")</f>
        <v/>
      </c>
      <c r="G782" t="inlineStr">
        <is>
          <t>2118836090</t>
        </is>
      </c>
      <c r="H782" t="inlineStr">
        <is>
          <t>1101114232114</t>
        </is>
      </c>
      <c r="I782" t="inlineStr">
        <is>
          <t>대상아님</t>
        </is>
      </c>
      <c r="J782" t="inlineStr">
        <is>
          <t>일반법인</t>
        </is>
      </c>
      <c r="K782" t="inlineStr">
        <is>
          <t>중소기업</t>
        </is>
      </c>
      <c r="L782" t="inlineStr">
        <is>
          <t>외부감사대상</t>
        </is>
      </c>
      <c r="M782" s="6" t="inlineStr">
        <is>
          <t>2009-12-02</t>
        </is>
      </c>
      <c r="N782" t="inlineStr">
        <is>
          <t>KRI:10M7131000</t>
        </is>
      </c>
      <c r="O782" t="inlineStr">
        <is>
          <t>광고 대행업</t>
        </is>
      </c>
      <c r="P782" t="inlineStr">
        <is>
          <t>광고 대행,홈페이지 구축,운영소프트웨어 개발,공급</t>
        </is>
      </c>
      <c r="Q782" t="inlineStr">
        <is>
          <t>서울 강남구 역삼동 704-48번지</t>
        </is>
      </c>
      <c r="R782" t="inlineStr">
        <is>
          <t>서울 강남구 테헤란로51길 21</t>
        </is>
      </c>
    </row>
    <row r="783" ht="19.2" customHeight="1" s="1">
      <c r="A783" t="inlineStr">
        <is>
          <t>NICE:F19449</t>
        </is>
      </c>
      <c r="B783" t="inlineStr">
        <is>
          <t>푸드케어</t>
        </is>
      </c>
      <c r="C783" t="inlineStr">
        <is>
          <t>송주영</t>
        </is>
      </c>
      <c r="D783" t="inlineStr">
        <is>
          <t>1577-7003</t>
        </is>
      </c>
      <c r="E783" t="inlineStr">
        <is>
          <t>032-624-3343</t>
        </is>
      </c>
      <c r="F783" s="3">
        <f>HYPERLINK("http://www.eusik.com", "http://www.eusik.com")</f>
        <v/>
      </c>
      <c r="G783" t="inlineStr">
        <is>
          <t>1308648124</t>
        </is>
      </c>
      <c r="H783" t="inlineStr">
        <is>
          <t>1211110196676</t>
        </is>
      </c>
      <c r="I783" t="inlineStr">
        <is>
          <t>대상아님</t>
        </is>
      </c>
      <c r="J783" t="inlineStr">
        <is>
          <t>일반법인</t>
        </is>
      </c>
      <c r="K783" t="inlineStr">
        <is>
          <t>중소기업</t>
        </is>
      </c>
      <c r="L783" t="inlineStr">
        <is>
          <t>외부감사대상</t>
        </is>
      </c>
      <c r="M783" s="6" t="inlineStr">
        <is>
          <t>2009-12-24</t>
        </is>
      </c>
      <c r="N783" t="inlineStr">
        <is>
          <t>KRI:10C1079300</t>
        </is>
      </c>
      <c r="O783" t="inlineStr">
        <is>
          <t>수프 및 균질화식품 제조업</t>
        </is>
      </c>
      <c r="P783" t="inlineStr">
        <is>
          <t>이유식 제조</t>
        </is>
      </c>
      <c r="Q783" t="inlineStr">
        <is>
          <t>경기 부천시 오정구 삼정동 15-2번지 로에스푸드밸리</t>
        </is>
      </c>
      <c r="R783" t="inlineStr">
        <is>
          <t>경기 부천시 오정구 석천로453번길 92-18 (삼정동,로에스푸드밸리)</t>
        </is>
      </c>
    </row>
    <row r="784" ht="19.2" customHeight="1" s="1">
      <c r="A784" t="inlineStr">
        <is>
          <t>NICE:F21024</t>
        </is>
      </c>
      <c r="B784" t="inlineStr">
        <is>
          <t>이원생명과학연구원</t>
        </is>
      </c>
      <c r="C784" t="inlineStr">
        <is>
          <t>이남식</t>
        </is>
      </c>
      <c r="D784" t="inlineStr">
        <is>
          <t>032-237-7643</t>
        </is>
      </c>
      <c r="E784" t="inlineStr">
        <is>
          <t>032-237-7645</t>
        </is>
      </c>
      <c r="F784" s="3">
        <f>HYPERLINK("http://www.eonels.com", "http://www.eonels.com")</f>
        <v/>
      </c>
      <c r="G784" t="inlineStr">
        <is>
          <t>1318621832</t>
        </is>
      </c>
      <c r="H784" t="inlineStr">
        <is>
          <t>1201110527624</t>
        </is>
      </c>
      <c r="I784" t="inlineStr">
        <is>
          <t>대상아님</t>
        </is>
      </c>
      <c r="J784" t="inlineStr">
        <is>
          <t>일반법인</t>
        </is>
      </c>
      <c r="K784" t="inlineStr">
        <is>
          <t>중소기업</t>
        </is>
      </c>
      <c r="L784" t="inlineStr">
        <is>
          <t>외부감사대상</t>
        </is>
      </c>
      <c r="M784" s="6" t="inlineStr">
        <is>
          <t>2010-03-30</t>
        </is>
      </c>
      <c r="N784" t="inlineStr">
        <is>
          <t>KRI:10M7011300</t>
        </is>
      </c>
      <c r="O784" t="inlineStr">
        <is>
          <t>의학 및 약학 연구개발업</t>
        </is>
      </c>
      <c r="P784" t="inlineStr">
        <is>
          <t>의학,바이오 연구개발</t>
        </is>
      </c>
      <c r="Q784" t="inlineStr">
        <is>
          <t>인천 연수구 송도동 13-49번지</t>
        </is>
      </c>
      <c r="R784" t="inlineStr">
        <is>
          <t>인천 연수구 하모니로 291</t>
        </is>
      </c>
    </row>
    <row r="785" ht="19.2" customHeight="1" s="1">
      <c r="A785" t="inlineStr">
        <is>
          <t>NICE:F21131</t>
        </is>
      </c>
      <c r="B785" t="inlineStr">
        <is>
          <t>다마스버터플라이코리아</t>
        </is>
      </c>
      <c r="C785" t="inlineStr">
        <is>
          <t>오사와타카코</t>
        </is>
      </c>
      <c r="D785" t="inlineStr">
        <is>
          <t>02-1644-5030</t>
        </is>
      </c>
      <c r="E785" t="inlineStr">
        <is>
          <t>031-776-2205</t>
        </is>
      </c>
      <c r="F785" s="3">
        <f>HYPERLINK("http://www.butterfly-korea.co.kr", "http://www.butterfly-korea.co.kr")</f>
        <v/>
      </c>
      <c r="G785" t="inlineStr">
        <is>
          <t>2158722780</t>
        </is>
      </c>
      <c r="H785" t="inlineStr">
        <is>
          <t>1101114039213</t>
        </is>
      </c>
      <c r="I785" t="inlineStr">
        <is>
          <t>대상아님</t>
        </is>
      </c>
      <c r="J785" t="inlineStr">
        <is>
          <t>일반법인</t>
        </is>
      </c>
      <c r="K785" t="inlineStr">
        <is>
          <t>중소기업</t>
        </is>
      </c>
      <c r="L785" t="inlineStr">
        <is>
          <t>외부감사대상</t>
        </is>
      </c>
      <c r="M785" s="6" t="inlineStr">
        <is>
          <t>2009-02-06</t>
        </is>
      </c>
      <c r="N785" t="inlineStr">
        <is>
          <t>KRI:10G4646400</t>
        </is>
      </c>
      <c r="O785" t="inlineStr">
        <is>
          <t>운동 및 경기용품 도매업</t>
        </is>
      </c>
      <c r="P785" t="inlineStr">
        <is>
          <t>탁구용품 도소매,무역,제조</t>
        </is>
      </c>
      <c r="Q785" t="inlineStr">
        <is>
          <t>경기 성남시 중원구 상대원동 190-1번지 테크센터동 1101호</t>
        </is>
      </c>
      <c r="R785" t="inlineStr">
        <is>
          <t>경기 성남시 중원구 사기막골로 124, 테크센터동 1101호</t>
        </is>
      </c>
    </row>
    <row r="786" ht="19.2" customHeight="1" s="1">
      <c r="A786" t="inlineStr">
        <is>
          <t>NICE:F23795</t>
        </is>
      </c>
      <c r="B786" t="inlineStr">
        <is>
          <t>워피온</t>
        </is>
      </c>
      <c r="C786" t="inlineStr">
        <is>
          <t>노응석</t>
        </is>
      </c>
      <c r="D786" t="inlineStr">
        <is>
          <t>031-976-4563</t>
        </is>
      </c>
      <c r="E786" t="inlineStr">
        <is>
          <t>032-811-4564</t>
        </is>
      </c>
      <c r="F786" s="3">
        <f>HYPERLINK("http://www.wapion.kr", "http://www.wapion.kr")</f>
        <v/>
      </c>
      <c r="G786" t="inlineStr">
        <is>
          <t>1288638884</t>
        </is>
      </c>
      <c r="H786" t="inlineStr">
        <is>
          <t>2850110158390</t>
        </is>
      </c>
      <c r="I786" t="inlineStr">
        <is>
          <t>대상아님</t>
        </is>
      </c>
      <c r="J786" t="inlineStr">
        <is>
          <t>일반법인</t>
        </is>
      </c>
      <c r="K786" t="inlineStr">
        <is>
          <t>중소기업</t>
        </is>
      </c>
      <c r="L786" t="inlineStr">
        <is>
          <t>외부감사대상</t>
        </is>
      </c>
      <c r="M786" s="6" t="inlineStr">
        <is>
          <t>2009-04-23</t>
        </is>
      </c>
      <c r="N786" t="inlineStr">
        <is>
          <t>KRI:10C2917500</t>
        </is>
      </c>
      <c r="O786" t="inlineStr">
        <is>
          <t>액체 여과기 제조업</t>
        </is>
      </c>
      <c r="P786" t="inlineStr">
        <is>
          <t>정수기,정수기부품,밸브 제조/전자상거래</t>
        </is>
      </c>
      <c r="Q786" t="inlineStr">
        <is>
          <t>인천 남동구 고잔동 665-14번지</t>
        </is>
      </c>
      <c r="R786" t="inlineStr">
        <is>
          <t>인천 남동구 남동동로124번길 53</t>
        </is>
      </c>
    </row>
    <row r="787" ht="19.2" customHeight="1" s="1">
      <c r="A787" t="inlineStr">
        <is>
          <t>NICE:F23961</t>
        </is>
      </c>
      <c r="B787" t="inlineStr">
        <is>
          <t>씨지앤대산전력</t>
        </is>
      </c>
      <c r="C787" t="inlineStr">
        <is>
          <t>송주호</t>
        </is>
      </c>
      <c r="D787" t="inlineStr">
        <is>
          <t>02-399-7800</t>
        </is>
      </c>
      <c r="E787" t="inlineStr">
        <is>
          <t>02-399-7815</t>
        </is>
      </c>
      <c r="F787" s="3">
        <f>HYPERLINK("http://cgndaesan.co.kr", "http://cgndaesan.co.kr")</f>
        <v/>
      </c>
      <c r="G787" t="inlineStr">
        <is>
          <t>1018646259</t>
        </is>
      </c>
      <c r="H787" t="inlineStr">
        <is>
          <t>1101114075069</t>
        </is>
      </c>
      <c r="I787" t="inlineStr">
        <is>
          <t>대상아님</t>
        </is>
      </c>
      <c r="J787" t="inlineStr">
        <is>
          <t>일반법인</t>
        </is>
      </c>
      <c r="K787" t="inlineStr">
        <is>
          <t>중견기업</t>
        </is>
      </c>
      <c r="L787" t="inlineStr">
        <is>
          <t>외부감사대상</t>
        </is>
      </c>
      <c r="M787" s="6" t="inlineStr">
        <is>
          <t>2009-04-08</t>
        </is>
      </c>
      <c r="N787" t="inlineStr">
        <is>
          <t>KRI:10D3511300</t>
        </is>
      </c>
      <c r="O787" t="inlineStr">
        <is>
          <t>화력 발전업</t>
        </is>
      </c>
      <c r="P787" t="inlineStr">
        <is>
          <t>화력 발전</t>
        </is>
      </c>
      <c r="Q787" t="inlineStr">
        <is>
          <t>충남 서산시 대산읍 독곶리 634번지</t>
        </is>
      </c>
      <c r="R787" t="inlineStr">
        <is>
          <t>충남 서산시 대산읍 독곶1로 82</t>
        </is>
      </c>
    </row>
    <row r="788" ht="19.2" customHeight="1" s="1">
      <c r="A788" t="inlineStr">
        <is>
          <t>NICE:F24552</t>
        </is>
      </c>
      <c r="B788" t="inlineStr">
        <is>
          <t>케이티에스테이트</t>
        </is>
      </c>
      <c r="C788" t="inlineStr">
        <is>
          <t>김승환</t>
        </is>
      </c>
      <c r="D788" t="inlineStr">
        <is>
          <t>02-2040-3184</t>
        </is>
      </c>
      <c r="E788" t="inlineStr">
        <is>
          <t>02-2040-3101</t>
        </is>
      </c>
      <c r="F788" s="3">
        <f>HYPERLINK("http://www.ktestate.com", "http://www.ktestate.com")</f>
        <v/>
      </c>
      <c r="G788" t="inlineStr">
        <is>
          <t>1208757657</t>
        </is>
      </c>
      <c r="H788" t="inlineStr">
        <is>
          <t>1101114404903</t>
        </is>
      </c>
      <c r="I788" t="inlineStr">
        <is>
          <t>대상아님</t>
        </is>
      </c>
      <c r="J788" t="inlineStr">
        <is>
          <t>일반법인</t>
        </is>
      </c>
      <c r="K788" t="inlineStr">
        <is>
          <t>대기업</t>
        </is>
      </c>
      <c r="L788" t="inlineStr">
        <is>
          <t>외부감사대상</t>
        </is>
      </c>
      <c r="M788" s="6" t="inlineStr">
        <is>
          <t>2010-08-02</t>
        </is>
      </c>
      <c r="N788" t="inlineStr">
        <is>
          <t>KRI:10L6812200</t>
        </is>
      </c>
      <c r="O788" t="inlineStr">
        <is>
          <t>비주거용 건물 개발 및 공급업</t>
        </is>
      </c>
      <c r="P788" t="inlineStr">
        <is>
          <t>부동산 개발,공급,매매,임대/소방공사감리,전기공사,정보통신공사,시설물유지관리공사/휴게음식,주차장 운영</t>
        </is>
      </c>
      <c r="Q788" t="inlineStr">
        <is>
          <t>서울 강남구 대치동 890-20번지 17층</t>
        </is>
      </c>
      <c r="R788" t="inlineStr">
        <is>
          <t>서울 강남구 테헤란로 422, 17층</t>
        </is>
      </c>
    </row>
    <row r="789" ht="19.2" customHeight="1" s="1">
      <c r="A789" t="inlineStr">
        <is>
          <t>NICE:F24775</t>
        </is>
      </c>
      <c r="B789" t="inlineStr">
        <is>
          <t>바이와이제이</t>
        </is>
      </c>
      <c r="C789" t="inlineStr">
        <is>
          <t>전혜진</t>
        </is>
      </c>
      <c r="D789" t="inlineStr">
        <is>
          <t>02-2139-9026</t>
        </is>
      </c>
      <c r="E789" t="inlineStr">
        <is>
          <t>070-8280-8219</t>
        </is>
      </c>
      <c r="F789" s="3">
        <f>HYPERLINK("http://www.nain.co.kr", "http://www.nain.co.kr")</f>
        <v/>
      </c>
      <c r="G789" t="inlineStr">
        <is>
          <t>2018610124</t>
        </is>
      </c>
      <c r="H789" t="inlineStr">
        <is>
          <t>1101114061844</t>
        </is>
      </c>
      <c r="I789" t="inlineStr">
        <is>
          <t>대상아님</t>
        </is>
      </c>
      <c r="J789" t="inlineStr">
        <is>
          <t>일반법인</t>
        </is>
      </c>
      <c r="K789" t="inlineStr">
        <is>
          <t>중소기업</t>
        </is>
      </c>
      <c r="L789" t="inlineStr">
        <is>
          <t>외부감사대상</t>
        </is>
      </c>
      <c r="M789" s="6" t="inlineStr">
        <is>
          <t>2009-03-18</t>
        </is>
      </c>
      <c r="N789" t="inlineStr">
        <is>
          <t>KRI:10C1411200</t>
        </is>
      </c>
      <c r="O789" t="inlineStr">
        <is>
          <t>여자용 겉옷 제조업</t>
        </is>
      </c>
      <c r="P789" t="inlineStr">
        <is>
          <t>의류(여자용겉옷),잡화,신발 제조/신문,정기간행물 발행/화장품 도매,전자상거래(의류),상품연쇄화 사업</t>
        </is>
      </c>
      <c r="Q789" t="inlineStr">
        <is>
          <t>서울 강남구 역삼동 721-27번지</t>
        </is>
      </c>
      <c r="R789" t="inlineStr">
        <is>
          <t>서울 강남구 언주로81길 5</t>
        </is>
      </c>
    </row>
    <row r="790" ht="19.2" customHeight="1" s="1">
      <c r="A790" t="inlineStr">
        <is>
          <t>NICE:F29163</t>
        </is>
      </c>
      <c r="B790" t="inlineStr">
        <is>
          <t>에코월드이엔씨</t>
        </is>
      </c>
      <c r="C790" t="inlineStr">
        <is>
          <t>이광규</t>
        </is>
      </c>
      <c r="D790" t="inlineStr">
        <is>
          <t>031-595-8482</t>
        </is>
      </c>
      <c r="E790" t="inlineStr">
        <is>
          <t>031-595-8481</t>
        </is>
      </c>
      <c r="F790" s="3">
        <f>HYPERLINK("http://www.ewenc.com", "http://www.ewenc.com")</f>
        <v/>
      </c>
      <c r="G790" t="inlineStr">
        <is>
          <t>1228199836</t>
        </is>
      </c>
      <c r="H790" t="inlineStr">
        <is>
          <t>1201110461632</t>
        </is>
      </c>
      <c r="I790" t="inlineStr">
        <is>
          <t>대상아님</t>
        </is>
      </c>
      <c r="J790" t="inlineStr">
        <is>
          <t>일반법인</t>
        </is>
      </c>
      <c r="K790" t="inlineStr">
        <is>
          <t>중소기업</t>
        </is>
      </c>
      <c r="L790" t="inlineStr">
        <is>
          <t>외부감사대상</t>
        </is>
      </c>
      <c r="M790" s="6" t="inlineStr">
        <is>
          <t>2008-04-10</t>
        </is>
      </c>
      <c r="N790" t="inlineStr">
        <is>
          <t>KRI:10L6812100</t>
        </is>
      </c>
      <c r="O790" t="inlineStr">
        <is>
          <t>주거용 건물 개발 및 공급업</t>
        </is>
      </c>
      <c r="P790" t="inlineStr">
        <is>
          <t>부동산 시행/건축공사,주택공사</t>
        </is>
      </c>
      <c r="Q790" t="inlineStr">
        <is>
          <t>경기 남양주시 화도읍 마석우리 410-1번지 302호</t>
        </is>
      </c>
      <c r="R790" t="inlineStr">
        <is>
          <t>경기 남양주시 화도읍 마석로 84, 302호</t>
        </is>
      </c>
    </row>
    <row r="791" ht="19.2" customHeight="1" s="1">
      <c r="A791" t="inlineStr">
        <is>
          <t>NICE:F29290</t>
        </is>
      </c>
      <c r="B791" t="inlineStr">
        <is>
          <t>넷앤드</t>
        </is>
      </c>
      <c r="C791" t="inlineStr">
        <is>
          <t>신호철</t>
        </is>
      </c>
      <c r="D791" t="inlineStr">
        <is>
          <t>02-2661-1410</t>
        </is>
      </c>
      <c r="E791" t="inlineStr">
        <is>
          <t>02-2661-1420</t>
        </is>
      </c>
      <c r="F791" s="3">
        <f>HYPERLINK("http://www.netand.co.kr", "http://www.netand.co.kr")</f>
        <v/>
      </c>
      <c r="G791" t="inlineStr">
        <is>
          <t>1098611375</t>
        </is>
      </c>
      <c r="H791" t="inlineStr">
        <is>
          <t>1101113809435</t>
        </is>
      </c>
      <c r="I791" t="inlineStr">
        <is>
          <t>대상아님</t>
        </is>
      </c>
      <c r="J791" t="inlineStr">
        <is>
          <t>일반법인</t>
        </is>
      </c>
      <c r="K791" t="inlineStr">
        <is>
          <t>중소기업</t>
        </is>
      </c>
      <c r="L791" t="inlineStr">
        <is>
          <t>외부감사대상</t>
        </is>
      </c>
      <c r="M791" s="6" t="inlineStr">
        <is>
          <t>2007-12-21</t>
        </is>
      </c>
      <c r="N791" t="inlineStr">
        <is>
          <t>KRI:10J5822200</t>
        </is>
      </c>
      <c r="O791" t="inlineStr">
        <is>
          <t>응용 소프트웨어 개발 및 공급업</t>
        </is>
      </c>
      <c r="P791" t="inlineStr">
        <is>
          <t>소프트웨어 개발,무역</t>
        </is>
      </c>
      <c r="Q791" t="inlineStr">
        <is>
          <t>서울 영등포구 여의도동 44-23번지 하남빌딩 1001호 , 1002호, 1003호, 1004호, 1005호, 1006호, 1007호, 1008호, 1009호, 1010호</t>
        </is>
      </c>
      <c r="R791" t="inlineStr">
        <is>
          <t>서울 영등포구 의사당대로1길 25, 1001호, 1002호, 1003호, 1004호, 1005호, 1006호, 1007호, 1008호, 1009호, 1010호 (여의도동,하남빌딩)</t>
        </is>
      </c>
    </row>
    <row r="792">
      <c r="A792" t="inlineStr">
        <is>
          <t>NICE:F32341</t>
        </is>
      </c>
      <c r="B792" t="inlineStr">
        <is>
          <t>아이엠</t>
        </is>
      </c>
      <c r="C792" t="inlineStr">
        <is>
          <t>송원근</t>
        </is>
      </c>
      <c r="D792" t="inlineStr">
        <is>
          <t>054-741-5100</t>
        </is>
      </c>
      <c r="E792" t="inlineStr">
        <is>
          <t>054-741-5130</t>
        </is>
      </c>
      <c r="G792" t="inlineStr">
        <is>
          <t>5058144045</t>
        </is>
      </c>
      <c r="H792" t="inlineStr">
        <is>
          <t>1712110042588</t>
        </is>
      </c>
      <c r="I792" t="inlineStr">
        <is>
          <t>대상아님</t>
        </is>
      </c>
      <c r="J792" t="inlineStr">
        <is>
          <t>일반법인</t>
        </is>
      </c>
      <c r="K792" t="inlineStr">
        <is>
          <t>중소기업</t>
        </is>
      </c>
      <c r="L792" t="inlineStr">
        <is>
          <t>외부감사대상</t>
        </is>
      </c>
      <c r="M792" s="6" t="inlineStr">
        <is>
          <t>2006-03-20</t>
        </is>
      </c>
      <c r="N792" t="inlineStr">
        <is>
          <t>KRI:10C3039900</t>
        </is>
      </c>
      <c r="O792" t="inlineStr">
        <is>
          <t>그 외 자동차용 신품 부품 제조업</t>
        </is>
      </c>
      <c r="P792" t="inlineStr">
        <is>
          <t>자동차부품,금속열처리 제조/코일 판매,무역</t>
        </is>
      </c>
      <c r="Q792" t="inlineStr">
        <is>
          <t>경북 경주시 천북면 오야리 1381-3번지</t>
        </is>
      </c>
      <c r="R792" t="inlineStr">
        <is>
          <t>경북 경주시 천북면 천북산단로1길 24</t>
        </is>
      </c>
    </row>
    <row r="793" ht="19.2" customHeight="1" s="1">
      <c r="A793" t="inlineStr">
        <is>
          <t>NICE:F33637</t>
        </is>
      </c>
      <c r="B793" t="inlineStr">
        <is>
          <t>리온</t>
        </is>
      </c>
      <c r="C793" t="inlineStr">
        <is>
          <t>정구찬</t>
        </is>
      </c>
      <c r="D793" t="inlineStr">
        <is>
          <t>031-8059-6240</t>
        </is>
      </c>
      <c r="E793" t="inlineStr">
        <is>
          <t>031-8059-6242</t>
        </is>
      </c>
      <c r="F793" s="3">
        <f>HYPERLINK("http://www.rion.co.kr", "http://www.rion.co.kr")</f>
        <v/>
      </c>
      <c r="G793" t="inlineStr">
        <is>
          <t>1358194481</t>
        </is>
      </c>
      <c r="H793" t="inlineStr">
        <is>
          <t>1358110146548</t>
        </is>
      </c>
      <c r="I793" t="inlineStr">
        <is>
          <t>대상아님</t>
        </is>
      </c>
      <c r="J793" t="inlineStr">
        <is>
          <t>일반법인</t>
        </is>
      </c>
      <c r="K793" t="inlineStr">
        <is>
          <t>중소기업</t>
        </is>
      </c>
      <c r="L793" t="inlineStr">
        <is>
          <t>외부감사대상</t>
        </is>
      </c>
      <c r="M793" s="6" t="inlineStr">
        <is>
          <t>2007-12-05</t>
        </is>
      </c>
      <c r="N793" t="inlineStr">
        <is>
          <t>KRI:10C2927100</t>
        </is>
      </c>
      <c r="O793" t="inlineStr">
        <is>
          <t>반도체 제조용 기계 제조업</t>
        </is>
      </c>
      <c r="P793" t="inlineStr">
        <is>
          <t>반도체장비부품,고무제품 제조,도매,무역(오퍼상)/부동산 임대</t>
        </is>
      </c>
      <c r="Q793" t="inlineStr">
        <is>
          <t>경기 화성시 만세구 양감면 요당리 103-3번지</t>
        </is>
      </c>
      <c r="R793" t="inlineStr">
        <is>
          <t>경기 화성시 만세구 양감면 은행나무로62번길 18-18</t>
        </is>
      </c>
    </row>
    <row r="794">
      <c r="A794" t="inlineStr">
        <is>
          <t>NICE:F34899</t>
        </is>
      </c>
      <c r="B794" t="inlineStr">
        <is>
          <t>청진이삼프로젝트</t>
        </is>
      </c>
      <c r="C794" t="inlineStr">
        <is>
          <t>이현준</t>
        </is>
      </c>
      <c r="D794" t="inlineStr">
        <is>
          <t>02-2136-8863</t>
        </is>
      </c>
      <c r="E794" t="inlineStr">
        <is>
          <t>02-2011-8035</t>
        </is>
      </c>
      <c r="G794" t="inlineStr">
        <is>
          <t>1018659884</t>
        </is>
      </c>
      <c r="H794" t="inlineStr">
        <is>
          <t>1101114478932</t>
        </is>
      </c>
      <c r="I794" t="inlineStr">
        <is>
          <t>대상아님</t>
        </is>
      </c>
      <c r="J794" t="inlineStr">
        <is>
          <t>일반법인</t>
        </is>
      </c>
      <c r="K794" t="inlineStr">
        <is>
          <t>대기업</t>
        </is>
      </c>
      <c r="L794" t="inlineStr">
        <is>
          <t>외부감사대상</t>
        </is>
      </c>
      <c r="M794" s="6" t="inlineStr">
        <is>
          <t>2010-11-25</t>
        </is>
      </c>
      <c r="N794" t="inlineStr">
        <is>
          <t>KRI:10L6811200</t>
        </is>
      </c>
      <c r="O794" t="inlineStr">
        <is>
          <t>비주거용 건물 임대업</t>
        </is>
      </c>
      <c r="P794" t="inlineStr">
        <is>
          <t>부동산 임대,개발,공급</t>
        </is>
      </c>
      <c r="Q794" t="inlineStr">
        <is>
          <t>서울 종로구 청진동 246번지</t>
        </is>
      </c>
      <c r="R794" t="inlineStr">
        <is>
          <t>서울 종로구 종로3길 17</t>
        </is>
      </c>
    </row>
    <row r="795" ht="19.2" customHeight="1" s="1">
      <c r="A795" t="inlineStr">
        <is>
          <t>NICE:F35703</t>
        </is>
      </c>
      <c r="B795" t="inlineStr">
        <is>
          <t>동광명품도어</t>
        </is>
      </c>
      <c r="C795" t="inlineStr">
        <is>
          <t>최기섭</t>
        </is>
      </c>
      <c r="D795" t="inlineStr">
        <is>
          <t>053-559-6653</t>
        </is>
      </c>
      <c r="E795" t="inlineStr">
        <is>
          <t>053-559-6654</t>
        </is>
      </c>
      <c r="F795" s="3">
        <f>HYPERLINK("http://www.dk-door.co.kr", "http://www.dk-door.co.kr")</f>
        <v/>
      </c>
      <c r="G795" t="inlineStr">
        <is>
          <t>5038178874</t>
        </is>
      </c>
      <c r="H795" t="inlineStr">
        <is>
          <t>1701110347006</t>
        </is>
      </c>
      <c r="I795" t="inlineStr">
        <is>
          <t>대상아님</t>
        </is>
      </c>
      <c r="J795" t="inlineStr">
        <is>
          <t>일반법인</t>
        </is>
      </c>
      <c r="K795" t="inlineStr">
        <is>
          <t>중소기업</t>
        </is>
      </c>
      <c r="L795" t="inlineStr">
        <is>
          <t>외부감사대상</t>
        </is>
      </c>
      <c r="M795" s="6" t="inlineStr">
        <is>
          <t>2008-01-07</t>
        </is>
      </c>
      <c r="N795" t="inlineStr">
        <is>
          <t>KRI:10C2511100</t>
        </is>
      </c>
      <c r="O795" t="inlineStr">
        <is>
          <t>금속 문, 창, 셔터 및 관련제품 제조업</t>
        </is>
      </c>
      <c r="P795" t="inlineStr">
        <is>
          <t>방화문,방열,단열,방음문 제조/금속구조물창호공사/부동산 임대</t>
        </is>
      </c>
      <c r="Q795" t="inlineStr">
        <is>
          <t>대구 서구 비산동 1780번지</t>
        </is>
      </c>
      <c r="R795" t="inlineStr">
        <is>
          <t>대구 서구 염색공단천로3길 11</t>
        </is>
      </c>
    </row>
    <row r="796" ht="19.2" customHeight="1" s="1">
      <c r="A796" t="inlineStr">
        <is>
          <t>NICE:F36517</t>
        </is>
      </c>
      <c r="B796" t="inlineStr">
        <is>
          <t>제범</t>
        </is>
      </c>
      <c r="C796" t="inlineStr">
        <is>
          <t>이종윤</t>
        </is>
      </c>
      <c r="D796" t="inlineStr">
        <is>
          <t>02-523-7873</t>
        </is>
      </c>
      <c r="E796" t="inlineStr">
        <is>
          <t>02-523-7860</t>
        </is>
      </c>
      <c r="F796" s="3">
        <f>HYPERLINK("http://gurmbyh.com/", "http://gurmbyh.com/")</f>
        <v/>
      </c>
      <c r="G796" t="inlineStr">
        <is>
          <t>1018626350</t>
        </is>
      </c>
      <c r="H796" t="inlineStr">
        <is>
          <t>1101113532474</t>
        </is>
      </c>
      <c r="I796" t="inlineStr">
        <is>
          <t>대상아님</t>
        </is>
      </c>
      <c r="J796" t="inlineStr">
        <is>
          <t>일반법인</t>
        </is>
      </c>
      <c r="K796" t="inlineStr">
        <is>
          <t>중소기업</t>
        </is>
      </c>
      <c r="L796" t="inlineStr">
        <is>
          <t>외부감사대상</t>
        </is>
      </c>
      <c r="M796" s="6" t="inlineStr">
        <is>
          <t>2006-09-21</t>
        </is>
      </c>
      <c r="N796" t="inlineStr">
        <is>
          <t>KRI:10H5299200</t>
        </is>
      </c>
      <c r="O796" t="inlineStr">
        <is>
          <t>화물운송 중개, 대리 및 관련 서비스업</t>
        </is>
      </c>
      <c r="P796" t="inlineStr">
        <is>
          <t>화물 운송주선/콘테이너 임대/의류,신발,인테리어,가정용품 도소매,무역,수입식품등 수입,판매,화장품 제조,판매</t>
        </is>
      </c>
      <c r="Q796" t="inlineStr">
        <is>
          <t>서울 서초구 서초동 1490-25번지 일흥스포츠타운빌딩 2층</t>
        </is>
      </c>
      <c r="R796" t="inlineStr">
        <is>
          <t>서울 서초구 명달로 65, 2층 (서초동,일흥스포츠타운빌딩)</t>
        </is>
      </c>
    </row>
    <row r="797">
      <c r="A797" t="inlineStr">
        <is>
          <t>NICE:F38288</t>
        </is>
      </c>
      <c r="B797" t="inlineStr">
        <is>
          <t>천호금속</t>
        </is>
      </c>
      <c r="C797" t="inlineStr">
        <is>
          <t>배경환</t>
        </is>
      </c>
      <c r="D797" t="inlineStr">
        <is>
          <t>053-857-6488</t>
        </is>
      </c>
      <c r="G797" t="inlineStr">
        <is>
          <t>5158137366</t>
        </is>
      </c>
      <c r="H797" t="inlineStr">
        <is>
          <t>1748110052037</t>
        </is>
      </c>
      <c r="I797" t="inlineStr">
        <is>
          <t>대상아님</t>
        </is>
      </c>
      <c r="J797" t="inlineStr">
        <is>
          <t>일반법인</t>
        </is>
      </c>
      <c r="K797" t="inlineStr">
        <is>
          <t>중소기업</t>
        </is>
      </c>
      <c r="L797" t="inlineStr">
        <is>
          <t>외부감사대상</t>
        </is>
      </c>
      <c r="M797" s="6" t="inlineStr">
        <is>
          <t>2009-08-10</t>
        </is>
      </c>
      <c r="N797" t="inlineStr">
        <is>
          <t>KRI:10C2411300</t>
        </is>
      </c>
      <c r="O797" t="inlineStr">
        <is>
          <t>합금철 제조업</t>
        </is>
      </c>
      <c r="P797" t="inlineStr">
        <is>
          <t>합금철,제철 제조</t>
        </is>
      </c>
      <c r="Q797" t="inlineStr">
        <is>
          <t>경북 경산시 진량읍 문천리 478-11번지</t>
        </is>
      </c>
      <c r="R797" t="inlineStr">
        <is>
          <t>경북 경산시 진량읍 문천길 166</t>
        </is>
      </c>
    </row>
    <row r="798">
      <c r="A798" t="inlineStr">
        <is>
          <t>NICE:F38574</t>
        </is>
      </c>
      <c r="B798" t="inlineStr">
        <is>
          <t>대승엔지니어링</t>
        </is>
      </c>
      <c r="C798" t="inlineStr">
        <is>
          <t>채윤석</t>
        </is>
      </c>
      <c r="D798" t="inlineStr">
        <is>
          <t>063-236-4774</t>
        </is>
      </c>
      <c r="E798" t="inlineStr">
        <is>
          <t>063-236-4776</t>
        </is>
      </c>
      <c r="G798" t="inlineStr">
        <is>
          <t>4078118923</t>
        </is>
      </c>
      <c r="H798" t="inlineStr">
        <is>
          <t>2101110136468</t>
        </is>
      </c>
      <c r="I798" t="inlineStr">
        <is>
          <t>대상아님</t>
        </is>
      </c>
      <c r="J798" t="inlineStr">
        <is>
          <t>일반법인</t>
        </is>
      </c>
      <c r="K798" t="inlineStr">
        <is>
          <t>중소기업</t>
        </is>
      </c>
      <c r="L798" t="inlineStr">
        <is>
          <t>외부감사대상</t>
        </is>
      </c>
      <c r="M798" s="6" t="inlineStr">
        <is>
          <t>2009-04-09</t>
        </is>
      </c>
      <c r="N798" t="inlineStr">
        <is>
          <t>KRI:10C2511200</t>
        </is>
      </c>
      <c r="O798" t="inlineStr">
        <is>
          <t>구조용 금속 판제품 및 공작물 제조업</t>
        </is>
      </c>
      <c r="P798" t="inlineStr">
        <is>
          <t>상업용,산업용조립식구조물 제조/건설기계 대여/토목공사,건축공사/모듈러스쿨공사,조경공사,소방시설공사</t>
        </is>
      </c>
      <c r="Q798" t="inlineStr">
        <is>
          <t>경북 김천시 율곡동 1111번지 율곡테크노밸리 210호</t>
        </is>
      </c>
      <c r="R798" t="inlineStr">
        <is>
          <t>경북 김천시 혁신8로 5, 210호 (율곡동,율곡테크노밸리)</t>
        </is>
      </c>
    </row>
    <row r="799" ht="19.2" customHeight="1" s="1">
      <c r="A799" t="inlineStr">
        <is>
          <t>NICE:F38995</t>
        </is>
      </c>
      <c r="B799" t="inlineStr">
        <is>
          <t>사이버다임</t>
        </is>
      </c>
      <c r="C799" t="inlineStr">
        <is>
          <t>김경채</t>
        </is>
      </c>
      <c r="D799" t="inlineStr">
        <is>
          <t>02-546-6990</t>
        </is>
      </c>
      <c r="E799" t="inlineStr">
        <is>
          <t>02-546-6992</t>
        </is>
      </c>
      <c r="F799" s="3">
        <f>HYPERLINK("http://www.cyberdigm.co.kr", "http://www.cyberdigm.co.kr")</f>
        <v/>
      </c>
      <c r="G799" t="inlineStr">
        <is>
          <t>2118852348</t>
        </is>
      </c>
      <c r="H799" t="inlineStr">
        <is>
          <t>1101114480573</t>
        </is>
      </c>
      <c r="I799" t="inlineStr">
        <is>
          <t>대상아님</t>
        </is>
      </c>
      <c r="J799" t="inlineStr">
        <is>
          <t>일반법인</t>
        </is>
      </c>
      <c r="K799" t="inlineStr">
        <is>
          <t>중소기업</t>
        </is>
      </c>
      <c r="L799" t="inlineStr">
        <is>
          <t>외부감사대상</t>
        </is>
      </c>
      <c r="M799" s="6" t="inlineStr">
        <is>
          <t>2010-11-29</t>
        </is>
      </c>
      <c r="N799" t="inlineStr">
        <is>
          <t>KRI:10J5822200</t>
        </is>
      </c>
      <c r="O799" t="inlineStr">
        <is>
          <t>응용 소프트웨어 개발 및 공급업</t>
        </is>
      </c>
      <c r="P799" t="inlineStr">
        <is>
          <t>소프트웨어(Destiny ECM, Cloudium) 개발,자문,판매,임대,전산컨설팅</t>
        </is>
      </c>
      <c r="Q799" t="inlineStr">
        <is>
          <t>서울 송파구 신천동 7-23번지 대한제당빌딩 12층</t>
        </is>
      </c>
      <c r="R799" t="inlineStr">
        <is>
          <t>서울 송파구 올림픽로 299, 12층 (신천동,대한제당빌딩)</t>
        </is>
      </c>
    </row>
    <row r="800" ht="19.2" customHeight="1" s="1">
      <c r="A800" t="inlineStr">
        <is>
          <t>NICE:F48036</t>
        </is>
      </c>
      <c r="B800" t="inlineStr">
        <is>
          <t>영신피앤엘</t>
        </is>
      </c>
      <c r="C800" t="inlineStr">
        <is>
          <t>이승현/이기국</t>
        </is>
      </c>
      <c r="D800" t="inlineStr">
        <is>
          <t>02-465-8008</t>
        </is>
      </c>
      <c r="E800" t="inlineStr">
        <is>
          <t>02-465-3267</t>
        </is>
      </c>
      <c r="F800" s="3">
        <f>HYPERLINK("http://www.yspnl.co.kr", "http://www.yspnl.co.kr")</f>
        <v/>
      </c>
      <c r="G800" t="inlineStr">
        <is>
          <t>2068601668</t>
        </is>
      </c>
      <c r="H800" t="inlineStr">
        <is>
          <t>1101113292028</t>
        </is>
      </c>
      <c r="I800" t="inlineStr">
        <is>
          <t>대상아님</t>
        </is>
      </c>
      <c r="J800" t="inlineStr">
        <is>
          <t>일반법인</t>
        </is>
      </c>
      <c r="K800" t="inlineStr">
        <is>
          <t>중소기업</t>
        </is>
      </c>
      <c r="L800" t="inlineStr">
        <is>
          <t>외부감사대상</t>
        </is>
      </c>
      <c r="M800" s="6" t="inlineStr">
        <is>
          <t>2005-08-22</t>
        </is>
      </c>
      <c r="N800" t="inlineStr">
        <is>
          <t>KRI:10C1811900</t>
        </is>
      </c>
      <c r="O800" t="inlineStr">
        <is>
          <t>기타 인쇄업</t>
        </is>
      </c>
      <c r="P800" t="inlineStr">
        <is>
          <t>인쇄 제조</t>
        </is>
      </c>
      <c r="Q800" t="inlineStr">
        <is>
          <t>경기 하남시 광암동 399-2번지</t>
        </is>
      </c>
      <c r="R800" t="inlineStr">
        <is>
          <t>경기 하남시 초광산단로 73</t>
        </is>
      </c>
    </row>
    <row r="801">
      <c r="A801" t="inlineStr">
        <is>
          <t>NICE:F53779</t>
        </is>
      </c>
      <c r="B801" t="inlineStr">
        <is>
          <t>흥양디컨</t>
        </is>
      </c>
      <c r="C801" t="inlineStr">
        <is>
          <t>박형재</t>
        </is>
      </c>
      <c r="D801" t="inlineStr">
        <is>
          <t>02-416-3500</t>
        </is>
      </c>
      <c r="E801" t="inlineStr">
        <is>
          <t>02-474-4274</t>
        </is>
      </c>
      <c r="G801" t="inlineStr">
        <is>
          <t>2118779317</t>
        </is>
      </c>
      <c r="H801" t="inlineStr">
        <is>
          <t>1101113424986</t>
        </is>
      </c>
      <c r="I801" t="inlineStr">
        <is>
          <t>대상아님</t>
        </is>
      </c>
      <c r="J801" t="inlineStr">
        <is>
          <t>일반법인</t>
        </is>
      </c>
      <c r="K801" t="inlineStr">
        <is>
          <t>중소기업</t>
        </is>
      </c>
      <c r="L801" t="inlineStr">
        <is>
          <t>외부감사대상</t>
        </is>
      </c>
      <c r="M801" s="6" t="inlineStr">
        <is>
          <t>2006-03-23</t>
        </is>
      </c>
      <c r="N801" t="inlineStr">
        <is>
          <t>KRI:10F4111000</t>
        </is>
      </c>
      <c r="O801" t="inlineStr">
        <is>
          <t>주거용 건물 건설업</t>
        </is>
      </c>
      <c r="P801" t="inlineStr">
        <is>
          <t>주택신축판매공사,건물건설공사</t>
        </is>
      </c>
      <c r="Q801" t="inlineStr">
        <is>
          <t>서울 강남구 역삼동 746-11번지 브릭스타워 3층</t>
        </is>
      </c>
      <c r="R801" t="inlineStr">
        <is>
          <t>서울 강남구 논현로 413, 3층 (역삼동,브릭스타워)</t>
        </is>
      </c>
    </row>
    <row r="802" ht="19.2" customHeight="1" s="1">
      <c r="A802" t="inlineStr">
        <is>
          <t>NICE:F63811</t>
        </is>
      </c>
      <c r="B802" t="inlineStr">
        <is>
          <t>에델웨이</t>
        </is>
      </c>
      <c r="C802" t="inlineStr">
        <is>
          <t>박종헌/오세창</t>
        </is>
      </c>
      <c r="D802" t="inlineStr">
        <is>
          <t>02-733-3677</t>
        </is>
      </c>
      <c r="E802" t="inlineStr">
        <is>
          <t>02-2179-9677</t>
        </is>
      </c>
      <c r="F802" s="3">
        <f>HYPERLINK("http://www.edelway.ai", "http://www.edelway.ai")</f>
        <v/>
      </c>
      <c r="G802" t="inlineStr">
        <is>
          <t>1018630475</t>
        </is>
      </c>
      <c r="H802" t="inlineStr">
        <is>
          <t>1101113636929</t>
        </is>
      </c>
      <c r="I802" t="inlineStr">
        <is>
          <t>대상아님</t>
        </is>
      </c>
      <c r="J802" t="inlineStr">
        <is>
          <t>일반법인</t>
        </is>
      </c>
      <c r="K802" t="inlineStr">
        <is>
          <t>중소기업</t>
        </is>
      </c>
      <c r="L802" t="inlineStr">
        <is>
          <t>외부감사대상</t>
        </is>
      </c>
      <c r="M802" s="6" t="inlineStr">
        <is>
          <t>2007-03-13</t>
        </is>
      </c>
      <c r="N802" t="inlineStr">
        <is>
          <t>KRI:10C2721500</t>
        </is>
      </c>
      <c r="O802" t="inlineStr">
        <is>
          <t>기기용 자동측정 및 제어장치 제조업</t>
        </is>
      </c>
      <c r="P802" t="inlineStr">
        <is>
          <t>레이더신호처리,위성탑재시스템 제조/소프트웨어,정보통신기기 도소매,무역/시스템,응용소프트웨어 개발,공급</t>
        </is>
      </c>
      <c r="Q802" t="inlineStr">
        <is>
          <t>서울 강남구 삼성동 160-28번지 아이파크타워2 4층</t>
        </is>
      </c>
      <c r="R802" t="inlineStr">
        <is>
          <t>서울 강남구 영동대로106길 5, 4층 (삼성동,아이파크타워2)</t>
        </is>
      </c>
    </row>
    <row r="803">
      <c r="A803" t="inlineStr">
        <is>
          <t>NICE:F85343</t>
        </is>
      </c>
      <c r="B803" t="inlineStr">
        <is>
          <t>인트란스</t>
        </is>
      </c>
      <c r="C803" t="inlineStr">
        <is>
          <t>박성일</t>
        </is>
      </c>
      <c r="D803" t="inlineStr">
        <is>
          <t>02-757-3381</t>
        </is>
      </c>
      <c r="E803" t="inlineStr">
        <is>
          <t>02-723-7722</t>
        </is>
      </c>
      <c r="G803" t="inlineStr">
        <is>
          <t>6218182206</t>
        </is>
      </c>
      <c r="H803" t="inlineStr">
        <is>
          <t>1801110693952</t>
        </is>
      </c>
      <c r="I803" t="inlineStr">
        <is>
          <t>대상아님</t>
        </is>
      </c>
      <c r="J803" t="inlineStr">
        <is>
          <t>일반법인</t>
        </is>
      </c>
      <c r="K803" t="inlineStr">
        <is>
          <t>중소기업</t>
        </is>
      </c>
      <c r="L803" t="inlineStr">
        <is>
          <t>외부감사대상</t>
        </is>
      </c>
      <c r="M803" s="6" t="inlineStr">
        <is>
          <t>2009-11-16</t>
        </is>
      </c>
      <c r="N803" t="inlineStr">
        <is>
          <t>KRI:10H5012200</t>
        </is>
      </c>
      <c r="O803" t="inlineStr">
        <is>
          <t>내항 화물 운송업</t>
        </is>
      </c>
      <c r="P803" t="inlineStr">
        <is>
          <t>내항 화물 운송업</t>
        </is>
      </c>
      <c r="Q803" t="inlineStr">
        <is>
          <t>서울 성북구 성북동 15-218번지 1층</t>
        </is>
      </c>
      <c r="R803" t="inlineStr">
        <is>
          <t>서울 성북구 대사관로 141-24, 1층</t>
        </is>
      </c>
    </row>
    <row r="804" ht="19.2" customHeight="1" s="1">
      <c r="A804" t="inlineStr">
        <is>
          <t>NICE:F85355</t>
        </is>
      </c>
      <c r="B804" t="inlineStr">
        <is>
          <t>성호전자</t>
        </is>
      </c>
      <c r="C804" t="inlineStr">
        <is>
          <t>이준식</t>
        </is>
      </c>
      <c r="D804" t="inlineStr">
        <is>
          <t>055-253-7324</t>
        </is>
      </c>
      <c r="E804" t="inlineStr">
        <is>
          <t>055-251-7325</t>
        </is>
      </c>
      <c r="F804" s="3">
        <f>HYPERLINK("http://www.defense-sungho.co.kr/", "http://www.defense-sungho.co.kr/")</f>
        <v/>
      </c>
      <c r="G804" t="inlineStr">
        <is>
          <t>6098190822</t>
        </is>
      </c>
      <c r="H804" t="inlineStr">
        <is>
          <t>1942110102450</t>
        </is>
      </c>
      <c r="I804" t="inlineStr">
        <is>
          <t>대상아님</t>
        </is>
      </c>
      <c r="J804" t="inlineStr">
        <is>
          <t>일반법인</t>
        </is>
      </c>
      <c r="K804" t="inlineStr">
        <is>
          <t>중소기업</t>
        </is>
      </c>
      <c r="L804" t="inlineStr">
        <is>
          <t>외부감사대상</t>
        </is>
      </c>
      <c r="M804" s="6" t="inlineStr">
        <is>
          <t>2009-11-16</t>
        </is>
      </c>
      <c r="N804" t="inlineStr">
        <is>
          <t>KRI:10C2830200</t>
        </is>
      </c>
      <c r="O804" t="inlineStr">
        <is>
          <t>기타 절연선 및 케이블 제조업</t>
        </is>
      </c>
      <c r="P804" t="inlineStr">
        <is>
          <t>방위산업용(전차,장갑차) 케이블 조립체,전기전자제품 제조</t>
        </is>
      </c>
      <c r="Q804" t="inlineStr">
        <is>
          <t>경남 창원시 성산구 내동 456-9번지</t>
        </is>
      </c>
      <c r="R804" t="inlineStr">
        <is>
          <t>경남 창원시 성산구 완암로 153</t>
        </is>
      </c>
    </row>
    <row r="805" ht="19.2" customHeight="1" s="1">
      <c r="A805" t="inlineStr">
        <is>
          <t>NICE:F97866</t>
        </is>
      </c>
      <c r="B805" t="inlineStr">
        <is>
          <t>대고</t>
        </is>
      </c>
      <c r="C805" t="inlineStr">
        <is>
          <t>홍조원</t>
        </is>
      </c>
      <c r="D805" t="inlineStr">
        <is>
          <t>031-436-8500</t>
        </is>
      </c>
      <c r="E805" t="inlineStr">
        <is>
          <t>031-436-8500</t>
        </is>
      </c>
      <c r="F805" s="3">
        <f>HYPERLINK("http://www.daego.com", "http://www.daego.com")</f>
        <v/>
      </c>
      <c r="G805" t="inlineStr">
        <is>
          <t>1388157049</t>
        </is>
      </c>
      <c r="H805" t="inlineStr">
        <is>
          <t>1341110185492</t>
        </is>
      </c>
      <c r="I805" t="inlineStr">
        <is>
          <t>대상아님</t>
        </is>
      </c>
      <c r="J805" t="inlineStr">
        <is>
          <t>일반법인</t>
        </is>
      </c>
      <c r="K805" t="inlineStr">
        <is>
          <t>중소기업</t>
        </is>
      </c>
      <c r="L805" t="inlineStr">
        <is>
          <t>외부감사대상</t>
        </is>
      </c>
      <c r="M805" s="6" t="inlineStr">
        <is>
          <t>2010-01-04</t>
        </is>
      </c>
      <c r="N805" t="inlineStr">
        <is>
          <t>KRI:10C1322900</t>
        </is>
      </c>
      <c r="O805" t="inlineStr">
        <is>
          <t>기타 직물제품 제조업</t>
        </is>
      </c>
      <c r="P805" t="inlineStr">
        <is>
          <t>직물제품,청소용품 제조,무역,전자상거래,통신판매</t>
        </is>
      </c>
      <c r="Q805" t="inlineStr">
        <is>
          <t>경기 안양시 동안구 관양동 1591-10번지</t>
        </is>
      </c>
      <c r="R805" t="inlineStr">
        <is>
          <t>경기 안양시 동안구 평촌대로212번길 55</t>
        </is>
      </c>
    </row>
    <row r="806">
      <c r="A806" t="inlineStr">
        <is>
          <t>NICE:FZ6187</t>
        </is>
      </c>
      <c r="B806" t="inlineStr">
        <is>
          <t>윤준에스티</t>
        </is>
      </c>
      <c r="C806" t="inlineStr">
        <is>
          <t>김태수</t>
        </is>
      </c>
      <c r="D806" t="inlineStr">
        <is>
          <t>043-212-0401</t>
        </is>
      </c>
      <c r="E806" t="inlineStr">
        <is>
          <t>043-213-0231</t>
        </is>
      </c>
      <c r="G806" t="inlineStr">
        <is>
          <t>7468100070</t>
        </is>
      </c>
      <c r="H806" t="inlineStr">
        <is>
          <t>1101115688796</t>
        </is>
      </c>
      <c r="I806" t="inlineStr">
        <is>
          <t>대상아님</t>
        </is>
      </c>
      <c r="J806" t="inlineStr">
        <is>
          <t>일반법인</t>
        </is>
      </c>
      <c r="K806" t="inlineStr">
        <is>
          <t>중소기업</t>
        </is>
      </c>
      <c r="L806" t="inlineStr">
        <is>
          <t>외부감사대상</t>
        </is>
      </c>
      <c r="M806" s="6" t="inlineStr">
        <is>
          <t>2015-04-07</t>
        </is>
      </c>
      <c r="N806" t="inlineStr">
        <is>
          <t>KRI:10C2511300</t>
        </is>
      </c>
      <c r="O806" t="inlineStr">
        <is>
          <t>육상 금속 골조 구조재 제조업</t>
        </is>
      </c>
      <c r="P806" t="inlineStr">
        <is>
          <t>금속조립체 제조/토공사,비계구조물해체공사,콘크리트공사,철근공사,상하수도설비공사,전문건설하도급공사/철강제 임대,엔지니어링</t>
        </is>
      </c>
      <c r="Q806" t="inlineStr">
        <is>
          <t>충북 증평군 도안면 광덕리 566번지</t>
        </is>
      </c>
      <c r="R806" t="inlineStr">
        <is>
          <t>충북 증평군 도안면 원명로 15-12</t>
        </is>
      </c>
    </row>
    <row r="807" ht="19.2" customHeight="1" s="1">
      <c r="A807" t="inlineStr">
        <is>
          <t>NICE:G09306</t>
        </is>
      </c>
      <c r="B807" t="inlineStr">
        <is>
          <t>서한관광개발</t>
        </is>
      </c>
      <c r="C807" t="inlineStr">
        <is>
          <t>서정호/조정욱</t>
        </is>
      </c>
      <c r="D807" t="inlineStr">
        <is>
          <t>02-2270-3406</t>
        </is>
      </c>
      <c r="E807" t="inlineStr">
        <is>
          <t>02-2270-3279</t>
        </is>
      </c>
      <c r="F807" s="3">
        <f>HYPERLINK("http://www.ambatel.com", "http://www.ambatel.com")</f>
        <v/>
      </c>
      <c r="G807" t="inlineStr">
        <is>
          <t>2018609520</t>
        </is>
      </c>
      <c r="H807" t="inlineStr">
        <is>
          <t>1101114032431</t>
        </is>
      </c>
      <c r="I807" t="inlineStr">
        <is>
          <t>대상아님</t>
        </is>
      </c>
      <c r="J807" t="inlineStr">
        <is>
          <t>일반법인</t>
        </is>
      </c>
      <c r="K807" t="inlineStr">
        <is>
          <t>중소기업</t>
        </is>
      </c>
      <c r="L807" t="inlineStr">
        <is>
          <t>외부감사대상</t>
        </is>
      </c>
      <c r="M807" s="6" t="inlineStr">
        <is>
          <t>2009-01-21</t>
        </is>
      </c>
      <c r="N807" t="inlineStr">
        <is>
          <t>KRI:10I5510100</t>
        </is>
      </c>
      <c r="O807" t="inlineStr">
        <is>
          <t>호텔업</t>
        </is>
      </c>
      <c r="P807" t="inlineStr">
        <is>
          <t>관광호텔/일반,휴게음식점/환전</t>
        </is>
      </c>
      <c r="Q807" t="inlineStr">
        <is>
          <t>서울 중구 충무로2가 53-10번지</t>
        </is>
      </c>
      <c r="R807" t="inlineStr">
        <is>
          <t>서울 중구 삼일대로 302</t>
        </is>
      </c>
    </row>
    <row r="808" ht="19.2" customHeight="1" s="1">
      <c r="A808" t="inlineStr">
        <is>
          <t>NICE:G16580</t>
        </is>
      </c>
      <c r="B808" t="inlineStr">
        <is>
          <t>뷰티화장품</t>
        </is>
      </c>
      <c r="C808" t="inlineStr">
        <is>
          <t>오한선</t>
        </is>
      </c>
      <c r="D808" t="inlineStr">
        <is>
          <t>043-877-5107</t>
        </is>
      </c>
      <c r="E808" t="inlineStr">
        <is>
          <t>043-877-5108</t>
        </is>
      </c>
      <c r="F808" s="3">
        <f>HYPERLINK("http://btcosmetic.com", "http://btcosmetic.com")</f>
        <v/>
      </c>
      <c r="G808" t="inlineStr">
        <is>
          <t>3038158467</t>
        </is>
      </c>
      <c r="H808" t="inlineStr">
        <is>
          <t>1545110045107</t>
        </is>
      </c>
      <c r="I808" t="inlineStr">
        <is>
          <t>대상아님</t>
        </is>
      </c>
      <c r="J808" t="inlineStr">
        <is>
          <t>일반법인</t>
        </is>
      </c>
      <c r="K808" t="inlineStr">
        <is>
          <t>중소기업</t>
        </is>
      </c>
      <c r="L808" t="inlineStr">
        <is>
          <t>외부감사대상</t>
        </is>
      </c>
      <c r="M808" s="6" t="inlineStr">
        <is>
          <t>2010-05-11</t>
        </is>
      </c>
      <c r="N808" t="inlineStr">
        <is>
          <t>KRI:10C2042300</t>
        </is>
      </c>
      <c r="O808" t="inlineStr">
        <is>
          <t>화장품 제조업</t>
        </is>
      </c>
      <c r="P808" t="inlineStr">
        <is>
          <t>화장품 제조,도소매</t>
        </is>
      </c>
      <c r="Q808" t="inlineStr">
        <is>
          <t>충북 음성군 원남면 상당리 701-1번지</t>
        </is>
      </c>
      <c r="R808" t="inlineStr">
        <is>
          <t>충북 음성군 원남면 원남산단로 274-14</t>
        </is>
      </c>
    </row>
    <row r="809" ht="19.2" customHeight="1" s="1">
      <c r="A809" t="inlineStr">
        <is>
          <t>NICE:G17005</t>
        </is>
      </c>
      <c r="B809" t="inlineStr">
        <is>
          <t>비아다빈치</t>
        </is>
      </c>
      <c r="C809" t="inlineStr">
        <is>
          <t>이경식</t>
        </is>
      </c>
      <c r="D809" t="inlineStr">
        <is>
          <t>031-548-2490</t>
        </is>
      </c>
      <c r="E809" t="inlineStr">
        <is>
          <t>031-548-1922</t>
        </is>
      </c>
      <c r="F809" s="3">
        <f>HYPERLINK("http://www.viadvc.co.kr", "http://www.viadvc.co.kr")</f>
        <v/>
      </c>
      <c r="G809" t="inlineStr">
        <is>
          <t>1248701285</t>
        </is>
      </c>
      <c r="H809" t="inlineStr">
        <is>
          <t>1348110197758</t>
        </is>
      </c>
      <c r="I809" t="inlineStr">
        <is>
          <t>대상아님</t>
        </is>
      </c>
      <c r="J809" t="inlineStr">
        <is>
          <t>일반법인</t>
        </is>
      </c>
      <c r="K809" t="inlineStr">
        <is>
          <t>중견기업</t>
        </is>
      </c>
      <c r="L809" t="inlineStr">
        <is>
          <t>외부감사대상</t>
        </is>
      </c>
      <c r="M809" s="6" t="inlineStr">
        <is>
          <t>2010-07-07</t>
        </is>
      </c>
      <c r="N809" t="inlineStr">
        <is>
          <t>KRI:10G4644100</t>
        </is>
      </c>
      <c r="O809" t="inlineStr">
        <is>
          <t>의약품 도매업</t>
        </is>
      </c>
      <c r="P809" t="inlineStr">
        <is>
          <t>의약품,위생용품,의료기기 도매/부동산 임대</t>
        </is>
      </c>
      <c r="Q809" t="inlineStr">
        <is>
          <t>경기 수원시 영통구 하동 986-2번지 용현법조타워 2층</t>
        </is>
      </c>
      <c r="R809" t="inlineStr">
        <is>
          <t>경기 수원시 영통구 광교중앙로248번길 95-5, 2층 (하동,용현법조타워)</t>
        </is>
      </c>
    </row>
    <row r="810" ht="19.2" customHeight="1" s="1">
      <c r="A810" t="inlineStr">
        <is>
          <t>NICE:G28228</t>
        </is>
      </c>
      <c r="B810" t="inlineStr">
        <is>
          <t>티앤에프글로벌</t>
        </is>
      </c>
      <c r="C810" t="inlineStr">
        <is>
          <t>정윤교</t>
        </is>
      </c>
      <c r="D810" t="inlineStr">
        <is>
          <t>031-5180-4900</t>
        </is>
      </c>
      <c r="E810" t="inlineStr">
        <is>
          <t>031-5180-4999</t>
        </is>
      </c>
      <c r="F810" s="3">
        <f>HYPERLINK("http://www.tnfglobal.co.kr", "http://www.tnfglobal.co.kr")</f>
        <v/>
      </c>
      <c r="G810" t="inlineStr">
        <is>
          <t>1228604673</t>
        </is>
      </c>
      <c r="H810" t="inlineStr">
        <is>
          <t>1201110493552</t>
        </is>
      </c>
      <c r="I810" t="inlineStr">
        <is>
          <t>대상아님</t>
        </is>
      </c>
      <c r="J810" t="inlineStr">
        <is>
          <t>일반법인</t>
        </is>
      </c>
      <c r="K810" t="inlineStr">
        <is>
          <t>중소기업</t>
        </is>
      </c>
      <c r="L810" t="inlineStr">
        <is>
          <t>외부감사대상</t>
        </is>
      </c>
      <c r="M810" s="6" t="inlineStr">
        <is>
          <t>2009-04-16</t>
        </is>
      </c>
      <c r="N810" t="inlineStr">
        <is>
          <t>KRI:10C3039900</t>
        </is>
      </c>
      <c r="O810" t="inlineStr">
        <is>
          <t>그 외 자동차용 신품 부품 제조업</t>
        </is>
      </c>
      <c r="P810" t="inlineStr">
        <is>
          <t>헤드업디스플레이,레이더센서,차량용인포테인먼트시스템,비젼카메라 제조,개발</t>
        </is>
      </c>
      <c r="Q810" t="inlineStr">
        <is>
          <t>경기 평택시 진위면 마산리 420-6번지</t>
        </is>
      </c>
      <c r="R810" t="inlineStr">
        <is>
          <t>경기 평택시 진위면 삼남로 654</t>
        </is>
      </c>
    </row>
    <row r="811" ht="19.2" customHeight="1" s="1">
      <c r="A811" t="inlineStr">
        <is>
          <t>NICE:G34321</t>
        </is>
      </c>
      <c r="B811" t="inlineStr">
        <is>
          <t>씨엠에이글로벌</t>
        </is>
      </c>
      <c r="C811" t="inlineStr">
        <is>
          <t>김영선</t>
        </is>
      </c>
      <c r="D811" t="inlineStr">
        <is>
          <t>053-588-6070</t>
        </is>
      </c>
      <c r="E811" t="inlineStr">
        <is>
          <t>053-588-6076</t>
        </is>
      </c>
      <c r="F811" s="3">
        <f>HYPERLINK("http://www.cmaglobal.net", "http://www.cmaglobal.net")</f>
        <v/>
      </c>
      <c r="G811" t="inlineStr">
        <is>
          <t>5048186979</t>
        </is>
      </c>
      <c r="H811" t="inlineStr">
        <is>
          <t>1701110403379</t>
        </is>
      </c>
      <c r="I811" t="inlineStr">
        <is>
          <t>대상아님</t>
        </is>
      </c>
      <c r="J811" t="inlineStr">
        <is>
          <t>일반법인</t>
        </is>
      </c>
      <c r="K811" t="inlineStr">
        <is>
          <t>중소기업</t>
        </is>
      </c>
      <c r="L811" t="inlineStr">
        <is>
          <t>외부감사대상</t>
        </is>
      </c>
      <c r="M811" s="6" t="inlineStr">
        <is>
          <t>2010-05-07</t>
        </is>
      </c>
      <c r="N811" t="inlineStr">
        <is>
          <t>KRI:10C1330000</t>
        </is>
      </c>
      <c r="O811" t="inlineStr">
        <is>
          <t>편조원단 제조업</t>
        </is>
      </c>
      <c r="P811" t="inlineStr">
        <is>
          <t>편조원단,섬유,안경테 제조/섬유,안경관련용품 제조,도소매</t>
        </is>
      </c>
      <c r="Q811" t="inlineStr">
        <is>
          <t>대구 동구 봉무동 1561번지</t>
        </is>
      </c>
      <c r="R811" t="inlineStr">
        <is>
          <t>대구 동구 팔공로47길 29</t>
        </is>
      </c>
    </row>
    <row r="812" ht="19.2" customHeight="1" s="1">
      <c r="A812" t="inlineStr">
        <is>
          <t>NICE:G36626</t>
        </is>
      </c>
      <c r="B812" t="inlineStr">
        <is>
          <t>아그리젠토</t>
        </is>
      </c>
      <c r="C812" t="inlineStr">
        <is>
          <t>진남수</t>
        </is>
      </c>
      <c r="D812" t="inlineStr">
        <is>
          <t>055-943-9176</t>
        </is>
      </c>
      <c r="E812" t="inlineStr">
        <is>
          <t>055-943-9179</t>
        </is>
      </c>
      <c r="F812" s="3">
        <f>HYPERLINK("http://www.agrigento.or.kr", "http://www.agrigento.or.kr")</f>
        <v/>
      </c>
      <c r="G812" t="inlineStr">
        <is>
          <t>6118119443</t>
        </is>
      </c>
      <c r="H812" t="inlineStr">
        <is>
          <t>1914110008855</t>
        </is>
      </c>
      <c r="I812" t="inlineStr">
        <is>
          <t>대상아님</t>
        </is>
      </c>
      <c r="J812" t="inlineStr">
        <is>
          <t>일반법인</t>
        </is>
      </c>
      <c r="K812" t="inlineStr">
        <is>
          <t>중소기업</t>
        </is>
      </c>
      <c r="L812" t="inlineStr">
        <is>
          <t>외부감사대상</t>
        </is>
      </c>
      <c r="M812" s="6" t="inlineStr">
        <is>
          <t>2010-08-10</t>
        </is>
      </c>
      <c r="N812" t="inlineStr">
        <is>
          <t>KRI:10C2032100</t>
        </is>
      </c>
      <c r="O812" t="inlineStr">
        <is>
          <t>화학 살균ㆍ살충제 및 농업용 약제 제조업</t>
        </is>
      </c>
      <c r="P812" t="inlineStr">
        <is>
          <t>농약 제조</t>
        </is>
      </c>
      <c r="Q812" t="inlineStr">
        <is>
          <t>경남 거창군 가조면 석강리 1411번지</t>
        </is>
      </c>
      <c r="R812" t="inlineStr">
        <is>
          <t>경남 거창군 가조면 석강3길 60</t>
        </is>
      </c>
    </row>
    <row r="813" ht="19.2" customHeight="1" s="1">
      <c r="A813" t="inlineStr">
        <is>
          <t>NICE:G41645</t>
        </is>
      </c>
      <c r="B813" t="inlineStr">
        <is>
          <t>케이솔루션</t>
        </is>
      </c>
      <c r="C813" t="inlineStr">
        <is>
          <t>홍진기</t>
        </is>
      </c>
      <c r="D813" t="inlineStr">
        <is>
          <t>041-533-9194</t>
        </is>
      </c>
      <c r="E813" t="inlineStr">
        <is>
          <t>0505-515-9194</t>
        </is>
      </c>
      <c r="F813" s="3">
        <f>HYPERLINK("http://www.ke-solution.co.kr", "http://www.ke-solution.co.kr")</f>
        <v/>
      </c>
      <c r="G813" t="inlineStr">
        <is>
          <t>1258177374</t>
        </is>
      </c>
      <c r="H813" t="inlineStr">
        <is>
          <t>1346110040026</t>
        </is>
      </c>
      <c r="I813" t="inlineStr">
        <is>
          <t>대상아님</t>
        </is>
      </c>
      <c r="J813" t="inlineStr">
        <is>
          <t>일반법인</t>
        </is>
      </c>
      <c r="K813" t="inlineStr">
        <is>
          <t>중소기업</t>
        </is>
      </c>
      <c r="L813" t="inlineStr">
        <is>
          <t>외부감사대상</t>
        </is>
      </c>
      <c r="M813" s="6" t="inlineStr">
        <is>
          <t>2008-10-16</t>
        </is>
      </c>
      <c r="N813" t="inlineStr">
        <is>
          <t>KRI:10C2916100</t>
        </is>
      </c>
      <c r="O813" t="inlineStr">
        <is>
          <t>산업용 트럭 및 적재기 제조업</t>
        </is>
      </c>
      <c r="P813" t="inlineStr">
        <is>
          <t>지게차,배터리 제조</t>
        </is>
      </c>
      <c r="Q813" t="inlineStr">
        <is>
          <t>충남 아산시 영인면 신봉리 430-2번지</t>
        </is>
      </c>
      <c r="R813" t="inlineStr">
        <is>
          <t>충남 아산시 영인면 신봉길242번길 35-5</t>
        </is>
      </c>
    </row>
    <row r="814" ht="19.2" customHeight="1" s="1">
      <c r="A814" t="inlineStr">
        <is>
          <t>NICE:G42228</t>
        </is>
      </c>
      <c r="B814" t="inlineStr">
        <is>
          <t>휴민로보틱스</t>
        </is>
      </c>
      <c r="C814" t="inlineStr">
        <is>
          <t>서종휘</t>
        </is>
      </c>
      <c r="D814" t="inlineStr">
        <is>
          <t>041-529-3896</t>
        </is>
      </c>
      <c r="E814" t="inlineStr">
        <is>
          <t>041-581-3001</t>
        </is>
      </c>
      <c r="F814" s="3">
        <f>HYPERLINK("http://www.huminrobotics.co.kr", "http://www.huminrobotics.co.kr")</f>
        <v/>
      </c>
      <c r="G814" t="inlineStr">
        <is>
          <t>3128613886</t>
        </is>
      </c>
      <c r="H814" t="inlineStr">
        <is>
          <t>1615110114458</t>
        </is>
      </c>
      <c r="I814" t="inlineStr">
        <is>
          <t>대상아님</t>
        </is>
      </c>
      <c r="J814" t="inlineStr">
        <is>
          <t>일반법인</t>
        </is>
      </c>
      <c r="K814" t="inlineStr">
        <is>
          <t>중소기업</t>
        </is>
      </c>
      <c r="L814" t="inlineStr">
        <is>
          <t>외부감사대상</t>
        </is>
      </c>
      <c r="M814" s="6" t="inlineStr">
        <is>
          <t>2010-01-27</t>
        </is>
      </c>
      <c r="N814" t="inlineStr">
        <is>
          <t>KRI:10C2927100</t>
        </is>
      </c>
      <c r="O814" t="inlineStr">
        <is>
          <t>반도체 제조용 기계 제조업</t>
        </is>
      </c>
      <c r="P814" t="inlineStr">
        <is>
          <t>반도체장비,2차전지자동화장비 제조</t>
        </is>
      </c>
      <c r="Q814" t="inlineStr">
        <is>
          <t>충남 천안시 서북구 직산읍 군서리 209번지</t>
        </is>
      </c>
      <c r="R814" t="inlineStr">
        <is>
          <t>충남 천안시 서북구 직산읍 군수1길 193</t>
        </is>
      </c>
    </row>
    <row r="815" ht="19.2" customHeight="1" s="1">
      <c r="A815" t="inlineStr">
        <is>
          <t>NICE:G44080</t>
        </is>
      </c>
      <c r="B815" t="inlineStr">
        <is>
          <t>엠지씨글로벌</t>
        </is>
      </c>
      <c r="C815" t="inlineStr">
        <is>
          <t>김대영</t>
        </is>
      </c>
      <c r="D815" t="inlineStr">
        <is>
          <t>02-335-0656</t>
        </is>
      </c>
      <c r="E815" t="inlineStr">
        <is>
          <t>02-325-5199</t>
        </is>
      </c>
      <c r="F815" s="3">
        <f>HYPERLINK("https://www.mega-mgccoffee.com", "https://www.mega-mgccoffee.com")</f>
        <v/>
      </c>
      <c r="G815" t="inlineStr">
        <is>
          <t>1058751367</t>
        </is>
      </c>
      <c r="H815" t="inlineStr">
        <is>
          <t>1101114481836</t>
        </is>
      </c>
      <c r="I815" t="inlineStr">
        <is>
          <t>대상아님</t>
        </is>
      </c>
      <c r="J815" t="inlineStr">
        <is>
          <t>일반법인</t>
        </is>
      </c>
      <c r="K815" t="inlineStr">
        <is>
          <t>중소기업</t>
        </is>
      </c>
      <c r="L815" t="inlineStr">
        <is>
          <t>외부감사대상</t>
        </is>
      </c>
      <c r="M815" s="6" t="inlineStr">
        <is>
          <t>2010-11-30</t>
        </is>
      </c>
      <c r="N815" t="inlineStr">
        <is>
          <t>KRI:10G4632500</t>
        </is>
      </c>
      <c r="O815" t="inlineStr">
        <is>
          <t>커피 및 차류 도매업</t>
        </is>
      </c>
      <c r="P815" t="inlineStr">
        <is>
          <t>커피,커피관련용품,식료품 도매,제조/인테리어공사/커피프랜차이즈</t>
        </is>
      </c>
      <c r="Q815" t="inlineStr">
        <is>
          <t>서울 강남구 논현동 164-1번지 화이트518빌딩 11층</t>
        </is>
      </c>
      <c r="R815" t="inlineStr">
        <is>
          <t>서울 강남구 강남대로 518, 11층 (논현동,화이트518빌딩)</t>
        </is>
      </c>
    </row>
    <row r="816" ht="19.2" customHeight="1" s="1">
      <c r="A816" t="inlineStr">
        <is>
          <t>NICE:G44578</t>
        </is>
      </c>
      <c r="B816" t="inlineStr">
        <is>
          <t>에스더블유에스코리아</t>
        </is>
      </c>
      <c r="C816" t="inlineStr">
        <is>
          <t>고마다신타로</t>
        </is>
      </c>
      <c r="D816" t="inlineStr">
        <is>
          <t>031-719-9712</t>
        </is>
      </c>
      <c r="E816" t="inlineStr">
        <is>
          <t>031-719-9719</t>
        </is>
      </c>
      <c r="F816" s="3">
        <f>HYPERLINK("http://www.sws.co.jp", "http://www.sws.co.jp")</f>
        <v/>
      </c>
      <c r="G816" t="inlineStr">
        <is>
          <t>1298640990</t>
        </is>
      </c>
      <c r="H816" t="inlineStr">
        <is>
          <t>1311110245934</t>
        </is>
      </c>
      <c r="I816" t="inlineStr">
        <is>
          <t>대상아님</t>
        </is>
      </c>
      <c r="J816" t="inlineStr">
        <is>
          <t>일반법인</t>
        </is>
      </c>
      <c r="K816" t="inlineStr">
        <is>
          <t>중소기업</t>
        </is>
      </c>
      <c r="L816" t="inlineStr">
        <is>
          <t>외부감사대상</t>
        </is>
      </c>
      <c r="M816" s="6" t="inlineStr">
        <is>
          <t>2009-12-23</t>
        </is>
      </c>
      <c r="N816" t="inlineStr">
        <is>
          <t>KRI:10G4521900</t>
        </is>
      </c>
      <c r="O816" t="inlineStr">
        <is>
          <t>기타 자동차 신품 부품 및 내장품 판매업</t>
        </is>
      </c>
      <c r="P816" t="inlineStr">
        <is>
          <t>자동차부품(와이어하네스) 도소매,제조/무역</t>
        </is>
      </c>
      <c r="Q816" t="inlineStr">
        <is>
          <t>경기 성남시 분당구 정자동 25-1번지</t>
        </is>
      </c>
      <c r="R816" t="inlineStr">
        <is>
          <t>경기 성남시 분당구 성남대로331번길 8</t>
        </is>
      </c>
    </row>
    <row r="817">
      <c r="A817" t="inlineStr">
        <is>
          <t>NICE:G44708</t>
        </is>
      </c>
      <c r="B817" t="inlineStr">
        <is>
          <t>디케이텍인더스트리</t>
        </is>
      </c>
      <c r="C817" t="inlineStr">
        <is>
          <t>김춘식</t>
        </is>
      </c>
      <c r="D817" t="inlineStr">
        <is>
          <t>031-294-8881</t>
        </is>
      </c>
      <c r="E817" t="inlineStr">
        <is>
          <t>031-294-9882</t>
        </is>
      </c>
      <c r="G817" t="inlineStr">
        <is>
          <t>1218602221</t>
        </is>
      </c>
      <c r="H817" t="inlineStr">
        <is>
          <t>1201110527012</t>
        </is>
      </c>
      <c r="I817" t="inlineStr">
        <is>
          <t>대상아님</t>
        </is>
      </c>
      <c r="J817" t="inlineStr">
        <is>
          <t>일반법인</t>
        </is>
      </c>
      <c r="K817" t="inlineStr">
        <is>
          <t>중소기업</t>
        </is>
      </c>
      <c r="L817" t="inlineStr">
        <is>
          <t>외부감사대상</t>
        </is>
      </c>
      <c r="M817" s="6" t="inlineStr">
        <is>
          <t>2010-03-25</t>
        </is>
      </c>
      <c r="N817" t="inlineStr">
        <is>
          <t>KRI:10C2929900</t>
        </is>
      </c>
      <c r="O817" t="inlineStr">
        <is>
          <t>그 외 기타 특수목적용 기계 제조업</t>
        </is>
      </c>
      <c r="P817" t="inlineStr">
        <is>
          <t>자동화설비,기계부분품 제조/무역/비주거용건물 임대/기계 설비보수</t>
        </is>
      </c>
      <c r="Q817" t="inlineStr">
        <is>
          <t>경기 수원시 권선구 고색동 1086번지</t>
        </is>
      </c>
      <c r="R817" t="inlineStr">
        <is>
          <t>경기 수원시 권선구 산업로 174-30</t>
        </is>
      </c>
    </row>
    <row r="818">
      <c r="A818" t="inlineStr">
        <is>
          <t>NICE:G45200</t>
        </is>
      </c>
      <c r="B818" t="inlineStr">
        <is>
          <t>에스이엠케이</t>
        </is>
      </c>
      <c r="C818" t="inlineStr">
        <is>
          <t>이정학</t>
        </is>
      </c>
      <c r="D818" t="inlineStr">
        <is>
          <t>02-2040-7885</t>
        </is>
      </c>
      <c r="E818" t="inlineStr">
        <is>
          <t>02-2040-7887</t>
        </is>
      </c>
      <c r="G818" t="inlineStr">
        <is>
          <t>1208750178</t>
        </is>
      </c>
      <c r="H818" t="inlineStr">
        <is>
          <t>1101114266874</t>
        </is>
      </c>
      <c r="I818" t="inlineStr">
        <is>
          <t>대상아님</t>
        </is>
      </c>
      <c r="J818" t="inlineStr">
        <is>
          <t>일반법인</t>
        </is>
      </c>
      <c r="K818" t="inlineStr">
        <is>
          <t>중소기업</t>
        </is>
      </c>
      <c r="L818" t="inlineStr">
        <is>
          <t>외부감사대상</t>
        </is>
      </c>
      <c r="M818" s="6" t="inlineStr">
        <is>
          <t>2010-01-21</t>
        </is>
      </c>
      <c r="N818" t="inlineStr">
        <is>
          <t>KRI:10G4673900</t>
        </is>
      </c>
      <c r="O818" t="inlineStr">
        <is>
          <t>기타 화학물질 및 화학제품 도매업</t>
        </is>
      </c>
      <c r="P818" t="inlineStr">
        <is>
          <t>화공약품 도매</t>
        </is>
      </c>
      <c r="Q818" t="inlineStr">
        <is>
          <t>서울 강남구 수서동 713번지 수서현대벤쳐빌 1422호</t>
        </is>
      </c>
      <c r="R818" t="inlineStr">
        <is>
          <t>서울 강남구 밤고개로1길 10, 1422호 (수서동,수서현대벤쳐빌)</t>
        </is>
      </c>
    </row>
    <row r="819" ht="19.2" customHeight="1" s="1">
      <c r="A819" t="inlineStr">
        <is>
          <t>NICE:G49001</t>
        </is>
      </c>
      <c r="B819" t="inlineStr">
        <is>
          <t>예일세무법인</t>
        </is>
      </c>
      <c r="C819" t="inlineStr">
        <is>
          <t>임승환/천영익/장권철</t>
        </is>
      </c>
      <c r="D819" t="inlineStr">
        <is>
          <t>02-2188-8100</t>
        </is>
      </c>
      <c r="E819" t="inlineStr">
        <is>
          <t>02-568-0030</t>
        </is>
      </c>
      <c r="F819" s="3">
        <f>HYPERLINK("http://www.yeiltax.co.kr", "http://www.yeiltax.co.kr")</f>
        <v/>
      </c>
      <c r="G819" t="inlineStr">
        <is>
          <t>2148852798</t>
        </is>
      </c>
      <c r="H819" t="inlineStr">
        <is>
          <t>1102710017009</t>
        </is>
      </c>
      <c r="I819" t="inlineStr">
        <is>
          <t>대상아님</t>
        </is>
      </c>
      <c r="J819" t="inlineStr">
        <is>
          <t>일반법인</t>
        </is>
      </c>
      <c r="K819" t="inlineStr">
        <is>
          <t>중소기업</t>
        </is>
      </c>
      <c r="L819" t="inlineStr">
        <is>
          <t>외부감사비대상</t>
        </is>
      </c>
      <c r="M819" s="6" t="inlineStr">
        <is>
          <t>2010-01-04</t>
        </is>
      </c>
      <c r="N819" t="inlineStr">
        <is>
          <t>KRI:10M7120200</t>
        </is>
      </c>
      <c r="O819" t="inlineStr">
        <is>
          <t>세무사업</t>
        </is>
      </c>
      <c r="P819" t="inlineStr">
        <is>
          <t>세무법인</t>
        </is>
      </c>
      <c r="Q819" t="inlineStr">
        <is>
          <t>서울 강남구 역삼동 702-13번지 성지하이츠1차 3층</t>
        </is>
      </c>
      <c r="R819" t="inlineStr">
        <is>
          <t>서울 강남구 테헤란로 313, 3층 (역삼동,성지하이츠1차)</t>
        </is>
      </c>
    </row>
    <row r="820" ht="19.2" customHeight="1" s="1">
      <c r="A820" t="inlineStr">
        <is>
          <t>NICE:G55710</t>
        </is>
      </c>
      <c r="B820" t="inlineStr">
        <is>
          <t>지에스아이</t>
        </is>
      </c>
      <c r="C820" t="inlineStr">
        <is>
          <t>한성기</t>
        </is>
      </c>
      <c r="D820" t="inlineStr">
        <is>
          <t>031-421-2611</t>
        </is>
      </c>
      <c r="E820" t="inlineStr">
        <is>
          <t>031-421-2610</t>
        </is>
      </c>
      <c r="F820" s="3">
        <f>HYPERLINK("http://www.higsi.net", "http://www.higsi.net")</f>
        <v/>
      </c>
      <c r="G820" t="inlineStr">
        <is>
          <t>2148854743</t>
        </is>
      </c>
      <c r="H820" t="inlineStr">
        <is>
          <t>1101114282242</t>
        </is>
      </c>
      <c r="I820" t="inlineStr">
        <is>
          <t>대상아님</t>
        </is>
      </c>
      <c r="J820" t="inlineStr">
        <is>
          <t>일반법인</t>
        </is>
      </c>
      <c r="K820" t="inlineStr">
        <is>
          <t>중소기업</t>
        </is>
      </c>
      <c r="L820" t="inlineStr">
        <is>
          <t>외부감사대상</t>
        </is>
      </c>
      <c r="M820" s="6" t="inlineStr">
        <is>
          <t>2010-02-10</t>
        </is>
      </c>
      <c r="N820" t="inlineStr">
        <is>
          <t>KRI:10C2812300</t>
        </is>
      </c>
      <c r="O820" t="inlineStr">
        <is>
          <t>배전반 및 전기 자동제어반 제조업</t>
        </is>
      </c>
      <c r="P820" t="inlineStr">
        <is>
          <t>배전용(기기용)전기회로개폐,보호,접속장치등 제조</t>
        </is>
      </c>
      <c r="Q820" t="inlineStr">
        <is>
          <t>경기 안양시 동안구 관양동 799번지 안양메가밸리 717호, 719호</t>
        </is>
      </c>
      <c r="R820" t="inlineStr">
        <is>
          <t>경기 안양시 동안구 학의로 268, 717호, 719호 (관양동,안양메가밸리)</t>
        </is>
      </c>
    </row>
    <row r="821" ht="19.2" customHeight="1" s="1">
      <c r="A821" t="inlineStr">
        <is>
          <t>NICE:G60332</t>
        </is>
      </c>
      <c r="B821" t="inlineStr">
        <is>
          <t>중봉건설</t>
        </is>
      </c>
      <c r="C821" t="inlineStr">
        <is>
          <t>신경식</t>
        </is>
      </c>
      <c r="D821" t="inlineStr">
        <is>
          <t>062-510-2114</t>
        </is>
      </c>
      <c r="E821" t="inlineStr">
        <is>
          <t>062-528-6336</t>
        </is>
      </c>
      <c r="F821" s="3">
        <f>HYPERLINK("http://www.jungheung.co.kr", "http://www.jungheung.co.kr")</f>
        <v/>
      </c>
      <c r="G821" t="inlineStr">
        <is>
          <t>4098617963</t>
        </is>
      </c>
      <c r="H821" t="inlineStr">
        <is>
          <t>2001110309471</t>
        </is>
      </c>
      <c r="I821" t="inlineStr">
        <is>
          <t>대상아님</t>
        </is>
      </c>
      <c r="J821" t="inlineStr">
        <is>
          <t>일반법인</t>
        </is>
      </c>
      <c r="K821" t="inlineStr">
        <is>
          <t>대기업</t>
        </is>
      </c>
      <c r="L821" t="inlineStr">
        <is>
          <t>외부감사대상</t>
        </is>
      </c>
      <c r="M821" s="6" t="inlineStr">
        <is>
          <t>2010-12-14</t>
        </is>
      </c>
      <c r="N821" t="inlineStr">
        <is>
          <t>KRI:10L6812100</t>
        </is>
      </c>
      <c r="O821" t="inlineStr">
        <is>
          <t>주거용 건물 개발 및 공급업</t>
        </is>
      </c>
      <c r="P821" t="inlineStr">
        <is>
          <t>부동산 개발,공급,공동주택 장기임대/주택신축판매(건설),건축공사</t>
        </is>
      </c>
      <c r="Q821" t="inlineStr">
        <is>
          <t>광주 북구 신안동 122-3번지</t>
        </is>
      </c>
      <c r="R821" t="inlineStr">
        <is>
          <t>광주 북구 무등로 204</t>
        </is>
      </c>
    </row>
    <row r="822" ht="19.2" customHeight="1" s="1">
      <c r="A822" t="inlineStr">
        <is>
          <t>NICE:G69116</t>
        </is>
      </c>
      <c r="B822" t="inlineStr">
        <is>
          <t>한국우에무라</t>
        </is>
      </c>
      <c r="C822" t="inlineStr">
        <is>
          <t>우에무라히로야</t>
        </is>
      </c>
      <c r="D822" t="inlineStr">
        <is>
          <t>031-8047-4800</t>
        </is>
      </c>
      <c r="E822" t="inlineStr">
        <is>
          <t>031-8047-4899</t>
        </is>
      </c>
      <c r="F822" s="3">
        <f>HYPERLINK("http://www.uyemura.co.kr", "http://www.uyemura.co.kr")</f>
        <v/>
      </c>
      <c r="G822" t="inlineStr">
        <is>
          <t>1388161091</t>
        </is>
      </c>
      <c r="H822" t="inlineStr">
        <is>
          <t>1341110192942</t>
        </is>
      </c>
      <c r="I822" t="inlineStr">
        <is>
          <t>대상아님</t>
        </is>
      </c>
      <c r="J822" t="inlineStr">
        <is>
          <t>일반법인</t>
        </is>
      </c>
      <c r="K822" t="inlineStr">
        <is>
          <t>중견기업</t>
        </is>
      </c>
      <c r="L822" t="inlineStr">
        <is>
          <t>외부감사대상</t>
        </is>
      </c>
      <c r="M822" s="6" t="inlineStr">
        <is>
          <t>2010-07-01</t>
        </is>
      </c>
      <c r="N822" t="inlineStr">
        <is>
          <t>KRI:10C2049900</t>
        </is>
      </c>
      <c r="O822" t="inlineStr">
        <is>
          <t>그 외 기타 분류 안된 화학제품 제조업</t>
        </is>
      </c>
      <c r="P822" t="inlineStr">
        <is>
          <t>PCB표면처리약품,동도금약품,연마제,비철금속전반,합성수지제품,도금용 자재,설비기계 제조/무역</t>
        </is>
      </c>
      <c r="Q822" t="inlineStr">
        <is>
          <t>경기 화성시 만세구 장안면 금의리 761-6번지</t>
        </is>
      </c>
      <c r="R822" t="inlineStr">
        <is>
          <t>경기 화성시 만세구 장안면 장안공단6길 46</t>
        </is>
      </c>
    </row>
    <row r="823" ht="19.2" customHeight="1" s="1">
      <c r="A823" t="inlineStr">
        <is>
          <t>NICE:G74006</t>
        </is>
      </c>
      <c r="B823" t="inlineStr">
        <is>
          <t>슈올즈</t>
        </is>
      </c>
      <c r="C823" t="inlineStr">
        <is>
          <t>이청근</t>
        </is>
      </c>
      <c r="D823" t="inlineStr">
        <is>
          <t>1800-9449</t>
        </is>
      </c>
      <c r="E823" t="inlineStr">
        <is>
          <t>041-569-8064</t>
        </is>
      </c>
      <c r="F823" s="3">
        <f>HYPERLINK("http://shoealls.com", "http://shoealls.com")</f>
        <v/>
      </c>
      <c r="G823" t="inlineStr">
        <is>
          <t>2148869872</t>
        </is>
      </c>
      <c r="H823" t="inlineStr">
        <is>
          <t>1101114493493</t>
        </is>
      </c>
      <c r="I823" t="inlineStr">
        <is>
          <t>대상아님</t>
        </is>
      </c>
      <c r="J823" t="inlineStr">
        <is>
          <t>일반법인</t>
        </is>
      </c>
      <c r="K823" t="inlineStr">
        <is>
          <t>중소기업</t>
        </is>
      </c>
      <c r="L823" t="inlineStr">
        <is>
          <t>외부감사대상</t>
        </is>
      </c>
      <c r="M823" s="6" t="inlineStr">
        <is>
          <t>2010-12-16</t>
        </is>
      </c>
      <c r="N823" t="inlineStr">
        <is>
          <t>KRI:10C1521900</t>
        </is>
      </c>
      <c r="O823" t="inlineStr">
        <is>
          <t>기타 신발 제조업</t>
        </is>
      </c>
      <c r="P823" t="inlineStr">
        <is>
          <t>신발 제조</t>
        </is>
      </c>
      <c r="Q823" t="inlineStr">
        <is>
          <t>충남 천안시 서북구 성거읍 석교리 190-1번지</t>
        </is>
      </c>
      <c r="R823" t="inlineStr">
        <is>
          <t>충남 천안시 서북구 성거읍 석문길 178</t>
        </is>
      </c>
    </row>
    <row r="824" ht="19.2" customHeight="1" s="1">
      <c r="A824" t="inlineStr">
        <is>
          <t>NICE:G78597</t>
        </is>
      </c>
      <c r="B824" t="inlineStr">
        <is>
          <t>태영티에스</t>
        </is>
      </c>
      <c r="C824" t="inlineStr">
        <is>
          <t>김춘규</t>
        </is>
      </c>
      <c r="D824" t="inlineStr">
        <is>
          <t>031-274-6450</t>
        </is>
      </c>
      <c r="E824" t="inlineStr">
        <is>
          <t>031-274-6420</t>
        </is>
      </c>
      <c r="F824" s="3">
        <f>HYPERLINK("https://www.tyts.kr/", "https://www.tyts.kr/")</f>
        <v/>
      </c>
      <c r="G824" t="inlineStr">
        <is>
          <t>1358605004</t>
        </is>
      </c>
      <c r="H824" t="inlineStr">
        <is>
          <t>1358110171793</t>
        </is>
      </c>
      <c r="I824" t="inlineStr">
        <is>
          <t>대상아님</t>
        </is>
      </c>
      <c r="J824" t="inlineStr">
        <is>
          <t>일반법인</t>
        </is>
      </c>
      <c r="K824" t="inlineStr">
        <is>
          <t>중소기업</t>
        </is>
      </c>
      <c r="L824" t="inlineStr">
        <is>
          <t>외부감사대상</t>
        </is>
      </c>
      <c r="M824" s="6" t="inlineStr">
        <is>
          <t>2009-10-08</t>
        </is>
      </c>
      <c r="N824" t="inlineStr">
        <is>
          <t>KRI:10N7410000</t>
        </is>
      </c>
      <c r="O824" t="inlineStr">
        <is>
          <t>사업시설 유지ㆍ관리 서비스업</t>
        </is>
      </c>
      <c r="P824" t="inlineStr">
        <is>
          <t>사업시설 유지관리/콜센터,텔레마케팅</t>
        </is>
      </c>
      <c r="Q824" t="inlineStr">
        <is>
          <t>경기 용인시 처인구 양지읍 송문리 372-15번지</t>
        </is>
      </c>
      <c r="R824" t="inlineStr">
        <is>
          <t>경기 용인시 처인구 양지읍 반정로 46-5</t>
        </is>
      </c>
    </row>
    <row r="825" ht="19.2" customHeight="1" s="1">
      <c r="A825" t="inlineStr">
        <is>
          <t>NICE:G78770</t>
        </is>
      </c>
      <c r="B825" t="inlineStr">
        <is>
          <t>동아산업</t>
        </is>
      </c>
      <c r="C825" t="inlineStr">
        <is>
          <t>이영수</t>
        </is>
      </c>
      <c r="D825" t="inlineStr">
        <is>
          <t>031-895-6446</t>
        </is>
      </c>
      <c r="E825" t="inlineStr">
        <is>
          <t>031-296-4611</t>
        </is>
      </c>
      <c r="F825" s="3">
        <f>HYPERLINK("http://www.donga-pc.co.kr", "http://www.donga-pc.co.kr")</f>
        <v/>
      </c>
      <c r="G825" t="inlineStr">
        <is>
          <t>1248675010</t>
        </is>
      </c>
      <c r="H825" t="inlineStr">
        <is>
          <t>1358110161603</t>
        </is>
      </c>
      <c r="I825" t="inlineStr">
        <is>
          <t>대상아님</t>
        </is>
      </c>
      <c r="J825" t="inlineStr">
        <is>
          <t>일반법인</t>
        </is>
      </c>
      <c r="K825" t="inlineStr">
        <is>
          <t>중소기업</t>
        </is>
      </c>
      <c r="L825" t="inlineStr">
        <is>
          <t>외부감사대상</t>
        </is>
      </c>
      <c r="M825" s="6" t="inlineStr">
        <is>
          <t>2009-01-12</t>
        </is>
      </c>
      <c r="N825" t="inlineStr">
        <is>
          <t>KRI:10C2332900</t>
        </is>
      </c>
      <c r="O825" t="inlineStr">
        <is>
          <t>그 외 기타 콘크리트 제품 및 유사제품 제조업</t>
        </is>
      </c>
      <c r="P825" t="inlineStr">
        <is>
          <t>PC암거,수로관,흄관,맨홀 제조,도소매,무역,전자상거래</t>
        </is>
      </c>
      <c r="Q825" t="inlineStr">
        <is>
          <t>경기 화성시 만세구 장안면 석포리 672-15번지</t>
        </is>
      </c>
      <c r="R825" t="inlineStr">
        <is>
          <t>경기 화성시 만세구 장안면 무봉길 213</t>
        </is>
      </c>
    </row>
    <row r="826">
      <c r="A826" t="inlineStr">
        <is>
          <t>NICE:G80452</t>
        </is>
      </c>
      <c r="B826" t="inlineStr">
        <is>
          <t>명지시스템</t>
        </is>
      </c>
      <c r="C826" t="inlineStr">
        <is>
          <t>이상근</t>
        </is>
      </c>
      <c r="D826" t="inlineStr">
        <is>
          <t>052-245-3614</t>
        </is>
      </c>
      <c r="E826" t="inlineStr">
        <is>
          <t>052-245-3616</t>
        </is>
      </c>
      <c r="G826" t="inlineStr">
        <is>
          <t>6208134924</t>
        </is>
      </c>
      <c r="H826" t="inlineStr">
        <is>
          <t>2301110159078</t>
        </is>
      </c>
      <c r="I826" t="inlineStr">
        <is>
          <t>대상아님</t>
        </is>
      </c>
      <c r="J826" t="inlineStr">
        <is>
          <t>일반법인</t>
        </is>
      </c>
      <c r="K826" t="inlineStr">
        <is>
          <t>중소기업</t>
        </is>
      </c>
      <c r="L826" t="inlineStr">
        <is>
          <t>외부감사대상</t>
        </is>
      </c>
      <c r="M826" s="6" t="inlineStr">
        <is>
          <t>2009-10-16</t>
        </is>
      </c>
      <c r="N826" t="inlineStr">
        <is>
          <t>KRI:10C2812300</t>
        </is>
      </c>
      <c r="O826" t="inlineStr">
        <is>
          <t>배전반 및 전기 자동제어반 제조업</t>
        </is>
      </c>
      <c r="P826" t="inlineStr">
        <is>
          <t>배전반,전기자동제어반 제조,일반건축공사,전기,통신기자재판매/일반 창고/임대</t>
        </is>
      </c>
      <c r="Q826" t="inlineStr">
        <is>
          <t>울산 중구 성안동 472-15번지</t>
        </is>
      </c>
      <c r="R826" t="inlineStr">
        <is>
          <t>울산 중구 성안8길 104</t>
        </is>
      </c>
    </row>
    <row r="827">
      <c r="A827" t="inlineStr">
        <is>
          <t>NICE:G81191</t>
        </is>
      </c>
      <c r="B827" t="inlineStr">
        <is>
          <t>발해건설</t>
        </is>
      </c>
      <c r="C827" t="inlineStr">
        <is>
          <t>강일성</t>
        </is>
      </c>
      <c r="D827" t="inlineStr">
        <is>
          <t>02-2634-8279</t>
        </is>
      </c>
      <c r="E827" t="inlineStr">
        <is>
          <t>02-2634-8277</t>
        </is>
      </c>
      <c r="G827" t="inlineStr">
        <is>
          <t>4088182068</t>
        </is>
      </c>
      <c r="H827" t="inlineStr">
        <is>
          <t>2052110028800</t>
        </is>
      </c>
      <c r="I827" t="inlineStr">
        <is>
          <t>대상아님</t>
        </is>
      </c>
      <c r="J827" t="inlineStr">
        <is>
          <t>일반법인</t>
        </is>
      </c>
      <c r="K827" t="inlineStr">
        <is>
          <t>중소기업</t>
        </is>
      </c>
      <c r="L827" t="inlineStr">
        <is>
          <t>외부감사대상</t>
        </is>
      </c>
      <c r="M827" s="6" t="inlineStr">
        <is>
          <t>2009-05-19</t>
        </is>
      </c>
      <c r="N827" t="inlineStr">
        <is>
          <t>KRI:10F4213200</t>
        </is>
      </c>
      <c r="O827" t="inlineStr">
        <is>
          <t>콘크리트 및 철근 공사업</t>
        </is>
      </c>
      <c r="P827" t="inlineStr">
        <is>
          <t>철근콘크리트공사,비계구조물해체공사/건축 설계</t>
        </is>
      </c>
      <c r="Q827" t="inlineStr">
        <is>
          <t>서울 영등포구 양평동5가 42번지 선유도투웨니퍼스트밸리 1401호</t>
        </is>
      </c>
      <c r="R827" t="inlineStr">
        <is>
          <t>서울 영등포구 양평로 157, 1401호 (양평동5가,선유도투웨니퍼스트밸리)</t>
        </is>
      </c>
    </row>
    <row r="828" ht="19.2" customHeight="1" s="1">
      <c r="A828" t="inlineStr">
        <is>
          <t>NICE:G86477</t>
        </is>
      </c>
      <c r="B828" t="inlineStr">
        <is>
          <t>아틀라스네이벌엔지니어링</t>
        </is>
      </c>
      <c r="C828" t="inlineStr">
        <is>
          <t>김경덕/모리츠프리드리히안드레아스로이터</t>
        </is>
      </c>
      <c r="D828" t="inlineStr">
        <is>
          <t>051-973-1370</t>
        </is>
      </c>
      <c r="E828" t="inlineStr">
        <is>
          <t>051-941-4611</t>
        </is>
      </c>
      <c r="F828" s="3">
        <f>HYPERLINK("http://www.anec-korea.com", "http://www.anec-korea.com")</f>
        <v/>
      </c>
      <c r="G828" t="inlineStr">
        <is>
          <t>6218182415</t>
        </is>
      </c>
      <c r="H828" t="inlineStr">
        <is>
          <t>2341140000601</t>
        </is>
      </c>
      <c r="I828" t="inlineStr">
        <is>
          <t>대상아님</t>
        </is>
      </c>
      <c r="J828" t="inlineStr">
        <is>
          <t>일반법인</t>
        </is>
      </c>
      <c r="K828" t="inlineStr">
        <is>
          <t>중소기업</t>
        </is>
      </c>
      <c r="L828" t="inlineStr">
        <is>
          <t>외부감사대상</t>
        </is>
      </c>
      <c r="M828" s="6" t="inlineStr">
        <is>
          <t>2009-10-19</t>
        </is>
      </c>
      <c r="N828" t="inlineStr">
        <is>
          <t>KRI:10C2812200</t>
        </is>
      </c>
      <c r="O828" t="inlineStr">
        <is>
          <t>전기회로 접속장치 제조업</t>
        </is>
      </c>
      <c r="P828" t="inlineStr">
        <is>
          <t>전기회로 접속장치 제조/전자,기술설비,장비,시스템 수입,마케팅,도소매</t>
        </is>
      </c>
      <c r="Q828" t="inlineStr">
        <is>
          <t>부산 강서구 미음동 1571-10번지</t>
        </is>
      </c>
      <c r="R828" t="inlineStr">
        <is>
          <t>부산 강서구 미음산단3로 8</t>
        </is>
      </c>
    </row>
    <row r="829">
      <c r="A829" t="inlineStr">
        <is>
          <t>NICE:G87268</t>
        </is>
      </c>
      <c r="B829" t="inlineStr">
        <is>
          <t>에스엠티</t>
        </is>
      </c>
      <c r="C829" t="inlineStr">
        <is>
          <t>정진영</t>
        </is>
      </c>
      <c r="D829" t="inlineStr">
        <is>
          <t>053-582-5161</t>
        </is>
      </c>
      <c r="E829" t="inlineStr">
        <is>
          <t>053-583-3555</t>
        </is>
      </c>
      <c r="G829" t="inlineStr">
        <is>
          <t>5058160555</t>
        </is>
      </c>
      <c r="H829" t="inlineStr">
        <is>
          <t>1747110027917</t>
        </is>
      </c>
      <c r="I829" t="inlineStr">
        <is>
          <t>대상아님</t>
        </is>
      </c>
      <c r="J829" t="inlineStr">
        <is>
          <t>일반법인</t>
        </is>
      </c>
      <c r="K829" t="inlineStr">
        <is>
          <t>중견기업</t>
        </is>
      </c>
      <c r="L829" t="inlineStr">
        <is>
          <t>외부감사대상</t>
        </is>
      </c>
      <c r="M829" s="6" t="inlineStr">
        <is>
          <t>2010-06-16</t>
        </is>
      </c>
      <c r="N829" t="inlineStr">
        <is>
          <t>KRI:10C3039900</t>
        </is>
      </c>
      <c r="O829" t="inlineStr">
        <is>
          <t>그 외 자동차용 신품 부품 제조업</t>
        </is>
      </c>
      <c r="P829" t="inlineStr">
        <is>
          <t>자동차부품,컨베이어,용접기 제조,도소매</t>
        </is>
      </c>
      <c r="Q829" t="inlineStr">
        <is>
          <t>경북 경산시 진량읍 대원리 501번지</t>
        </is>
      </c>
      <c r="R829" t="inlineStr">
        <is>
          <t>경북 경산시 진량읍 공단8로 23</t>
        </is>
      </c>
    </row>
    <row r="830">
      <c r="A830" t="inlineStr">
        <is>
          <t>NICE:G87678</t>
        </is>
      </c>
      <c r="B830" t="inlineStr">
        <is>
          <t>에이원</t>
        </is>
      </c>
      <c r="C830" t="inlineStr">
        <is>
          <t>이의환</t>
        </is>
      </c>
      <c r="D830" t="inlineStr">
        <is>
          <t>02-322-7500</t>
        </is>
      </c>
      <c r="G830" t="inlineStr">
        <is>
          <t>2018618451</t>
        </is>
      </c>
      <c r="H830" t="inlineStr">
        <is>
          <t>1101114418615</t>
        </is>
      </c>
      <c r="I830" t="inlineStr">
        <is>
          <t>대상아님</t>
        </is>
      </c>
      <c r="J830" t="inlineStr">
        <is>
          <t>일반법인</t>
        </is>
      </c>
      <c r="K830" t="inlineStr">
        <is>
          <t>중소기업</t>
        </is>
      </c>
      <c r="L830" t="inlineStr">
        <is>
          <t>외부감사대상</t>
        </is>
      </c>
      <c r="M830" s="6" t="inlineStr">
        <is>
          <t>2010-08-23</t>
        </is>
      </c>
      <c r="N830" t="inlineStr">
        <is>
          <t>KRI:10G4679900</t>
        </is>
      </c>
      <c r="O830" t="inlineStr">
        <is>
          <t>그 외 기타 상품 전문 도매업</t>
        </is>
      </c>
      <c r="P830" t="inlineStr">
        <is>
          <t>유아용품 도소매,제조/무역,수입식품 도소매/전자상거래/주차장 운영/비주거용건물 임대</t>
        </is>
      </c>
      <c r="Q830" t="inlineStr">
        <is>
          <t>서울 강남구 청담동 83-2번지 4층 , 5층</t>
        </is>
      </c>
      <c r="R830" t="inlineStr">
        <is>
          <t>서울 강남구 도산대로55길 48, 4층 , 5층</t>
        </is>
      </c>
    </row>
    <row r="831">
      <c r="A831" t="inlineStr">
        <is>
          <t>NICE:G94089</t>
        </is>
      </c>
      <c r="B831" t="inlineStr">
        <is>
          <t>지우개발</t>
        </is>
      </c>
      <c r="C831" t="inlineStr">
        <is>
          <t>유상우</t>
        </is>
      </c>
      <c r="D831" t="inlineStr">
        <is>
          <t>031-332-0072</t>
        </is>
      </c>
      <c r="E831" t="inlineStr">
        <is>
          <t>031-332-0072</t>
        </is>
      </c>
      <c r="G831" t="inlineStr">
        <is>
          <t>1298621300</t>
        </is>
      </c>
      <c r="H831" t="inlineStr">
        <is>
          <t>1311110209774</t>
        </is>
      </c>
      <c r="I831" t="inlineStr">
        <is>
          <t>대상아님</t>
        </is>
      </c>
      <c r="J831" t="inlineStr">
        <is>
          <t>일반법인</t>
        </is>
      </c>
      <c r="K831" t="inlineStr">
        <is>
          <t>중소기업</t>
        </is>
      </c>
      <c r="L831" t="inlineStr">
        <is>
          <t>외부감사대상</t>
        </is>
      </c>
      <c r="M831" s="6" t="inlineStr">
        <is>
          <t>2008-05-07</t>
        </is>
      </c>
      <c r="N831" t="inlineStr">
        <is>
          <t>KRI:10L6812200</t>
        </is>
      </c>
      <c r="O831" t="inlineStr">
        <is>
          <t>비주거용 건물 개발 및 공급업</t>
        </is>
      </c>
      <c r="P831" t="inlineStr">
        <is>
          <t>부동산 임대,컨설팅,개발/건물시설관리</t>
        </is>
      </c>
      <c r="Q831" t="inlineStr">
        <is>
          <t>경기 성남시 분당구 구미동 158번지 하나이지타워 309호</t>
        </is>
      </c>
      <c r="R831" t="inlineStr">
        <is>
          <t>경기 성남시 분당구 성남대로43번길 10, 309호 (구미동,하나이지타워)</t>
        </is>
      </c>
    </row>
    <row r="832" ht="19.2" customHeight="1" s="1">
      <c r="A832" t="inlineStr">
        <is>
          <t>NICE:G96366</t>
        </is>
      </c>
      <c r="B832" t="inlineStr">
        <is>
          <t>케이시스</t>
        </is>
      </c>
      <c r="C832" t="inlineStr">
        <is>
          <t>천병민</t>
        </is>
      </c>
      <c r="D832" t="inlineStr">
        <is>
          <t>051-642-7800</t>
        </is>
      </c>
      <c r="E832" t="inlineStr">
        <is>
          <t>051-642-7200</t>
        </is>
      </c>
      <c r="F832" s="3">
        <f>HYPERLINK("http://www.ksys.co.kr", "http://www.ksys.co.kr")</f>
        <v/>
      </c>
      <c r="G832" t="inlineStr">
        <is>
          <t>6178151266</t>
        </is>
      </c>
      <c r="H832" t="inlineStr">
        <is>
          <t>1801110480622</t>
        </is>
      </c>
      <c r="I832" t="inlineStr">
        <is>
          <t>대상아님</t>
        </is>
      </c>
      <c r="J832" t="inlineStr">
        <is>
          <t>일반법인</t>
        </is>
      </c>
      <c r="K832" t="inlineStr">
        <is>
          <t>중소기업</t>
        </is>
      </c>
      <c r="L832" t="inlineStr">
        <is>
          <t>외부감사대상</t>
        </is>
      </c>
      <c r="M832" s="6" t="inlineStr">
        <is>
          <t>2004-03-30</t>
        </is>
      </c>
      <c r="N832" t="inlineStr">
        <is>
          <t>KRI:10C2842300</t>
        </is>
      </c>
      <c r="O832" t="inlineStr">
        <is>
          <t>전시 및 광고용 조명장치 제조업</t>
        </is>
      </c>
      <c r="P832" t="inlineStr">
        <is>
          <t>LED전광판,영상디스플레이장치 제조/정보통신기기,영상,음향기기 도소매/정보통신공사,전기공사</t>
        </is>
      </c>
      <c r="Q832" t="inlineStr">
        <is>
          <t>부산 부산진구 전포동 327-27번지</t>
        </is>
      </c>
      <c r="R832" t="inlineStr">
        <is>
          <t>부산 부산진구 진남로356번길 17</t>
        </is>
      </c>
    </row>
    <row r="833" ht="19.2" customHeight="1" s="1">
      <c r="A833" t="inlineStr">
        <is>
          <t>NICE:G96810</t>
        </is>
      </c>
      <c r="B833" t="inlineStr">
        <is>
          <t>케이엠이엔지</t>
        </is>
      </c>
      <c r="C833" t="inlineStr">
        <is>
          <t>김광호/김재경</t>
        </is>
      </c>
      <c r="D833" t="inlineStr">
        <is>
          <t>054-478-1700</t>
        </is>
      </c>
      <c r="E833" t="inlineStr">
        <is>
          <t>054-478-1790</t>
        </is>
      </c>
      <c r="F833" s="3">
        <f>HYPERLINK("http://km-eng.co.kr", "http://km-eng.co.kr")</f>
        <v/>
      </c>
      <c r="G833" t="inlineStr">
        <is>
          <t>5138153526</t>
        </is>
      </c>
      <c r="H833" t="inlineStr">
        <is>
          <t>1760110059649</t>
        </is>
      </c>
      <c r="I833" t="inlineStr">
        <is>
          <t>대상아님</t>
        </is>
      </c>
      <c r="J833" t="inlineStr">
        <is>
          <t>일반법인</t>
        </is>
      </c>
      <c r="K833" t="inlineStr">
        <is>
          <t>중소기업</t>
        </is>
      </c>
      <c r="L833" t="inlineStr">
        <is>
          <t>외부감사대상</t>
        </is>
      </c>
      <c r="M833" s="6" t="inlineStr">
        <is>
          <t>1993-07-13</t>
        </is>
      </c>
      <c r="N833" t="inlineStr">
        <is>
          <t>KRI:10C2591400</t>
        </is>
      </c>
      <c r="O833" t="inlineStr">
        <is>
          <t>그 외 금속 압형제품 제조업</t>
        </is>
      </c>
      <c r="P833" t="inlineStr">
        <is>
          <t>기계가공품,가공공작기계,금속구조재,반도체제조용 기계 제조</t>
        </is>
      </c>
      <c r="Q833" t="inlineStr">
        <is>
          <t>경북 구미시 산동읍 신당리 1235번지</t>
        </is>
      </c>
      <c r="R833" t="inlineStr">
        <is>
          <t>경북 구미시 산동읍 첨단기업7로 98-40</t>
        </is>
      </c>
    </row>
    <row r="834" ht="19.2" customHeight="1" s="1">
      <c r="A834" t="inlineStr">
        <is>
          <t>NICE:G99629</t>
        </is>
      </c>
      <c r="B834" t="inlineStr">
        <is>
          <t>티디엠</t>
        </is>
      </c>
      <c r="C834" t="inlineStr">
        <is>
          <t>김선미</t>
        </is>
      </c>
      <c r="D834" t="inlineStr">
        <is>
          <t>031-732-0631</t>
        </is>
      </c>
      <c r="E834" t="inlineStr">
        <is>
          <t>0507-0329-3397</t>
        </is>
      </c>
      <c r="F834" s="3">
        <f>HYPERLINK("http://www.tdmkorea.co.kr", "http://www.tdmkorea.co.kr")</f>
        <v/>
      </c>
      <c r="G834" t="inlineStr">
        <is>
          <t>4098610392</t>
        </is>
      </c>
      <c r="H834" t="inlineStr">
        <is>
          <t>2001110284839</t>
        </is>
      </c>
      <c r="I834" t="inlineStr">
        <is>
          <t>대상아님</t>
        </is>
      </c>
      <c r="J834" t="inlineStr">
        <is>
          <t>일반법인</t>
        </is>
      </c>
      <c r="K834" t="inlineStr">
        <is>
          <t>중소기업</t>
        </is>
      </c>
      <c r="L834" t="inlineStr">
        <is>
          <t>외부감사대상</t>
        </is>
      </c>
      <c r="M834" s="6" t="inlineStr">
        <is>
          <t>2009-09-24</t>
        </is>
      </c>
      <c r="N834" t="inlineStr">
        <is>
          <t>KRI:10C2719900</t>
        </is>
      </c>
      <c r="O834" t="inlineStr">
        <is>
          <t>그 외 기타 의료용 기기 제조업</t>
        </is>
      </c>
      <c r="P834" t="inlineStr">
        <is>
          <t>의료용기기 제조</t>
        </is>
      </c>
      <c r="Q834" t="inlineStr">
        <is>
          <t>광주 북구 월출동 970-109번지</t>
        </is>
      </c>
      <c r="R834" t="inlineStr">
        <is>
          <t>광주 북구 첨단벤처소로37번길 69</t>
        </is>
      </c>
    </row>
    <row r="835">
      <c r="A835" t="inlineStr">
        <is>
          <t>NICE:G99830</t>
        </is>
      </c>
      <c r="B835" t="inlineStr">
        <is>
          <t>티에스티</t>
        </is>
      </c>
      <c r="C835" t="inlineStr">
        <is>
          <t>이재학</t>
        </is>
      </c>
      <c r="D835" t="inlineStr">
        <is>
          <t>054-471-5691</t>
        </is>
      </c>
      <c r="E835" t="inlineStr">
        <is>
          <t>054-471-5696</t>
        </is>
      </c>
      <c r="G835" t="inlineStr">
        <is>
          <t>5138161875</t>
        </is>
      </c>
      <c r="H835" t="inlineStr">
        <is>
          <t>1760110068492</t>
        </is>
      </c>
      <c r="I835" t="inlineStr">
        <is>
          <t>대상아님</t>
        </is>
      </c>
      <c r="J835" t="inlineStr">
        <is>
          <t>일반법인</t>
        </is>
      </c>
      <c r="K835" t="inlineStr">
        <is>
          <t>중소기업</t>
        </is>
      </c>
      <c r="L835" t="inlineStr">
        <is>
          <t>외부감사대상</t>
        </is>
      </c>
      <c r="M835" s="6" t="inlineStr">
        <is>
          <t>2011-01-17</t>
        </is>
      </c>
      <c r="N835" t="inlineStr">
        <is>
          <t>KRI:10C2929900</t>
        </is>
      </c>
      <c r="O835" t="inlineStr">
        <is>
          <t>그 외 기타 특수목적용 기계 제조업</t>
        </is>
      </c>
      <c r="P835" t="inlineStr">
        <is>
          <t>반도체장비,자동화기계 제조</t>
        </is>
      </c>
      <c r="Q835" t="inlineStr">
        <is>
          <t>경북 구미시 산동읍 도중리 0번지</t>
        </is>
      </c>
      <c r="R835" t="inlineStr">
        <is>
          <t>경북 구미시 산동읍 5공단6로 16</t>
        </is>
      </c>
    </row>
    <row r="836" ht="19.2" customHeight="1" s="1">
      <c r="A836" t="inlineStr">
        <is>
          <t>NICE:H00205</t>
        </is>
      </c>
      <c r="B836" t="inlineStr">
        <is>
          <t>성문</t>
        </is>
      </c>
      <c r="C836" t="inlineStr">
        <is>
          <t>윤경순/이재홍</t>
        </is>
      </c>
      <c r="D836" t="inlineStr">
        <is>
          <t>061-464-9696</t>
        </is>
      </c>
      <c r="E836" t="inlineStr">
        <is>
          <t>061-464-9697</t>
        </is>
      </c>
      <c r="F836" s="3">
        <f>HYPERLINK("http://www.sungmoon.co.kr", "http://www.sungmoon.co.kr")</f>
        <v/>
      </c>
      <c r="G836" t="inlineStr">
        <is>
          <t>4118156630</t>
        </is>
      </c>
      <c r="H836" t="inlineStr">
        <is>
          <t>2054110004203</t>
        </is>
      </c>
      <c r="I836" t="inlineStr">
        <is>
          <t>대상아님</t>
        </is>
      </c>
      <c r="J836" t="inlineStr">
        <is>
          <t>일반법인</t>
        </is>
      </c>
      <c r="K836" t="inlineStr">
        <is>
          <t>중소기업</t>
        </is>
      </c>
      <c r="L836" t="inlineStr">
        <is>
          <t>외부감사대상</t>
        </is>
      </c>
      <c r="M836" s="6" t="inlineStr">
        <is>
          <t>2009-01-28</t>
        </is>
      </c>
      <c r="N836" t="inlineStr">
        <is>
          <t>KRI:10C3111400</t>
        </is>
      </c>
      <c r="O836" t="inlineStr">
        <is>
          <t>선박 구성 부분품 제조업</t>
        </is>
      </c>
      <c r="P836" t="inlineStr">
        <is>
          <t>선박엔진부품 제작</t>
        </is>
      </c>
      <c r="Q836" t="inlineStr">
        <is>
          <t>전남 영암군 삼호읍 나불리 602-4번지</t>
        </is>
      </c>
      <c r="R836" t="inlineStr">
        <is>
          <t>전남 영암군 삼호읍 소등로 105</t>
        </is>
      </c>
    </row>
    <row r="837" ht="19.2" customHeight="1" s="1">
      <c r="A837" t="inlineStr">
        <is>
          <t>NICE:H13582</t>
        </is>
      </c>
      <c r="B837" t="inlineStr">
        <is>
          <t>호텔스카이파크</t>
        </is>
      </c>
      <c r="C837" t="inlineStr">
        <is>
          <t>최영재</t>
        </is>
      </c>
      <c r="D837" t="inlineStr">
        <is>
          <t>02-6900-9333</t>
        </is>
      </c>
      <c r="E837" t="inlineStr">
        <is>
          <t>02-6442-1260</t>
        </is>
      </c>
      <c r="F837" s="3">
        <f>HYPERLINK("http://www.skyparkhotel.com", "http://www.skyparkhotel.com")</f>
        <v/>
      </c>
      <c r="G837" t="inlineStr">
        <is>
          <t>2018617127</t>
        </is>
      </c>
      <c r="H837" t="inlineStr">
        <is>
          <t>1101114413235</t>
        </is>
      </c>
      <c r="I837" t="inlineStr">
        <is>
          <t>대상아님</t>
        </is>
      </c>
      <c r="J837" t="inlineStr">
        <is>
          <t>일반법인</t>
        </is>
      </c>
      <c r="K837" t="inlineStr">
        <is>
          <t>중소기업</t>
        </is>
      </c>
      <c r="L837" t="inlineStr">
        <is>
          <t>외부감사대상</t>
        </is>
      </c>
      <c r="M837" s="6" t="inlineStr">
        <is>
          <t>2010-08-16</t>
        </is>
      </c>
      <c r="N837" t="inlineStr">
        <is>
          <t>KRI:10I5510100</t>
        </is>
      </c>
      <c r="O837" t="inlineStr">
        <is>
          <t>호텔업</t>
        </is>
      </c>
      <c r="P837" t="inlineStr">
        <is>
          <t>관광호텔/주차장,시설 관리,호텔 예약대행</t>
        </is>
      </c>
      <c r="Q837" t="inlineStr">
        <is>
          <t>서울 중구 충무로1가 24-23번지 명동하늘빌딩 8층</t>
        </is>
      </c>
      <c r="R837" t="inlineStr">
        <is>
          <t>서울 중구 명동8나길 15, 8층 (충무로1가,명동하늘빌딩)</t>
        </is>
      </c>
    </row>
    <row r="838" ht="19.2" customHeight="1" s="1">
      <c r="A838" t="inlineStr">
        <is>
          <t>NICE:H13837</t>
        </is>
      </c>
      <c r="B838" t="inlineStr">
        <is>
          <t>비에스온</t>
        </is>
      </c>
      <c r="C838" t="inlineStr">
        <is>
          <t>이강진</t>
        </is>
      </c>
      <c r="D838" t="inlineStr">
        <is>
          <t>1588-6990</t>
        </is>
      </c>
      <c r="E838" t="inlineStr">
        <is>
          <t>02-6294-3500</t>
        </is>
      </c>
      <c r="F838" s="3">
        <f>HYPERLINK("http://www.bs-on.com", "http://www.bs-on.com")</f>
        <v/>
      </c>
      <c r="G838" t="inlineStr">
        <is>
          <t>1298655571</t>
        </is>
      </c>
      <c r="H838" t="inlineStr">
        <is>
          <t>1101114504894</t>
        </is>
      </c>
      <c r="I838" t="inlineStr">
        <is>
          <t>대상아님</t>
        </is>
      </c>
      <c r="J838" t="inlineStr">
        <is>
          <t>일반법인</t>
        </is>
      </c>
      <c r="K838" t="inlineStr">
        <is>
          <t>중견기업</t>
        </is>
      </c>
      <c r="L838" t="inlineStr">
        <is>
          <t>외부감사대상</t>
        </is>
      </c>
      <c r="M838" s="6" t="inlineStr">
        <is>
          <t>2011-01-03</t>
        </is>
      </c>
      <c r="N838" t="inlineStr">
        <is>
          <t>KRI:10G4659100</t>
        </is>
      </c>
      <c r="O838" t="inlineStr">
        <is>
          <t>사무용 가구 및 기기 도매업</t>
        </is>
      </c>
      <c r="P838" t="inlineStr">
        <is>
          <t>사무용 기기,가구 도소매,통신판매/사무용,산업용 기기,서적,기록물 임대</t>
        </is>
      </c>
      <c r="Q838" t="inlineStr">
        <is>
          <t>서울 영등포구 영등포동6가 77-1번지</t>
        </is>
      </c>
      <c r="R838" t="inlineStr">
        <is>
          <t>서울 영등포구 영등포로 193</t>
        </is>
      </c>
    </row>
    <row r="839">
      <c r="A839" t="inlineStr">
        <is>
          <t>NICE:H15069</t>
        </is>
      </c>
      <c r="B839" t="inlineStr">
        <is>
          <t>셀트리온홀딩스</t>
        </is>
      </c>
      <c r="C839" t="inlineStr">
        <is>
          <t>서진석</t>
        </is>
      </c>
      <c r="D839" t="inlineStr">
        <is>
          <t>032-850-6464</t>
        </is>
      </c>
      <c r="E839" t="inlineStr">
        <is>
          <t>032-850-6498</t>
        </is>
      </c>
      <c r="G839" t="inlineStr">
        <is>
          <t>1318624858</t>
        </is>
      </c>
      <c r="H839" t="inlineStr">
        <is>
          <t>1201110551178</t>
        </is>
      </c>
      <c r="I839" t="inlineStr">
        <is>
          <t>대상아님</t>
        </is>
      </c>
      <c r="J839" t="inlineStr">
        <is>
          <t>일반법인</t>
        </is>
      </c>
      <c r="K839" t="inlineStr">
        <is>
          <t>대기업</t>
        </is>
      </c>
      <c r="L839" t="inlineStr">
        <is>
          <t>외부감사대상</t>
        </is>
      </c>
      <c r="M839" s="6" t="inlineStr">
        <is>
          <t>2010-11-25</t>
        </is>
      </c>
      <c r="N839" t="inlineStr">
        <is>
          <t>KRI:10K6499200</t>
        </is>
      </c>
      <c r="O839" t="inlineStr">
        <is>
          <t>지주회사</t>
        </is>
      </c>
      <c r="P839" t="inlineStr">
        <is>
          <t>지주회사</t>
        </is>
      </c>
      <c r="Q839" t="inlineStr">
        <is>
          <t>인천 연수구 송도동 13-3번지 5층</t>
        </is>
      </c>
      <c r="R839" t="inlineStr">
        <is>
          <t>인천 연수구 아카데미로51번길 19, 5층</t>
        </is>
      </c>
    </row>
    <row r="840" ht="19.2" customHeight="1" s="1">
      <c r="A840" t="inlineStr">
        <is>
          <t>NICE:H15856</t>
        </is>
      </c>
      <c r="B840" t="inlineStr">
        <is>
          <t>웰파인</t>
        </is>
      </c>
      <c r="C840" t="inlineStr">
        <is>
          <t>손일권</t>
        </is>
      </c>
      <c r="D840" t="inlineStr">
        <is>
          <t>1544-8175</t>
        </is>
      </c>
      <c r="E840" t="inlineStr">
        <is>
          <t>031-444-8179</t>
        </is>
      </c>
      <c r="F840" s="3">
        <f>HYPERLINK("http://www.wellfine.co.kr", "http://www.wellfine.co.kr")</f>
        <v/>
      </c>
      <c r="G840" t="inlineStr">
        <is>
          <t>1428123456</t>
        </is>
      </c>
      <c r="H840" t="inlineStr">
        <is>
          <t>1345110144185</t>
        </is>
      </c>
      <c r="I840" t="inlineStr">
        <is>
          <t>대상아님</t>
        </is>
      </c>
      <c r="J840" t="inlineStr">
        <is>
          <t>일반법인</t>
        </is>
      </c>
      <c r="K840" t="inlineStr">
        <is>
          <t>중소기업</t>
        </is>
      </c>
      <c r="L840" t="inlineStr">
        <is>
          <t>외부감사대상</t>
        </is>
      </c>
      <c r="M840" s="6" t="inlineStr">
        <is>
          <t>2009-09-30</t>
        </is>
      </c>
      <c r="N840" t="inlineStr">
        <is>
          <t>KRI:10C1079700</t>
        </is>
      </c>
      <c r="O840" t="inlineStr">
        <is>
          <t>건강기능식품 제조업</t>
        </is>
      </c>
      <c r="P840" t="inlineStr">
        <is>
          <t>건강기능식품,가전제품 제조,도소매</t>
        </is>
      </c>
      <c r="Q840" t="inlineStr">
        <is>
          <t>강원 횡성군 우천면 법주리 728번지</t>
        </is>
      </c>
      <c r="R840" t="inlineStr">
        <is>
          <t>강원 횡성군 우천면 우천제2농공단지로 77</t>
        </is>
      </c>
    </row>
    <row r="841" ht="19.2" customHeight="1" s="1">
      <c r="A841" t="inlineStr">
        <is>
          <t>NICE:H24372</t>
        </is>
      </c>
      <c r="B841" t="inlineStr">
        <is>
          <t>코코스팩</t>
        </is>
      </c>
      <c r="C841" t="inlineStr">
        <is>
          <t>임성민/정대우</t>
        </is>
      </c>
      <c r="D841" t="inlineStr">
        <is>
          <t>031-427-7831</t>
        </is>
      </c>
      <c r="E841" t="inlineStr">
        <is>
          <t>031-357-2831</t>
        </is>
      </c>
      <c r="F841" s="3">
        <f>HYPERLINK("http://www.cocospack.com", "http://www.cocospack.com")</f>
        <v/>
      </c>
      <c r="G841" t="inlineStr">
        <is>
          <t>1238621729</t>
        </is>
      </c>
      <c r="H841" t="inlineStr">
        <is>
          <t>1351110098264</t>
        </is>
      </c>
      <c r="I841" t="inlineStr">
        <is>
          <t>대상아님</t>
        </is>
      </c>
      <c r="J841" t="inlineStr">
        <is>
          <t>일반법인</t>
        </is>
      </c>
      <c r="K841" t="inlineStr">
        <is>
          <t>중소기업</t>
        </is>
      </c>
      <c r="L841" t="inlineStr">
        <is>
          <t>외부감사대상</t>
        </is>
      </c>
      <c r="M841" s="6" t="inlineStr">
        <is>
          <t>2010-04-01</t>
        </is>
      </c>
      <c r="N841" t="inlineStr">
        <is>
          <t>KRI:10C2223200</t>
        </is>
      </c>
      <c r="O841" t="inlineStr">
        <is>
          <t>포장용 플라스틱 성형용기 제조업</t>
        </is>
      </c>
      <c r="P841" t="inlineStr">
        <is>
          <t>화장품용기,플라스틱 사출 제조</t>
        </is>
      </c>
      <c r="Q841" t="inlineStr">
        <is>
          <t>경기 화성시 만세구 남양읍 신남리 1571번지</t>
        </is>
      </c>
      <c r="R841" t="inlineStr">
        <is>
          <t>경기 화성시 만세구 남양읍 신남로 341-17</t>
        </is>
      </c>
    </row>
    <row r="842" ht="19.2" customHeight="1" s="1">
      <c r="A842" t="inlineStr">
        <is>
          <t>NICE:H25790</t>
        </is>
      </c>
      <c r="B842" t="inlineStr">
        <is>
          <t>인흥산업</t>
        </is>
      </c>
      <c r="C842" t="inlineStr">
        <is>
          <t>이선재</t>
        </is>
      </c>
      <c r="D842" t="inlineStr">
        <is>
          <t>054-743-3520</t>
        </is>
      </c>
      <c r="E842" t="inlineStr">
        <is>
          <t>054-743-3529</t>
        </is>
      </c>
      <c r="F842" s="3">
        <f>HYPERLINK("http://www.inheung.co.kr", "http://www.inheung.co.kr")</f>
        <v/>
      </c>
      <c r="G842" t="inlineStr">
        <is>
          <t>5058160220</t>
        </is>
      </c>
      <c r="H842" t="inlineStr">
        <is>
          <t>1712110059591</t>
        </is>
      </c>
      <c r="I842" t="inlineStr">
        <is>
          <t>대상아님</t>
        </is>
      </c>
      <c r="J842" t="inlineStr">
        <is>
          <t>일반법인</t>
        </is>
      </c>
      <c r="K842" t="inlineStr">
        <is>
          <t>중소기업</t>
        </is>
      </c>
      <c r="L842" t="inlineStr">
        <is>
          <t>외부감사대상</t>
        </is>
      </c>
      <c r="M842" s="6" t="inlineStr">
        <is>
          <t>2010-05-17</t>
        </is>
      </c>
      <c r="N842" t="inlineStr">
        <is>
          <t>KRI:10C2592300</t>
        </is>
      </c>
      <c r="O842" t="inlineStr">
        <is>
          <t>도장 및 기타 피막처리업</t>
        </is>
      </c>
      <c r="P842" t="inlineStr">
        <is>
          <t>산업기계,철구조물,해양장치 도장/제작</t>
        </is>
      </c>
      <c r="Q842" t="inlineStr">
        <is>
          <t>경북 경주시 외동읍 구어리 11-19번지</t>
        </is>
      </c>
      <c r="R842" t="inlineStr">
        <is>
          <t>경북 경주시 외동읍 외동농공단지길 56</t>
        </is>
      </c>
    </row>
    <row r="843" ht="19.2" customHeight="1" s="1">
      <c r="A843" t="inlineStr">
        <is>
          <t>NICE:H26253</t>
        </is>
      </c>
      <c r="B843" t="inlineStr">
        <is>
          <t>케이엔케이</t>
        </is>
      </c>
      <c r="C843" t="inlineStr">
        <is>
          <t>김동후/김정락</t>
        </is>
      </c>
      <c r="D843" t="inlineStr">
        <is>
          <t>070-4045-0407</t>
        </is>
      </c>
      <c r="E843" t="inlineStr">
        <is>
          <t>031-267-0407</t>
        </is>
      </c>
      <c r="F843" s="3">
        <f>HYPERLINK("http://www.knknara.co.kr", "http://www.knknara.co.kr")</f>
        <v/>
      </c>
      <c r="G843" t="inlineStr">
        <is>
          <t>1248694467</t>
        </is>
      </c>
      <c r="H843" t="inlineStr">
        <is>
          <t>1348110195372</t>
        </is>
      </c>
      <c r="I843" t="inlineStr">
        <is>
          <t>대상아님</t>
        </is>
      </c>
      <c r="J843" t="inlineStr">
        <is>
          <t>일반법인</t>
        </is>
      </c>
      <c r="K843" t="inlineStr">
        <is>
          <t>중소기업</t>
        </is>
      </c>
      <c r="L843" t="inlineStr">
        <is>
          <t>외부감사대상</t>
        </is>
      </c>
      <c r="M843" s="6" t="inlineStr">
        <is>
          <t>2010-05-31</t>
        </is>
      </c>
      <c r="N843" t="inlineStr">
        <is>
          <t>KRI:10C2927100</t>
        </is>
      </c>
      <c r="O843" t="inlineStr">
        <is>
          <t>반도체 제조용 기계 제조업</t>
        </is>
      </c>
      <c r="P843" t="inlineStr">
        <is>
          <t>반도체제조용기계,전자집적회로,공장자동화시스템,작업공정소프트웨어개발 제조/전기,전자부품 도매/비주거용건물 임대</t>
        </is>
      </c>
      <c r="Q843" t="inlineStr">
        <is>
          <t>경기 화성시 병점구 기산동 246-1번지</t>
        </is>
      </c>
      <c r="R843" t="inlineStr">
        <is>
          <t>경기 화성시 병점구 기산로87번길 2</t>
        </is>
      </c>
    </row>
    <row r="844" ht="19.2" customHeight="1" s="1">
      <c r="A844" t="inlineStr">
        <is>
          <t>NICE:H28065</t>
        </is>
      </c>
      <c r="B844" t="inlineStr">
        <is>
          <t>스마트코리아피씨비</t>
        </is>
      </c>
      <c r="C844" t="inlineStr">
        <is>
          <t>서재환</t>
        </is>
      </c>
      <c r="D844" t="inlineStr">
        <is>
          <t>031-431-0504</t>
        </is>
      </c>
      <c r="E844" t="inlineStr">
        <is>
          <t>031-431-0514</t>
        </is>
      </c>
      <c r="F844" s="3">
        <f>HYPERLINK("http://www.koreapcb.com", "http://www.koreapcb.com")</f>
        <v/>
      </c>
      <c r="G844" t="inlineStr">
        <is>
          <t>1408146360</t>
        </is>
      </c>
      <c r="H844" t="inlineStr">
        <is>
          <t>1355110215505</t>
        </is>
      </c>
      <c r="I844" t="inlineStr">
        <is>
          <t>대상아님</t>
        </is>
      </c>
      <c r="J844" t="inlineStr">
        <is>
          <t>일반법인</t>
        </is>
      </c>
      <c r="K844" t="inlineStr">
        <is>
          <t>중소기업</t>
        </is>
      </c>
      <c r="L844" t="inlineStr">
        <is>
          <t>외부감사대상</t>
        </is>
      </c>
      <c r="M844" s="6" t="inlineStr">
        <is>
          <t>2010-08-16</t>
        </is>
      </c>
      <c r="N844" t="inlineStr">
        <is>
          <t>KRI:10C2622100</t>
        </is>
      </c>
      <c r="O844" t="inlineStr">
        <is>
          <t>인쇄회로기판용 적층판 제조업</t>
        </is>
      </c>
      <c r="P844" t="inlineStr">
        <is>
          <t>인쇄회로기판 제조/부동산 임대</t>
        </is>
      </c>
      <c r="Q844" t="inlineStr">
        <is>
          <t>경기 안산시 단원구 성곡동 646-4번지 반월공단</t>
        </is>
      </c>
      <c r="R844" t="inlineStr">
        <is>
          <t>경기 안산시 단원구 만해로229번길 21, 반월공단</t>
        </is>
      </c>
    </row>
    <row r="845">
      <c r="A845" t="inlineStr">
        <is>
          <t>NICE:H31401</t>
        </is>
      </c>
      <c r="B845" t="inlineStr">
        <is>
          <t>케이이티솔루션</t>
        </is>
      </c>
      <c r="C845" t="inlineStr">
        <is>
          <t>이원준</t>
        </is>
      </c>
      <c r="D845" t="inlineStr">
        <is>
          <t>031-937-2000</t>
        </is>
      </c>
      <c r="E845" t="inlineStr">
        <is>
          <t>031-937-2100</t>
        </is>
      </c>
      <c r="G845" t="inlineStr">
        <is>
          <t>1418120607</t>
        </is>
      </c>
      <c r="H845" t="inlineStr">
        <is>
          <t>2849110088615</t>
        </is>
      </c>
      <c r="I845" t="inlineStr">
        <is>
          <t>대상아님</t>
        </is>
      </c>
      <c r="J845" t="inlineStr">
        <is>
          <t>일반법인</t>
        </is>
      </c>
      <c r="K845" t="inlineStr">
        <is>
          <t>중견기업</t>
        </is>
      </c>
      <c r="L845" t="inlineStr">
        <is>
          <t>외부감사대상</t>
        </is>
      </c>
      <c r="M845" s="6" t="inlineStr">
        <is>
          <t>2010-07-26</t>
        </is>
      </c>
      <c r="N845" t="inlineStr">
        <is>
          <t>KRI:10C2622400</t>
        </is>
      </c>
      <c r="O845" t="inlineStr">
        <is>
          <t>전자부품 실장기판 제조업</t>
        </is>
      </c>
      <c r="P845" t="inlineStr">
        <is>
          <t>전자부품실장기판,리드프레임제조,도금/전기전자부품 도소매</t>
        </is>
      </c>
      <c r="Q845" t="inlineStr">
        <is>
          <t>경기 파주시 파주읍 향양리 701-2번지</t>
        </is>
      </c>
      <c r="R845" t="inlineStr">
        <is>
          <t>경기 파주시 파주읍 돈유1로 22</t>
        </is>
      </c>
    </row>
    <row r="846" ht="19.2" customHeight="1" s="1">
      <c r="A846" t="inlineStr">
        <is>
          <t>NICE:H31584</t>
        </is>
      </c>
      <c r="B846" t="inlineStr">
        <is>
          <t>한성관광개발</t>
        </is>
      </c>
      <c r="C846" t="inlineStr">
        <is>
          <t>전영자</t>
        </is>
      </c>
      <c r="D846" t="inlineStr">
        <is>
          <t>031-284-3831</t>
        </is>
      </c>
      <c r="E846" t="inlineStr">
        <is>
          <t>031-285-7979</t>
        </is>
      </c>
      <c r="F846" s="3">
        <f>HYPERLINK("http://www.hansung-cc.co.kr", "http://www.hansung-cc.co.kr")</f>
        <v/>
      </c>
      <c r="G846" t="inlineStr">
        <is>
          <t>1428132881</t>
        </is>
      </c>
      <c r="H846" t="inlineStr">
        <is>
          <t>1345110164042</t>
        </is>
      </c>
      <c r="I846" t="inlineStr">
        <is>
          <t>대상아님</t>
        </is>
      </c>
      <c r="J846" t="inlineStr">
        <is>
          <t>일반법인</t>
        </is>
      </c>
      <c r="K846" t="inlineStr">
        <is>
          <t>중소기업</t>
        </is>
      </c>
      <c r="L846" t="inlineStr">
        <is>
          <t>외부감사대상</t>
        </is>
      </c>
      <c r="M846" s="6" t="inlineStr">
        <is>
          <t>2010-12-20</t>
        </is>
      </c>
      <c r="N846" t="inlineStr">
        <is>
          <t>KRI:10R9112100</t>
        </is>
      </c>
      <c r="O846" t="inlineStr">
        <is>
          <t>골프장 운영업</t>
        </is>
      </c>
      <c r="P846" t="inlineStr">
        <is>
          <t>골프장 운영</t>
        </is>
      </c>
      <c r="Q846" t="inlineStr">
        <is>
          <t>경기 용인시 기흥구 마북동 153-1번지</t>
        </is>
      </c>
      <c r="R846" t="inlineStr">
        <is>
          <t>경기 용인시 기흥구 구교동로 151</t>
        </is>
      </c>
    </row>
    <row r="847">
      <c r="A847" t="inlineStr">
        <is>
          <t>NICE:H32563</t>
        </is>
      </c>
      <c r="B847" t="inlineStr">
        <is>
          <t>엠에이치티</t>
        </is>
      </c>
      <c r="C847" t="inlineStr">
        <is>
          <t>김기원</t>
        </is>
      </c>
      <c r="D847" t="inlineStr">
        <is>
          <t>070-7123-8787</t>
        </is>
      </c>
      <c r="E847" t="inlineStr">
        <is>
          <t>02-890-7236</t>
        </is>
      </c>
      <c r="G847" t="inlineStr">
        <is>
          <t>1138647611</t>
        </is>
      </c>
      <c r="H847" t="inlineStr">
        <is>
          <t>1101114566662</t>
        </is>
      </c>
      <c r="I847" t="inlineStr">
        <is>
          <t>대상아님</t>
        </is>
      </c>
      <c r="J847" t="inlineStr">
        <is>
          <t>일반법인</t>
        </is>
      </c>
      <c r="K847" t="inlineStr">
        <is>
          <t>중소기업</t>
        </is>
      </c>
      <c r="L847" t="inlineStr">
        <is>
          <t>외부감사대상</t>
        </is>
      </c>
      <c r="M847" s="6" t="inlineStr">
        <is>
          <t>2011-03-29</t>
        </is>
      </c>
      <c r="N847" t="inlineStr">
        <is>
          <t>KRI:10C1419900</t>
        </is>
      </c>
      <c r="O847" t="inlineStr">
        <is>
          <t>그 외 기타 봉제의복 제조업</t>
        </is>
      </c>
      <c r="P847" t="inlineStr">
        <is>
          <t>봉제의복 제조,도소매,수출입</t>
        </is>
      </c>
      <c r="Q847" t="inlineStr">
        <is>
          <t>서울 구로구 구로동 184-1번지 우림이비즈센타2차 1307호</t>
        </is>
      </c>
      <c r="R847" t="inlineStr">
        <is>
          <t>서울 구로구 디지털로33길 12, 1307호 (구로동,우림이비즈센타2차)</t>
        </is>
      </c>
    </row>
    <row r="848" ht="19.2" customHeight="1" s="1">
      <c r="A848" t="inlineStr">
        <is>
          <t>NICE:H32662</t>
        </is>
      </c>
      <c r="B848" t="inlineStr">
        <is>
          <t>유니슨에이치케이알</t>
        </is>
      </c>
      <c r="C848" t="inlineStr">
        <is>
          <t>이진옥</t>
        </is>
      </c>
      <c r="D848" t="inlineStr">
        <is>
          <t>041-620-3333</t>
        </is>
      </c>
      <c r="E848" t="inlineStr">
        <is>
          <t>041-551-0706</t>
        </is>
      </c>
      <c r="F848" s="3">
        <f>HYPERLINK("http://www.unisonhkr.co.kr", "http://www.unisonhkr.co.kr")</f>
        <v/>
      </c>
      <c r="G848" t="inlineStr">
        <is>
          <t>3128626756</t>
        </is>
      </c>
      <c r="H848" t="inlineStr">
        <is>
          <t>1615110128706</t>
        </is>
      </c>
      <c r="I848" t="inlineStr">
        <is>
          <t>대상아님</t>
        </is>
      </c>
      <c r="J848" t="inlineStr">
        <is>
          <t>일반법인</t>
        </is>
      </c>
      <c r="K848" t="inlineStr">
        <is>
          <t>중소기업</t>
        </is>
      </c>
      <c r="L848" t="inlineStr">
        <is>
          <t>외부감사대상</t>
        </is>
      </c>
      <c r="M848" s="6" t="inlineStr">
        <is>
          <t>2011-04-21</t>
        </is>
      </c>
      <c r="N848" t="inlineStr">
        <is>
          <t>KRI:10C2511300</t>
        </is>
      </c>
      <c r="O848" t="inlineStr">
        <is>
          <t>육상 금속 골조 구조재 제조업</t>
        </is>
      </c>
      <c r="P848" t="inlineStr">
        <is>
          <t>금속조립구조재(교량,플랜트),도로제품,주물제품,경관재,난관,중앙분리대,에어콘배관셋트 제조</t>
        </is>
      </c>
      <c r="Q848" t="inlineStr">
        <is>
          <t>충남 천안시 동남구 수신면 장산리 803번지</t>
        </is>
      </c>
      <c r="R848" t="inlineStr">
        <is>
          <t>충남 천안시 동남구 수신면 우각골길 53</t>
        </is>
      </c>
    </row>
    <row r="849" ht="19.2" customHeight="1" s="1">
      <c r="A849" t="inlineStr">
        <is>
          <t>NICE:H35082</t>
        </is>
      </c>
      <c r="B849" t="inlineStr">
        <is>
          <t>광교세무법인</t>
        </is>
      </c>
      <c r="C849" t="inlineStr">
        <is>
          <t>류병하/송동복/최봉순</t>
        </is>
      </c>
      <c r="D849" t="inlineStr">
        <is>
          <t>031-8007-2900</t>
        </is>
      </c>
      <c r="E849" t="inlineStr">
        <is>
          <t>031-525-5288</t>
        </is>
      </c>
      <c r="F849" s="3">
        <f>HYPERLINK("https://www.gwangyo.com/", "https://www.gwangyo.com/")</f>
        <v/>
      </c>
      <c r="G849" t="inlineStr">
        <is>
          <t>1248168310</t>
        </is>
      </c>
      <c r="H849" t="inlineStr">
        <is>
          <t>1358710005946</t>
        </is>
      </c>
      <c r="I849" t="inlineStr">
        <is>
          <t>대상아님</t>
        </is>
      </c>
      <c r="J849" t="inlineStr">
        <is>
          <t>일반법인</t>
        </is>
      </c>
      <c r="K849" t="inlineStr">
        <is>
          <t>중소기업</t>
        </is>
      </c>
      <c r="L849" t="inlineStr">
        <is>
          <t>외부감사비대상</t>
        </is>
      </c>
      <c r="M849" s="6" t="inlineStr">
        <is>
          <t>1999-12-24</t>
        </is>
      </c>
      <c r="N849" t="inlineStr">
        <is>
          <t>KRI:10M7120200</t>
        </is>
      </c>
      <c r="O849" t="inlineStr">
        <is>
          <t>세무사업</t>
        </is>
      </c>
      <c r="P849" t="inlineStr">
        <is>
          <t>세무사</t>
        </is>
      </c>
      <c r="Q849" t="inlineStr">
        <is>
          <t>경기 수원시 장안구 파장동 217번지 광교빌딩</t>
        </is>
      </c>
      <c r="R849" t="inlineStr">
        <is>
          <t>경기 수원시 장안구 경수대로 1110-12 (파장동,광교빌딩)</t>
        </is>
      </c>
    </row>
    <row r="850" ht="19.2" customHeight="1" s="1">
      <c r="A850" t="inlineStr">
        <is>
          <t>NICE:H35309</t>
        </is>
      </c>
      <c r="B850" t="inlineStr">
        <is>
          <t>스마일게이트</t>
        </is>
      </c>
      <c r="C850" t="inlineStr">
        <is>
          <t>성준호</t>
        </is>
      </c>
      <c r="D850" t="inlineStr">
        <is>
          <t>031-600-8200</t>
        </is>
      </c>
      <c r="E850" t="inlineStr">
        <is>
          <t>031-600-8287</t>
        </is>
      </c>
      <c r="F850" s="3">
        <f>HYPERLINK("https://www.smilegate.com/", "https://www.smilegate.com/")</f>
        <v/>
      </c>
      <c r="G850" t="inlineStr">
        <is>
          <t>1328160298</t>
        </is>
      </c>
      <c r="H850" t="inlineStr">
        <is>
          <t>2841110055793</t>
        </is>
      </c>
      <c r="I850" t="inlineStr">
        <is>
          <t>대상아님</t>
        </is>
      </c>
      <c r="J850" t="inlineStr">
        <is>
          <t>일반법인</t>
        </is>
      </c>
      <c r="K850" t="inlineStr">
        <is>
          <t>중견기업</t>
        </is>
      </c>
      <c r="L850" t="inlineStr">
        <is>
          <t>외부감사대상</t>
        </is>
      </c>
      <c r="M850" s="6" t="inlineStr">
        <is>
          <t>2005-04-19</t>
        </is>
      </c>
      <c r="N850" t="inlineStr">
        <is>
          <t>KRI:10K6499200</t>
        </is>
      </c>
      <c r="O850" t="inlineStr">
        <is>
          <t>지주회사</t>
        </is>
      </c>
      <c r="P850" t="inlineStr">
        <is>
          <t>비금융지주회사</t>
        </is>
      </c>
      <c r="Q850" t="inlineStr">
        <is>
          <t>경기 성남시 분당구 삼평동 673번지 쏠리드스페이스빌딩 5층</t>
        </is>
      </c>
      <c r="R850" t="inlineStr">
        <is>
          <t>경기 성남시 분당구 판교역로 220, 5층 (삼평동,쏠리드스페이스빌딩)</t>
        </is>
      </c>
    </row>
    <row r="851" ht="19.2" customHeight="1" s="1">
      <c r="A851" t="inlineStr">
        <is>
          <t>NICE:H36264</t>
        </is>
      </c>
      <c r="B851" t="inlineStr">
        <is>
          <t>울산지피에스</t>
        </is>
      </c>
      <c r="C851" t="inlineStr">
        <is>
          <t>유은철</t>
        </is>
      </c>
      <c r="D851" t="inlineStr">
        <is>
          <t>052-710-5170</t>
        </is>
      </c>
      <c r="E851" t="inlineStr">
        <is>
          <t>052-710-5171</t>
        </is>
      </c>
      <c r="F851" s="3">
        <f>HYPERLINK("http://www.ulsangps.com", "http://www.ulsangps.com")</f>
        <v/>
      </c>
      <c r="G851" t="inlineStr">
        <is>
          <t>3118139175</t>
        </is>
      </c>
      <c r="H851" t="inlineStr">
        <is>
          <t>1650110035072</t>
        </is>
      </c>
      <c r="I851" t="inlineStr">
        <is>
          <t>대상아님</t>
        </is>
      </c>
      <c r="J851" t="inlineStr">
        <is>
          <t>일반법인</t>
        </is>
      </c>
      <c r="K851" t="inlineStr">
        <is>
          <t>대기업</t>
        </is>
      </c>
      <c r="L851" t="inlineStr">
        <is>
          <t>외부감사대상</t>
        </is>
      </c>
      <c r="M851" s="6" t="inlineStr">
        <is>
          <t>2011-07-01</t>
        </is>
      </c>
      <c r="N851" t="inlineStr">
        <is>
          <t>KRI:10D3511300</t>
        </is>
      </c>
      <c r="O851" t="inlineStr">
        <is>
          <t>화력 발전업</t>
        </is>
      </c>
      <c r="P851" t="inlineStr">
        <is>
          <t>가스복합화력발전</t>
        </is>
      </c>
      <c r="Q851" t="inlineStr">
        <is>
          <t>울산 남구 부곡동 19-1번지 사무동 1층</t>
        </is>
      </c>
      <c r="R851" t="inlineStr">
        <is>
          <t>울산 남구 용잠로40번길 19, 1층 (부곡동,사무동)</t>
        </is>
      </c>
    </row>
    <row r="852" ht="19.2" customHeight="1" s="1">
      <c r="A852" t="inlineStr">
        <is>
          <t>NICE:H37285</t>
        </is>
      </c>
      <c r="B852" t="inlineStr">
        <is>
          <t>피알피사이언스</t>
        </is>
      </c>
      <c r="C852" t="inlineStr">
        <is>
          <t>신문석</t>
        </is>
      </c>
      <c r="D852" t="inlineStr">
        <is>
          <t>02-540-8864</t>
        </is>
      </c>
      <c r="F852" s="3">
        <f>HYPERLINK("http://www.prpscience.co.kr", "http://www.prpscience.co.kr")</f>
        <v/>
      </c>
      <c r="G852" t="inlineStr">
        <is>
          <t>1148685807</t>
        </is>
      </c>
      <c r="H852" t="inlineStr">
        <is>
          <t>1101114518093</t>
        </is>
      </c>
      <c r="I852" t="inlineStr">
        <is>
          <t>대상아님</t>
        </is>
      </c>
      <c r="J852" t="inlineStr">
        <is>
          <t>일반법인</t>
        </is>
      </c>
      <c r="K852" t="inlineStr">
        <is>
          <t>중소기업</t>
        </is>
      </c>
      <c r="L852" t="inlineStr">
        <is>
          <t>외부감사대상</t>
        </is>
      </c>
      <c r="M852" s="6" t="inlineStr">
        <is>
          <t>2011-01-19</t>
        </is>
      </c>
      <c r="N852" t="inlineStr">
        <is>
          <t>KRI:10C2719900</t>
        </is>
      </c>
      <c r="O852" t="inlineStr">
        <is>
          <t>그 외 기타 의료용 기기 제조업</t>
        </is>
      </c>
      <c r="P852" t="inlineStr">
        <is>
          <t>의료기기 제조/화장품 제조,도소매/무역(수출입)</t>
        </is>
      </c>
      <c r="Q852" t="inlineStr">
        <is>
          <t>경기 화성시 만세구 팔탄면 율암리 433-3번지</t>
        </is>
      </c>
      <c r="R852" t="inlineStr">
        <is>
          <t>경기 화성시 만세구 팔탄면 율암길 81-54</t>
        </is>
      </c>
    </row>
    <row r="853">
      <c r="A853" t="inlineStr">
        <is>
          <t>NICE:H39643</t>
        </is>
      </c>
      <c r="B853" t="inlineStr">
        <is>
          <t>제이에스스탠더드</t>
        </is>
      </c>
      <c r="C853" t="inlineStr">
        <is>
          <t>정분도</t>
        </is>
      </c>
      <c r="D853" t="inlineStr">
        <is>
          <t>02-572-9488</t>
        </is>
      </c>
      <c r="E853" t="inlineStr">
        <is>
          <t>02-572-9480</t>
        </is>
      </c>
      <c r="G853" t="inlineStr">
        <is>
          <t>1098627125</t>
        </is>
      </c>
      <c r="H853" t="inlineStr">
        <is>
          <t>1101114526244</t>
        </is>
      </c>
      <c r="I853" t="inlineStr">
        <is>
          <t>대상아님</t>
        </is>
      </c>
      <c r="J853" t="inlineStr">
        <is>
          <t>일반법인</t>
        </is>
      </c>
      <c r="K853" t="inlineStr">
        <is>
          <t>중소기업</t>
        </is>
      </c>
      <c r="L853" t="inlineStr">
        <is>
          <t>외부감사대상</t>
        </is>
      </c>
      <c r="M853" s="6" t="inlineStr">
        <is>
          <t>2011-01-28</t>
        </is>
      </c>
      <c r="N853" t="inlineStr">
        <is>
          <t>KRI:10G4641700</t>
        </is>
      </c>
      <c r="O853" t="inlineStr">
        <is>
          <t>의복 액세서리 및 모조 장신구 도매업</t>
        </is>
      </c>
      <c r="P853" t="inlineStr">
        <is>
          <t>섬유제품 도소매/수출입,수출입알선,대행</t>
        </is>
      </c>
      <c r="Q853" t="inlineStr">
        <is>
          <t>서울 강남구 도곡동 467-19번지 8층 814호</t>
        </is>
      </c>
      <c r="R853" t="inlineStr">
        <is>
          <t>서울 강남구 언주로30길 10, 8층 814호</t>
        </is>
      </c>
    </row>
    <row r="854">
      <c r="A854" t="inlineStr">
        <is>
          <t>NICE:H41737</t>
        </is>
      </c>
      <c r="B854" t="inlineStr">
        <is>
          <t>네이처이앤티경주</t>
        </is>
      </c>
      <c r="C854" t="inlineStr">
        <is>
          <t>배민수</t>
        </is>
      </c>
      <c r="D854" t="inlineStr">
        <is>
          <t>054-745-0400</t>
        </is>
      </c>
      <c r="E854" t="inlineStr">
        <is>
          <t>054-746-6336</t>
        </is>
      </c>
      <c r="G854" t="inlineStr">
        <is>
          <t>5058165282</t>
        </is>
      </c>
      <c r="H854" t="inlineStr">
        <is>
          <t>1701110422634</t>
        </is>
      </c>
      <c r="I854" t="inlineStr">
        <is>
          <t>대상아님</t>
        </is>
      </c>
      <c r="J854" t="inlineStr">
        <is>
          <t>일반법인</t>
        </is>
      </c>
      <c r="K854" t="inlineStr">
        <is>
          <t>중소기업</t>
        </is>
      </c>
      <c r="L854" t="inlineStr">
        <is>
          <t>외부감사대상</t>
        </is>
      </c>
      <c r="M854" s="6" t="inlineStr">
        <is>
          <t>2011-02-16</t>
        </is>
      </c>
      <c r="N854" t="inlineStr">
        <is>
          <t>KRI:10E3821000</t>
        </is>
      </c>
      <c r="O854" t="inlineStr">
        <is>
          <t>지정 외 폐기물 처리업</t>
        </is>
      </c>
      <c r="P854" t="inlineStr">
        <is>
          <t>산업폐기물 최종처리(매립)</t>
        </is>
      </c>
      <c r="Q854" t="inlineStr">
        <is>
          <t>경북 경주시 외동읍 구어리 1405번지</t>
        </is>
      </c>
      <c r="R854" t="inlineStr">
        <is>
          <t>경북 경주시 외동읍 구어2산단로1길 62</t>
        </is>
      </c>
    </row>
    <row r="855" ht="19.2" customHeight="1" s="1">
      <c r="A855" t="inlineStr">
        <is>
          <t>NICE:H41893</t>
        </is>
      </c>
      <c r="B855" t="inlineStr">
        <is>
          <t>지씨에스</t>
        </is>
      </c>
      <c r="C855" t="inlineStr">
        <is>
          <t>김창식</t>
        </is>
      </c>
      <c r="D855" t="inlineStr">
        <is>
          <t>031-698-2762</t>
        </is>
      </c>
      <c r="E855" t="inlineStr">
        <is>
          <t>031-698-2763</t>
        </is>
      </c>
      <c r="F855" s="3">
        <f>HYPERLINK("http://www.gcsbio.com", "http://www.gcsbio.com")</f>
        <v/>
      </c>
      <c r="G855" t="inlineStr">
        <is>
          <t>1058754103</t>
        </is>
      </c>
      <c r="H855" t="inlineStr">
        <is>
          <t>1101114536665</t>
        </is>
      </c>
      <c r="I855" t="inlineStr">
        <is>
          <t>대상아님</t>
        </is>
      </c>
      <c r="J855" t="inlineStr">
        <is>
          <t>일반법인</t>
        </is>
      </c>
      <c r="K855" t="inlineStr">
        <is>
          <t>중소기업</t>
        </is>
      </c>
      <c r="L855" t="inlineStr">
        <is>
          <t>외부감사대상</t>
        </is>
      </c>
      <c r="M855" s="6" t="inlineStr">
        <is>
          <t>2011-02-17</t>
        </is>
      </c>
      <c r="N855" t="inlineStr">
        <is>
          <t>KRI:10C2719900</t>
        </is>
      </c>
      <c r="O855" t="inlineStr">
        <is>
          <t>그 외 기타 의료용 기기 제조업</t>
        </is>
      </c>
      <c r="P855" t="inlineStr">
        <is>
          <t>의료기기 제조/화장품,의료기기 도소매,무역/부동산 임대/경영컨설팅</t>
        </is>
      </c>
      <c r="Q855" t="inlineStr">
        <is>
          <t>경기 성남시 중원구 상대원동 223-27번지 제3층 제에프 301호,302호,303호,304호,305호,306호,307호,308</t>
        </is>
      </c>
      <c r="R855" t="inlineStr">
        <is>
          <t>경기 성남시 중원구 사기막골로62번길 33, 제3층 제에프 301호,302호,303호,304호,305호,306호,307호,308</t>
        </is>
      </c>
    </row>
    <row r="856" ht="19.2" customHeight="1" s="1">
      <c r="A856" t="inlineStr">
        <is>
          <t>NICE:H43070</t>
        </is>
      </c>
      <c r="B856" t="inlineStr">
        <is>
          <t>우신라보타치</t>
        </is>
      </c>
      <c r="C856" t="inlineStr">
        <is>
          <t>남택수</t>
        </is>
      </c>
      <c r="D856" t="inlineStr">
        <is>
          <t>02-867-9849</t>
        </is>
      </c>
      <c r="E856" t="inlineStr">
        <is>
          <t>02-786-9850</t>
        </is>
      </c>
      <c r="F856" s="3">
        <f>HYPERLINK("http://www.wooshinmed.com", "http://www.wooshinmed.com")</f>
        <v/>
      </c>
      <c r="G856" t="inlineStr">
        <is>
          <t>1138649827</t>
        </is>
      </c>
      <c r="H856" t="inlineStr">
        <is>
          <t>1101114540905</t>
        </is>
      </c>
      <c r="I856" t="inlineStr">
        <is>
          <t>대상아님</t>
        </is>
      </c>
      <c r="J856" t="inlineStr">
        <is>
          <t>일반법인</t>
        </is>
      </c>
      <c r="K856" t="inlineStr">
        <is>
          <t>중소기업</t>
        </is>
      </c>
      <c r="L856" t="inlineStr">
        <is>
          <t>외부감사대상</t>
        </is>
      </c>
      <c r="M856" s="6" t="inlineStr">
        <is>
          <t>2011-02-22</t>
        </is>
      </c>
      <c r="N856" t="inlineStr">
        <is>
          <t>KRI:10G4644000</t>
        </is>
      </c>
      <c r="O856" t="inlineStr">
        <is>
          <t>의약품, 의료용품 및 화장품 도매업</t>
        </is>
      </c>
      <c r="P856" t="inlineStr">
        <is>
          <t>의약품,의료기기,의료장비,화장품,원료 도소매,제조,수출입/전자상거래/오파/의학,약학 연구개발</t>
        </is>
      </c>
      <c r="Q856" t="inlineStr">
        <is>
          <t>서울 구로구 구로동 212-8번지 대륭포스트타워1차 1907호</t>
        </is>
      </c>
      <c r="R856" t="inlineStr">
        <is>
          <t>서울 구로구 디지털로 288, 1907호 (구로동,대륭포스트타워1차)</t>
        </is>
      </c>
    </row>
    <row r="857" ht="19.2" customHeight="1" s="1">
      <c r="A857" t="inlineStr">
        <is>
          <t>NICE:H44581</t>
        </is>
      </c>
      <c r="B857" t="inlineStr">
        <is>
          <t>시노코페트로케미컬</t>
        </is>
      </c>
      <c r="C857" t="inlineStr">
        <is>
          <t>김남덕</t>
        </is>
      </c>
      <c r="D857" t="inlineStr">
        <is>
          <t>02-779-2279</t>
        </is>
      </c>
      <c r="E857" t="inlineStr">
        <is>
          <t>02-779-2477</t>
        </is>
      </c>
      <c r="F857" s="3">
        <f>HYPERLINK("http://www.sinokor.co.kr", "http://www.sinokor.co.kr")</f>
        <v/>
      </c>
      <c r="G857" t="inlineStr">
        <is>
          <t>1048633748</t>
        </is>
      </c>
      <c r="H857" t="inlineStr">
        <is>
          <t>1101114547034</t>
        </is>
      </c>
      <c r="I857" t="inlineStr">
        <is>
          <t>대상아님</t>
        </is>
      </c>
      <c r="J857" t="inlineStr">
        <is>
          <t>일반법인</t>
        </is>
      </c>
      <c r="K857" t="inlineStr">
        <is>
          <t>대기업</t>
        </is>
      </c>
      <c r="L857" t="inlineStr">
        <is>
          <t>외부감사대상</t>
        </is>
      </c>
      <c r="M857" s="6" t="inlineStr">
        <is>
          <t>2011-03-03</t>
        </is>
      </c>
      <c r="N857" t="inlineStr">
        <is>
          <t>KRI:10H5011200</t>
        </is>
      </c>
      <c r="O857" t="inlineStr">
        <is>
          <t>외항 화물 운송업</t>
        </is>
      </c>
      <c r="P857" t="inlineStr">
        <is>
          <t>국내외 해상운송</t>
        </is>
      </c>
      <c r="Q857" t="inlineStr">
        <is>
          <t>서울 중구 북창동 21번지 해남빌딩 10층</t>
        </is>
      </c>
      <c r="R857" t="inlineStr">
        <is>
          <t>서울 중구 세종대로 64, 10층 (북창동,해남빌딩)</t>
        </is>
      </c>
    </row>
    <row r="858" ht="19.2" customHeight="1" s="1">
      <c r="A858" t="inlineStr">
        <is>
          <t>NICE:H54728</t>
        </is>
      </c>
      <c r="B858" t="inlineStr">
        <is>
          <t>한주케미칼</t>
        </is>
      </c>
      <c r="C858" t="inlineStr">
        <is>
          <t>김동준</t>
        </is>
      </c>
      <c r="D858" t="inlineStr">
        <is>
          <t>031-357-5601</t>
        </is>
      </c>
      <c r="E858" t="inlineStr">
        <is>
          <t>031-357-5603</t>
        </is>
      </c>
      <c r="F858" s="3">
        <f>HYPERLINK("http://www.hanjufire.com", "http://www.hanjufire.com")</f>
        <v/>
      </c>
      <c r="G858" t="inlineStr">
        <is>
          <t>1248713030</t>
        </is>
      </c>
      <c r="H858" t="inlineStr">
        <is>
          <t>1348110215716</t>
        </is>
      </c>
      <c r="I858" t="inlineStr">
        <is>
          <t>대상아님</t>
        </is>
      </c>
      <c r="J858" t="inlineStr">
        <is>
          <t>일반법인</t>
        </is>
      </c>
      <c r="K858" t="inlineStr">
        <is>
          <t>중소기업</t>
        </is>
      </c>
      <c r="L858" t="inlineStr">
        <is>
          <t>외부감사대상</t>
        </is>
      </c>
      <c r="M858" s="6" t="inlineStr">
        <is>
          <t>2011-04-22</t>
        </is>
      </c>
      <c r="N858" t="inlineStr">
        <is>
          <t>KRI:10C2919300</t>
        </is>
      </c>
      <c r="O858" t="inlineStr">
        <is>
          <t>분사기 및 소화기 제조업</t>
        </is>
      </c>
      <c r="P858" t="inlineStr">
        <is>
          <t>소화기,소방설비,하론가스,소화가스,냉매가스 제조/창고</t>
        </is>
      </c>
      <c r="Q858" t="inlineStr">
        <is>
          <t>경기 화성시 만세구 남양읍 남양리 1027-4번지</t>
        </is>
      </c>
      <c r="R858" t="inlineStr">
        <is>
          <t>경기 화성시 만세구 남양읍 쌍송북로 52-18</t>
        </is>
      </c>
    </row>
    <row r="859">
      <c r="A859" t="inlineStr">
        <is>
          <t>NICE:H54992</t>
        </is>
      </c>
      <c r="B859" t="inlineStr">
        <is>
          <t>씨앤디마이크로</t>
        </is>
      </c>
      <c r="C859" t="inlineStr">
        <is>
          <t>소호성</t>
        </is>
      </c>
      <c r="D859" t="inlineStr">
        <is>
          <t>070-8250-4445</t>
        </is>
      </c>
      <c r="E859" t="inlineStr">
        <is>
          <t>031-495-5233</t>
        </is>
      </c>
      <c r="G859" t="inlineStr">
        <is>
          <t>1228616335</t>
        </is>
      </c>
      <c r="H859" t="inlineStr">
        <is>
          <t>1201110566375</t>
        </is>
      </c>
      <c r="I859" t="inlineStr">
        <is>
          <t>대상아님</t>
        </is>
      </c>
      <c r="J859" t="inlineStr">
        <is>
          <t>일반법인</t>
        </is>
      </c>
      <c r="K859" t="inlineStr">
        <is>
          <t>중소기업</t>
        </is>
      </c>
      <c r="L859" t="inlineStr">
        <is>
          <t>외부감사대상</t>
        </is>
      </c>
      <c r="M859" s="6" t="inlineStr">
        <is>
          <t>2011-04-22</t>
        </is>
      </c>
      <c r="N859" t="inlineStr">
        <is>
          <t>KRI:10C2629900</t>
        </is>
      </c>
      <c r="O859" t="inlineStr">
        <is>
          <t>그 외 기타 전자부품 제조업</t>
        </is>
      </c>
      <c r="P859" t="inlineStr">
        <is>
          <t>전자제품,통신기기 제조/IT관련기기 무역/애플리케이션 구축관리</t>
        </is>
      </c>
      <c r="Q859" t="inlineStr">
        <is>
          <t>경기 안산시 단원구 초지동 649-4번지 가동 4층</t>
        </is>
      </c>
      <c r="R859" t="inlineStr">
        <is>
          <t>경기 안산시 단원구 별망로 599, 가동 4층</t>
        </is>
      </c>
    </row>
    <row r="860" ht="19.2" customHeight="1" s="1">
      <c r="A860" t="inlineStr">
        <is>
          <t>NICE:H58715</t>
        </is>
      </c>
      <c r="B860" t="inlineStr">
        <is>
          <t>써모스코리아</t>
        </is>
      </c>
      <c r="C860" t="inlineStr">
        <is>
          <t>스즈키유이치로</t>
        </is>
      </c>
      <c r="D860" t="inlineStr">
        <is>
          <t>1577-8396</t>
        </is>
      </c>
      <c r="E860" t="inlineStr">
        <is>
          <t>02-3272-9957</t>
        </is>
      </c>
      <c r="F860" s="3">
        <f>HYPERLINK("http://www.thermos.kr", "http://www.thermos.kr")</f>
        <v/>
      </c>
      <c r="G860" t="inlineStr">
        <is>
          <t>1058757624</t>
        </is>
      </c>
      <c r="H860" t="inlineStr">
        <is>
          <t>1101114602276</t>
        </is>
      </c>
      <c r="I860" t="inlineStr">
        <is>
          <t>대상아님</t>
        </is>
      </c>
      <c r="J860" t="inlineStr">
        <is>
          <t>일반법인</t>
        </is>
      </c>
      <c r="K860" t="inlineStr">
        <is>
          <t>중소기업</t>
        </is>
      </c>
      <c r="L860" t="inlineStr">
        <is>
          <t>외부감사대상</t>
        </is>
      </c>
      <c r="M860" s="6" t="inlineStr">
        <is>
          <t>2011-05-16</t>
        </is>
      </c>
      <c r="N860" t="inlineStr">
        <is>
          <t>KRI:10G4680000</t>
        </is>
      </c>
      <c r="O860" t="inlineStr">
        <is>
          <t>상품 종합 도매업</t>
        </is>
      </c>
      <c r="P860" t="inlineStr">
        <is>
          <t>무역(보온병,도시락)</t>
        </is>
      </c>
      <c r="Q860" t="inlineStr">
        <is>
          <t>서울 영등포구 여의도동 28-1번지 전국경제인연합회관 22층</t>
        </is>
      </c>
      <c r="R860" t="inlineStr">
        <is>
          <t>서울 영등포구 여의대로 24, 22층 (여의도동,전국경제인연합회관)</t>
        </is>
      </c>
    </row>
    <row r="861" ht="19.2" customHeight="1" s="1">
      <c r="A861" t="inlineStr">
        <is>
          <t>NICE:H60832</t>
        </is>
      </c>
      <c r="B861" t="inlineStr">
        <is>
          <t>호텔아이시시</t>
        </is>
      </c>
      <c r="C861" t="inlineStr">
        <is>
          <t>김은주</t>
        </is>
      </c>
      <c r="D861" t="inlineStr">
        <is>
          <t>042-866-5000</t>
        </is>
      </c>
      <c r="E861" t="inlineStr">
        <is>
          <t>042-866-5005</t>
        </is>
      </c>
      <c r="F861" s="3">
        <f>HYPERLINK("http://www.hotelicc.com", "http://www.hotelicc.com")</f>
        <v/>
      </c>
      <c r="G861" t="inlineStr">
        <is>
          <t>3148625054</t>
        </is>
      </c>
      <c r="H861" t="inlineStr">
        <is>
          <t>1601110300262</t>
        </is>
      </c>
      <c r="I861" t="inlineStr">
        <is>
          <t>대상아님</t>
        </is>
      </c>
      <c r="J861" t="inlineStr">
        <is>
          <t>일반법인</t>
        </is>
      </c>
      <c r="K861" t="inlineStr">
        <is>
          <t>중소기업</t>
        </is>
      </c>
      <c r="L861" t="inlineStr">
        <is>
          <t>외부감사대상</t>
        </is>
      </c>
      <c r="M861" s="6" t="inlineStr">
        <is>
          <t>2011-05-26</t>
        </is>
      </c>
      <c r="N861" t="inlineStr">
        <is>
          <t>KRI:10I5510100</t>
        </is>
      </c>
      <c r="O861" t="inlineStr">
        <is>
          <t>호텔업</t>
        </is>
      </c>
      <c r="P861" t="inlineStr">
        <is>
          <t>관광호텔/예식장,사진촬영/부동산 임대</t>
        </is>
      </c>
      <c r="Q861" t="inlineStr">
        <is>
          <t>대전 유성구 도룡동 4-29번지</t>
        </is>
      </c>
      <c r="R861" t="inlineStr">
        <is>
          <t>대전 유성구 엑스포로123번길 55</t>
        </is>
      </c>
    </row>
    <row r="862" ht="19.2" customHeight="1" s="1">
      <c r="A862" t="inlineStr">
        <is>
          <t>NICE:H63339</t>
        </is>
      </c>
      <c r="B862" t="inlineStr">
        <is>
          <t>블리스오가</t>
        </is>
      </c>
      <c r="C862" t="inlineStr">
        <is>
          <t>김상현/조남웅</t>
        </is>
      </c>
      <c r="D862" t="inlineStr">
        <is>
          <t>070-8236-1388</t>
        </is>
      </c>
      <c r="E862" t="inlineStr">
        <is>
          <t>070-8236-1355</t>
        </is>
      </c>
      <c r="F862" s="3">
        <f>HYPERLINK("http://www.bliss-oga.com", "http://www.bliss-oga.com")</f>
        <v/>
      </c>
      <c r="G862" t="inlineStr">
        <is>
          <t>1138649579</t>
        </is>
      </c>
      <c r="H862" t="inlineStr">
        <is>
          <t>1101114619627</t>
        </is>
      </c>
      <c r="I862" t="inlineStr">
        <is>
          <t>대상아님</t>
        </is>
      </c>
      <c r="J862" t="inlineStr">
        <is>
          <t>일반법인</t>
        </is>
      </c>
      <c r="K862" t="inlineStr">
        <is>
          <t>중소기업</t>
        </is>
      </c>
      <c r="L862" t="inlineStr">
        <is>
          <t>외부감사대상</t>
        </is>
      </c>
      <c r="M862" s="6" t="inlineStr">
        <is>
          <t>2011-06-08</t>
        </is>
      </c>
      <c r="N862" t="inlineStr">
        <is>
          <t>KRI:10G4644300</t>
        </is>
      </c>
      <c r="O862" t="inlineStr">
        <is>
          <t>화장품 및 화장용품 도매업</t>
        </is>
      </c>
      <c r="P862" t="inlineStr">
        <is>
          <t>화장품,건강기능식품(인삼,홍삼),생활용품,식품 도소매</t>
        </is>
      </c>
      <c r="Q862" t="inlineStr">
        <is>
          <t>서울 송파구 방이동 108번지 웅산빌딩 7층, 8층</t>
        </is>
      </c>
      <c r="R862" t="inlineStr">
        <is>
          <t>서울 송파구 백제고분로 463, 7층, 8층 (방이동,웅산빌딩)</t>
        </is>
      </c>
    </row>
    <row r="863" ht="19.2" customHeight="1" s="1">
      <c r="A863" t="inlineStr">
        <is>
          <t>NICE:H67540</t>
        </is>
      </c>
      <c r="B863" t="inlineStr">
        <is>
          <t>듀폰스페셜티솔루션스코리아</t>
        </is>
      </c>
      <c r="C863" t="inlineStr">
        <is>
          <t>양승관</t>
        </is>
      </c>
      <c r="D863" t="inlineStr">
        <is>
          <t>02-2222-5200</t>
        </is>
      </c>
      <c r="E863" t="inlineStr">
        <is>
          <t>02-2222-5489</t>
        </is>
      </c>
      <c r="F863" s="3">
        <f>HYPERLINK("http://www.dupont.co.kr", "http://www.dupont.co.kr")</f>
        <v/>
      </c>
      <c r="G863" t="inlineStr">
        <is>
          <t>3128629073</t>
        </is>
      </c>
      <c r="H863" t="inlineStr">
        <is>
          <t>1615140002029</t>
        </is>
      </c>
      <c r="I863" t="inlineStr">
        <is>
          <t>대상아님</t>
        </is>
      </c>
      <c r="J863" t="inlineStr">
        <is>
          <t>일반법인</t>
        </is>
      </c>
      <c r="K863" t="inlineStr">
        <is>
          <t>중소기업</t>
        </is>
      </c>
      <c r="L863" t="inlineStr">
        <is>
          <t>외부감사대상</t>
        </is>
      </c>
      <c r="M863" s="6" t="inlineStr">
        <is>
          <t>2011-06-24</t>
        </is>
      </c>
      <c r="N863" t="inlineStr">
        <is>
          <t>KRI:10C2049100</t>
        </is>
      </c>
      <c r="O863" t="inlineStr">
        <is>
          <t>감광재료 및 관련 화학제품 제조업</t>
        </is>
      </c>
      <c r="P863" t="inlineStr">
        <is>
          <t>사진용화합물,감광재료 제조</t>
        </is>
      </c>
      <c r="Q863" t="inlineStr">
        <is>
          <t>충남 천안시 서북구 차암동 424번지</t>
        </is>
      </c>
      <c r="R863" t="inlineStr">
        <is>
          <t>충남 천안시 서북구 3공단6로 110</t>
        </is>
      </c>
    </row>
    <row r="864">
      <c r="A864" t="inlineStr">
        <is>
          <t>NICE:H67566</t>
        </is>
      </c>
      <c r="B864" t="inlineStr">
        <is>
          <t>스카이비</t>
        </is>
      </c>
      <c r="C864" t="inlineStr">
        <is>
          <t>이순옥</t>
        </is>
      </c>
      <c r="D864" t="inlineStr">
        <is>
          <t>031-508-0071</t>
        </is>
      </c>
      <c r="G864" t="inlineStr">
        <is>
          <t>1408154292</t>
        </is>
      </c>
      <c r="H864" t="inlineStr">
        <is>
          <t>1355110225968</t>
        </is>
      </c>
      <c r="I864" t="inlineStr">
        <is>
          <t>대상아님</t>
        </is>
      </c>
      <c r="J864" t="inlineStr">
        <is>
          <t>일반법인</t>
        </is>
      </c>
      <c r="K864" t="inlineStr">
        <is>
          <t>중소기업</t>
        </is>
      </c>
      <c r="L864" t="inlineStr">
        <is>
          <t>외부감사대상</t>
        </is>
      </c>
      <c r="M864" s="6" t="inlineStr">
        <is>
          <t>2011-06-27</t>
        </is>
      </c>
      <c r="N864" t="inlineStr">
        <is>
          <t>KRI:10G4771200</t>
        </is>
      </c>
      <c r="O864" t="inlineStr">
        <is>
          <t>운송장비용 가스 충전업</t>
        </is>
      </c>
      <c r="P864" t="inlineStr">
        <is>
          <t>차량용 가스충전업,수소충전업</t>
        </is>
      </c>
      <c r="Q864" t="inlineStr">
        <is>
          <t>경기 시흥시 정왕동 2211-1번지</t>
        </is>
      </c>
      <c r="R864" t="inlineStr">
        <is>
          <t>경기 시흥시 서해안로 81-30</t>
        </is>
      </c>
    </row>
    <row r="865">
      <c r="A865" t="inlineStr">
        <is>
          <t>NICE:H68173</t>
        </is>
      </c>
      <c r="B865" t="inlineStr">
        <is>
          <t>두원산업</t>
        </is>
      </c>
      <c r="C865" t="inlineStr">
        <is>
          <t>박선천</t>
        </is>
      </c>
      <c r="D865" t="inlineStr">
        <is>
          <t>061-751-6077</t>
        </is>
      </c>
      <c r="E865" t="inlineStr">
        <is>
          <t>061-751-6078</t>
        </is>
      </c>
      <c r="G865" t="inlineStr">
        <is>
          <t>4168178847</t>
        </is>
      </c>
      <c r="H865" t="inlineStr">
        <is>
          <t>2013110046507</t>
        </is>
      </c>
      <c r="I865" t="inlineStr">
        <is>
          <t>대상아님</t>
        </is>
      </c>
      <c r="J865" t="inlineStr">
        <is>
          <t>일반법인</t>
        </is>
      </c>
      <c r="K865" t="inlineStr">
        <is>
          <t>중소기업</t>
        </is>
      </c>
      <c r="L865" t="inlineStr">
        <is>
          <t>외부감사대상</t>
        </is>
      </c>
      <c r="M865" s="6" t="inlineStr">
        <is>
          <t>2011-06-30</t>
        </is>
      </c>
      <c r="N865" t="inlineStr">
        <is>
          <t>KRI:10C2399900</t>
        </is>
      </c>
      <c r="O865" t="inlineStr">
        <is>
          <t>그 외 기타 분류 안된 비금속 광물제품 제조업</t>
        </is>
      </c>
      <c r="P865" t="inlineStr">
        <is>
          <t>육상,산림골재채취,비금속광물분쇄/레미콘 제조/트레일러,세미트레일러,특수화물자동차 운송/폐기물 종합재활용</t>
        </is>
      </c>
      <c r="Q865" t="inlineStr">
        <is>
          <t>전남 순천시 해룡면 호두리 1200-1번지</t>
        </is>
      </c>
      <c r="R865" t="inlineStr">
        <is>
          <t>전남 순천시 해룡면 해룡산단3로 101</t>
        </is>
      </c>
    </row>
    <row r="866">
      <c r="A866" t="inlineStr">
        <is>
          <t>NICE:H73167</t>
        </is>
      </c>
      <c r="B866" t="inlineStr">
        <is>
          <t>에스비아이에이에프</t>
        </is>
      </c>
      <c r="C866" t="inlineStr">
        <is>
          <t>고지은</t>
        </is>
      </c>
      <c r="D866" t="inlineStr">
        <is>
          <t>02-3416-4083</t>
        </is>
      </c>
      <c r="E866" t="inlineStr">
        <is>
          <t>02-2136-0428</t>
        </is>
      </c>
      <c r="G866" t="inlineStr">
        <is>
          <t>1208772115</t>
        </is>
      </c>
      <c r="H866" t="inlineStr">
        <is>
          <t>1101114654524</t>
        </is>
      </c>
      <c r="I866" t="inlineStr">
        <is>
          <t>대상아님</t>
        </is>
      </c>
      <c r="J866" t="inlineStr">
        <is>
          <t>일반법인</t>
        </is>
      </c>
      <c r="K866" t="inlineStr">
        <is>
          <t>중소기업</t>
        </is>
      </c>
      <c r="L866" t="inlineStr">
        <is>
          <t>외부감사대상</t>
        </is>
      </c>
      <c r="M866" s="6" t="inlineStr">
        <is>
          <t>2011-07-22</t>
        </is>
      </c>
      <c r="N866" t="inlineStr">
        <is>
          <t>KRI:10M7153100</t>
        </is>
      </c>
      <c r="O866" t="inlineStr">
        <is>
          <t>경영 컨설팅업</t>
        </is>
      </c>
      <c r="P866" t="inlineStr">
        <is>
          <t>경영 컨설팅</t>
        </is>
      </c>
      <c r="Q866" t="inlineStr">
        <is>
          <t>서울 중구 수하동 67번지 미래에셋센터원빌딩 동관 9층</t>
        </is>
      </c>
      <c r="R866" t="inlineStr">
        <is>
          <t>서울 중구 을지로5길 26, 동관 9층 (수하동,미래에셋센터원빌딩)</t>
        </is>
      </c>
    </row>
    <row r="867">
      <c r="A867" t="inlineStr">
        <is>
          <t>NICE:H74676</t>
        </is>
      </c>
      <c r="B867" t="inlineStr">
        <is>
          <t>서울복합물류프로젝트금융투자</t>
        </is>
      </c>
      <c r="C867" t="inlineStr">
        <is>
          <t>강영철/전태준</t>
        </is>
      </c>
      <c r="D867" t="inlineStr">
        <is>
          <t>02-2160-4015</t>
        </is>
      </c>
      <c r="E867" t="inlineStr">
        <is>
          <t>02-2160-4050</t>
        </is>
      </c>
      <c r="G867" t="inlineStr">
        <is>
          <t>2158756903</t>
        </is>
      </c>
      <c r="H867" t="inlineStr">
        <is>
          <t>1101114660232</t>
        </is>
      </c>
      <c r="I867" t="inlineStr">
        <is>
          <t>대상아님</t>
        </is>
      </c>
      <c r="J867" t="inlineStr">
        <is>
          <t>일반법인</t>
        </is>
      </c>
      <c r="K867" t="inlineStr">
        <is>
          <t>대기업</t>
        </is>
      </c>
      <c r="L867" t="inlineStr">
        <is>
          <t>외부감사대상</t>
        </is>
      </c>
      <c r="M867" s="6" t="inlineStr">
        <is>
          <t>2011-08-01</t>
        </is>
      </c>
      <c r="N867" t="inlineStr">
        <is>
          <t>KRI:10L6811200</t>
        </is>
      </c>
      <c r="O867" t="inlineStr">
        <is>
          <t>비주거용 건물 임대업</t>
        </is>
      </c>
      <c r="P867" t="inlineStr">
        <is>
          <t>부동산 임대,개발,공급/프로젝트금융투자회사</t>
        </is>
      </c>
      <c r="Q867" t="inlineStr">
        <is>
          <t>서울 송파구 장지동 875번지 A동 7층 02호</t>
        </is>
      </c>
      <c r="R867" t="inlineStr">
        <is>
          <t>서울 송파구 송파대로 55, A동 7층 02호</t>
        </is>
      </c>
    </row>
    <row r="868" ht="19.2" customHeight="1" s="1">
      <c r="A868" t="inlineStr">
        <is>
          <t>NICE:H74944</t>
        </is>
      </c>
      <c r="B868" t="inlineStr">
        <is>
          <t>케이씨씨홀딩스</t>
        </is>
      </c>
      <c r="C868" t="inlineStr">
        <is>
          <t>김용배/이상현</t>
        </is>
      </c>
      <c r="D868" t="inlineStr">
        <is>
          <t>02-6090-7860</t>
        </is>
      </c>
      <c r="E868" t="inlineStr">
        <is>
          <t>02-6090-7850</t>
        </is>
      </c>
      <c r="F868" s="3">
        <f>HYPERLINK("http://www.kcc.co.kr", "http://www.kcc.co.kr")</f>
        <v/>
      </c>
      <c r="G868" t="inlineStr">
        <is>
          <t>1068680664</t>
        </is>
      </c>
      <c r="H868" t="inlineStr">
        <is>
          <t>1101114660985</t>
        </is>
      </c>
      <c r="I868" t="inlineStr">
        <is>
          <t>대상아님</t>
        </is>
      </c>
      <c r="J868" t="inlineStr">
        <is>
          <t>일반법인</t>
        </is>
      </c>
      <c r="K868" t="inlineStr">
        <is>
          <t>중소기업</t>
        </is>
      </c>
      <c r="L868" t="inlineStr">
        <is>
          <t>외부감사대상</t>
        </is>
      </c>
      <c r="M868" s="6" t="inlineStr">
        <is>
          <t>2011-08-02</t>
        </is>
      </c>
      <c r="N868" t="inlineStr">
        <is>
          <t>KRI:10K6499200</t>
        </is>
      </c>
      <c r="O868" t="inlineStr">
        <is>
          <t>지주회사</t>
        </is>
      </c>
      <c r="P868" t="inlineStr">
        <is>
          <t>비금융지주회사/부동산 임대</t>
        </is>
      </c>
      <c r="Q868" t="inlineStr">
        <is>
          <t>서울 강서구 염창동 260-4번지 케이씨씨오토타워</t>
        </is>
      </c>
      <c r="R868" t="inlineStr">
        <is>
          <t>서울 강서구 공항대로 665 (염창동,케이씨씨오토타워)</t>
        </is>
      </c>
    </row>
    <row r="869" ht="19.2" customHeight="1" s="1">
      <c r="A869" t="inlineStr">
        <is>
          <t>NICE:H76297</t>
        </is>
      </c>
      <c r="B869" t="inlineStr">
        <is>
          <t>지에스동해전력</t>
        </is>
      </c>
      <c r="C869" t="inlineStr">
        <is>
          <t>백윤현</t>
        </is>
      </c>
      <c r="D869" t="inlineStr">
        <is>
          <t>033-820-1238</t>
        </is>
      </c>
      <c r="E869" t="inlineStr">
        <is>
          <t>033-820-1595</t>
        </is>
      </c>
      <c r="F869" s="3">
        <f>HYPERLINK("http://www.gsdep.com", "http://www.gsdep.com")</f>
        <v/>
      </c>
      <c r="G869" t="inlineStr">
        <is>
          <t>2228127078</t>
        </is>
      </c>
      <c r="H869" t="inlineStr">
        <is>
          <t>1447110019225</t>
        </is>
      </c>
      <c r="I869" t="inlineStr">
        <is>
          <t>대상아님</t>
        </is>
      </c>
      <c r="J869" t="inlineStr">
        <is>
          <t>일반법인</t>
        </is>
      </c>
      <c r="K869" t="inlineStr">
        <is>
          <t>대기업</t>
        </is>
      </c>
      <c r="L869" t="inlineStr">
        <is>
          <t>외부감사대상</t>
        </is>
      </c>
      <c r="M869" s="6" t="inlineStr">
        <is>
          <t>2011-08-09</t>
        </is>
      </c>
      <c r="N869" t="inlineStr">
        <is>
          <t>KRI:10D3511300</t>
        </is>
      </c>
      <c r="O869" t="inlineStr">
        <is>
          <t>화력 발전업</t>
        </is>
      </c>
      <c r="P869" t="inlineStr">
        <is>
          <t>화력 발전</t>
        </is>
      </c>
      <c r="Q869" t="inlineStr">
        <is>
          <t>강원 동해시 구호동 246번지</t>
        </is>
      </c>
      <c r="R869" t="inlineStr">
        <is>
          <t>강원 동해시 공단4로 36</t>
        </is>
      </c>
    </row>
    <row r="870" ht="19.2" customHeight="1" s="1">
      <c r="A870" t="inlineStr">
        <is>
          <t>NICE:H78737</t>
        </is>
      </c>
      <c r="B870" t="inlineStr">
        <is>
          <t>삼척블루파워</t>
        </is>
      </c>
      <c r="C870" t="inlineStr">
        <is>
          <t>강규봉</t>
        </is>
      </c>
      <c r="D870" t="inlineStr">
        <is>
          <t>033-570-0713</t>
        </is>
      </c>
      <c r="E870" t="inlineStr">
        <is>
          <t>033-575-2406</t>
        </is>
      </c>
      <c r="F870" s="3">
        <f>HYPERLINK("http://www.scpower.kr", "http://www.scpower.kr")</f>
        <v/>
      </c>
      <c r="G870" t="inlineStr">
        <is>
          <t>1018667540</t>
        </is>
      </c>
      <c r="H870" t="inlineStr">
        <is>
          <t>1101114722438</t>
        </is>
      </c>
      <c r="I870" t="inlineStr">
        <is>
          <t>대상아님</t>
        </is>
      </c>
      <c r="J870" t="inlineStr">
        <is>
          <t>일반법인</t>
        </is>
      </c>
      <c r="K870" t="inlineStr">
        <is>
          <t>대기업</t>
        </is>
      </c>
      <c r="L870" t="inlineStr">
        <is>
          <t>외부감사대상</t>
        </is>
      </c>
      <c r="M870" s="6" t="inlineStr">
        <is>
          <t>2011-11-04</t>
        </is>
      </c>
      <c r="N870" t="inlineStr">
        <is>
          <t>KRI:10D3511300</t>
        </is>
      </c>
      <c r="O870" t="inlineStr">
        <is>
          <t>화력 발전업</t>
        </is>
      </c>
      <c r="P870" t="inlineStr">
        <is>
          <t>화력 발전</t>
        </is>
      </c>
      <c r="Q870" t="inlineStr">
        <is>
          <t>강원 삼척시 적노동 산29-3번지</t>
        </is>
      </c>
      <c r="R870" t="inlineStr">
        <is>
          <t>강원 삼척시 박걸남로 906</t>
        </is>
      </c>
    </row>
    <row r="871" ht="19.2" customHeight="1" s="1">
      <c r="A871" t="inlineStr">
        <is>
          <t>NICE:H79512</t>
        </is>
      </c>
      <c r="B871" t="inlineStr">
        <is>
          <t>지에스에너지</t>
        </is>
      </c>
      <c r="C871" t="inlineStr">
        <is>
          <t>허용수</t>
        </is>
      </c>
      <c r="D871" t="inlineStr">
        <is>
          <t>02-2005-0800</t>
        </is>
      </c>
      <c r="E871" t="inlineStr">
        <is>
          <t>02-2051-6262</t>
        </is>
      </c>
      <c r="F871" s="3">
        <f>HYPERLINK("http://www.gsenergy.co.kr", "http://www.gsenergy.co.kr")</f>
        <v/>
      </c>
      <c r="G871" t="inlineStr">
        <is>
          <t>2208829313</t>
        </is>
      </c>
      <c r="H871" t="inlineStr">
        <is>
          <t>1101114765412</t>
        </is>
      </c>
      <c r="I871" t="inlineStr">
        <is>
          <t>대상아님</t>
        </is>
      </c>
      <c r="J871" t="inlineStr">
        <is>
          <t>일반법인</t>
        </is>
      </c>
      <c r="K871" t="inlineStr">
        <is>
          <t>대기업</t>
        </is>
      </c>
      <c r="L871" t="inlineStr">
        <is>
          <t>외부감사대상</t>
        </is>
      </c>
      <c r="M871" s="6" t="inlineStr">
        <is>
          <t>2012-01-03</t>
        </is>
      </c>
      <c r="N871" t="inlineStr">
        <is>
          <t>KRI:10K6499200</t>
        </is>
      </c>
      <c r="O871" t="inlineStr">
        <is>
          <t>지주회사</t>
        </is>
      </c>
      <c r="P871" t="inlineStr">
        <is>
          <t>지주회사/가스,석유화학계기초화학물질 제조,공급/원유,천연가스 채굴/부동산 임대</t>
        </is>
      </c>
      <c r="Q871" t="inlineStr">
        <is>
          <t>서울 강남구 역삼동 679번지</t>
        </is>
      </c>
      <c r="R871" t="inlineStr">
        <is>
          <t>서울 강남구 논현로 508</t>
        </is>
      </c>
    </row>
    <row r="872">
      <c r="A872" t="inlineStr">
        <is>
          <t>NICE:H79999</t>
        </is>
      </c>
      <c r="B872" t="inlineStr">
        <is>
          <t>대원에스디</t>
        </is>
      </c>
      <c r="C872" t="inlineStr">
        <is>
          <t>신재호</t>
        </is>
      </c>
      <c r="D872" t="inlineStr">
        <is>
          <t>053-581-4438</t>
        </is>
      </c>
      <c r="E872" t="inlineStr">
        <is>
          <t>053-581-4439</t>
        </is>
      </c>
      <c r="G872" t="inlineStr">
        <is>
          <t>5038196305</t>
        </is>
      </c>
      <c r="H872" t="inlineStr">
        <is>
          <t>1701110440272</t>
        </is>
      </c>
      <c r="I872" t="inlineStr">
        <is>
          <t>대상아님</t>
        </is>
      </c>
      <c r="J872" t="inlineStr">
        <is>
          <t>일반법인</t>
        </is>
      </c>
      <c r="K872" t="inlineStr">
        <is>
          <t>중소기업</t>
        </is>
      </c>
      <c r="L872" t="inlineStr">
        <is>
          <t>외부감사대상</t>
        </is>
      </c>
      <c r="M872" s="6" t="inlineStr">
        <is>
          <t>2011-09-29</t>
        </is>
      </c>
      <c r="N872" t="inlineStr">
        <is>
          <t>KRI:10C2721600</t>
        </is>
      </c>
      <c r="O872" t="inlineStr">
        <is>
          <t>산업처리공정 제어장비 제조업</t>
        </is>
      </c>
      <c r="P872" t="inlineStr">
        <is>
          <t>산업처리공정 제어장비,특수목적용기계,산업용로봇 제조</t>
        </is>
      </c>
      <c r="Q872" t="inlineStr">
        <is>
          <t>대구 달성군 다사읍 세천리 1670-7번지</t>
        </is>
      </c>
      <c r="R872" t="inlineStr">
        <is>
          <t>대구 달성군 다사읍 세천로1길 88</t>
        </is>
      </c>
    </row>
    <row r="873" ht="19.2" customHeight="1" s="1">
      <c r="A873" t="inlineStr">
        <is>
          <t>NICE:H80951</t>
        </is>
      </c>
      <c r="B873" t="inlineStr">
        <is>
          <t>현대오일터미널</t>
        </is>
      </c>
      <c r="C873" t="inlineStr">
        <is>
          <t>신동화</t>
        </is>
      </c>
      <c r="D873" t="inlineStr">
        <is>
          <t>052-240-7900</t>
        </is>
      </c>
      <c r="E873" t="inlineStr">
        <is>
          <t>052-240-7999</t>
        </is>
      </c>
      <c r="F873" s="3">
        <f>HYPERLINK("http://www.oilterminal.co.kr", "http://www.oilterminal.co.kr")</f>
        <v/>
      </c>
      <c r="G873" t="inlineStr">
        <is>
          <t>6108612495</t>
        </is>
      </c>
      <c r="H873" t="inlineStr">
        <is>
          <t>2301110188027</t>
        </is>
      </c>
      <c r="I873" t="inlineStr">
        <is>
          <t>대상아님</t>
        </is>
      </c>
      <c r="J873" t="inlineStr">
        <is>
          <t>일반법인</t>
        </is>
      </c>
      <c r="K873" t="inlineStr">
        <is>
          <t>중소기업</t>
        </is>
      </c>
      <c r="L873" t="inlineStr">
        <is>
          <t>외부감사대상</t>
        </is>
      </c>
      <c r="M873" s="6" t="inlineStr">
        <is>
          <t>2012-02-14</t>
        </is>
      </c>
      <c r="N873" t="inlineStr">
        <is>
          <t>KRI:10H5210400</t>
        </is>
      </c>
      <c r="O873" t="inlineStr">
        <is>
          <t>위험물품 보관업</t>
        </is>
      </c>
      <c r="P873" t="inlineStr">
        <is>
          <t>석유,석유화학제품 보관,도소매</t>
        </is>
      </c>
      <c r="Q873" t="inlineStr">
        <is>
          <t>울산 울주군 온산읍 산암리 978번지</t>
        </is>
      </c>
      <c r="R873" t="inlineStr">
        <is>
          <t>울산 울주군 온산읍 산암로 311-96</t>
        </is>
      </c>
    </row>
    <row r="874" ht="19.2" customHeight="1" s="1">
      <c r="A874" t="inlineStr">
        <is>
          <t>NICE:H81093</t>
        </is>
      </c>
      <c r="B874" t="inlineStr">
        <is>
          <t>대호스토퍼</t>
        </is>
      </c>
      <c r="C874" t="inlineStr">
        <is>
          <t>이영호</t>
        </is>
      </c>
      <c r="D874" t="inlineStr">
        <is>
          <t>031-496-9488</t>
        </is>
      </c>
      <c r="E874" t="inlineStr">
        <is>
          <t>031-496-9349</t>
        </is>
      </c>
      <c r="F874" s="3">
        <f>HYPERLINK("http://www.hottap.kr", "http://www.hottap.kr")</f>
        <v/>
      </c>
      <c r="G874" t="inlineStr">
        <is>
          <t>1408134127</t>
        </is>
      </c>
      <c r="H874" t="inlineStr">
        <is>
          <t>1355110198115</t>
        </is>
      </c>
      <c r="I874" t="inlineStr">
        <is>
          <t>대상아님</t>
        </is>
      </c>
      <c r="J874" t="inlineStr">
        <is>
          <t>일반법인</t>
        </is>
      </c>
      <c r="K874" t="inlineStr">
        <is>
          <t>중소기업</t>
        </is>
      </c>
      <c r="L874" t="inlineStr">
        <is>
          <t>외부감사대상</t>
        </is>
      </c>
      <c r="M874" s="6" t="inlineStr">
        <is>
          <t>2009-02-20</t>
        </is>
      </c>
      <c r="N874" t="inlineStr">
        <is>
          <t>KRI:10F4122900</t>
        </is>
      </c>
      <c r="O874" t="inlineStr">
        <is>
          <t>기타 토목시설물 건설업</t>
        </is>
      </c>
      <c r="P874" t="inlineStr">
        <is>
          <t>상하수도설비공사,기계설비공사,토공사,가스시설공사/밸브,파이프부품 제조/부동산 임대/기계장비 임대</t>
        </is>
      </c>
      <c r="Q874" t="inlineStr">
        <is>
          <t>경기 안산시 상록구 팔곡일동 89번지</t>
        </is>
      </c>
      <c r="R874" t="inlineStr">
        <is>
          <t>경기 안산시 상록구 남산평길 126-4</t>
        </is>
      </c>
    </row>
    <row r="875">
      <c r="A875" t="inlineStr">
        <is>
          <t>NICE:H81580</t>
        </is>
      </c>
      <c r="B875" t="inlineStr">
        <is>
          <t>신진테크</t>
        </is>
      </c>
      <c r="C875" t="inlineStr">
        <is>
          <t>박유진</t>
        </is>
      </c>
      <c r="D875" t="inlineStr">
        <is>
          <t>055-282-9717</t>
        </is>
      </c>
      <c r="E875" t="inlineStr">
        <is>
          <t>055-282-9718</t>
        </is>
      </c>
      <c r="G875" t="inlineStr">
        <is>
          <t>6098601149</t>
        </is>
      </c>
      <c r="H875" t="inlineStr">
        <is>
          <t>1942110190364</t>
        </is>
      </c>
      <c r="I875" t="inlineStr">
        <is>
          <t>대상아님</t>
        </is>
      </c>
      <c r="J875" t="inlineStr">
        <is>
          <t>일반법인</t>
        </is>
      </c>
      <c r="K875" t="inlineStr">
        <is>
          <t>중소기업</t>
        </is>
      </c>
      <c r="L875" t="inlineStr">
        <is>
          <t>외부감사대상</t>
        </is>
      </c>
      <c r="M875" s="6" t="inlineStr">
        <is>
          <t>2011-09-09</t>
        </is>
      </c>
      <c r="N875" t="inlineStr">
        <is>
          <t>KRI:10C2929900</t>
        </is>
      </c>
      <c r="O875" t="inlineStr">
        <is>
          <t>그 외 기타 특수목적용 기계 제조업</t>
        </is>
      </c>
      <c r="P875" t="inlineStr">
        <is>
          <t>자동화기기설비(자동차차체,샷시자동화용접라인) 제조/부동산 임대</t>
        </is>
      </c>
      <c r="Q875" t="inlineStr">
        <is>
          <t>경남 창원시 성산구 대원동 86-7번지</t>
        </is>
      </c>
      <c r="R875" t="inlineStr">
        <is>
          <t>경남 창원시 성산구 남면로113번길 25-42</t>
        </is>
      </c>
    </row>
    <row r="876">
      <c r="A876" t="inlineStr">
        <is>
          <t>NICE:H82125</t>
        </is>
      </c>
      <c r="B876" t="inlineStr">
        <is>
          <t>삼성바이오에피스</t>
        </is>
      </c>
      <c r="C876" t="inlineStr">
        <is>
          <t>김경아</t>
        </is>
      </c>
      <c r="D876" t="inlineStr">
        <is>
          <t>032-728-0114</t>
        </is>
      </c>
      <c r="E876" t="inlineStr">
        <is>
          <t>032-728-3412</t>
        </is>
      </c>
      <c r="G876" t="inlineStr">
        <is>
          <t>1318635262</t>
        </is>
      </c>
      <c r="H876" t="inlineStr">
        <is>
          <t>1201110601501</t>
        </is>
      </c>
      <c r="I876" t="inlineStr">
        <is>
          <t>대상아님</t>
        </is>
      </c>
      <c r="J876" t="inlineStr">
        <is>
          <t>일반법인</t>
        </is>
      </c>
      <c r="K876" t="inlineStr">
        <is>
          <t>대기업</t>
        </is>
      </c>
      <c r="L876" t="inlineStr">
        <is>
          <t>외부감사대상</t>
        </is>
      </c>
      <c r="M876" s="6" t="inlineStr">
        <is>
          <t>2012-02-28</t>
        </is>
      </c>
      <c r="N876" t="inlineStr">
        <is>
          <t>KRI:10M7011300</t>
        </is>
      </c>
      <c r="O876" t="inlineStr">
        <is>
          <t>의학 및 약학 연구개발업</t>
        </is>
      </c>
      <c r="P876" t="inlineStr">
        <is>
          <t>의약품 연구개발,제조,도소매</t>
        </is>
      </c>
      <c r="Q876" t="inlineStr">
        <is>
          <t>인천 연수구 송도동 198-7번지</t>
        </is>
      </c>
      <c r="R876" t="inlineStr">
        <is>
          <t>인천 연수구 송도교육로 76</t>
        </is>
      </c>
    </row>
    <row r="877" ht="19.2" customHeight="1" s="1">
      <c r="A877" t="inlineStr">
        <is>
          <t>NICE:H82126</t>
        </is>
      </c>
      <c r="B877" t="inlineStr">
        <is>
          <t>삼성디스플레이</t>
        </is>
      </c>
      <c r="C877" t="inlineStr">
        <is>
          <t>이청</t>
        </is>
      </c>
      <c r="D877" t="inlineStr">
        <is>
          <t>(031) 5181-1114</t>
        </is>
      </c>
      <c r="E877" t="inlineStr">
        <is>
          <t>(031) 5181-1114</t>
        </is>
      </c>
      <c r="F877" s="3">
        <f>HYPERLINK("http://www.samsungdisplay.com", "http://www.samsungdisplay.com")</f>
        <v/>
      </c>
      <c r="G877" t="inlineStr">
        <is>
          <t>1428145237</t>
        </is>
      </c>
      <c r="H877" t="inlineStr">
        <is>
          <t>1345110187812</t>
        </is>
      </c>
      <c r="I877" t="inlineStr">
        <is>
          <t>대상아님</t>
        </is>
      </c>
      <c r="J877" t="inlineStr">
        <is>
          <t>일반법인</t>
        </is>
      </c>
      <c r="K877" t="inlineStr">
        <is>
          <t>대기업</t>
        </is>
      </c>
      <c r="L877" t="inlineStr">
        <is>
          <t>외부감사대상</t>
        </is>
      </c>
      <c r="M877" s="6" t="inlineStr">
        <is>
          <t>2012-04-03</t>
        </is>
      </c>
      <c r="N877" t="inlineStr">
        <is>
          <t>KRI:10C2621200</t>
        </is>
      </c>
      <c r="O877" t="inlineStr">
        <is>
          <t>유기발광 표시장치 제조업</t>
        </is>
      </c>
      <c r="P877" t="inlineStr">
        <is>
          <t>고화질,초대형,폴더블 고부가가치 디스플레이제품 개발,제조</t>
        </is>
      </c>
      <c r="Q877" t="inlineStr">
        <is>
          <t>경기 용인시 기흥구 농서동 산24번지</t>
        </is>
      </c>
      <c r="R877" t="inlineStr">
        <is>
          <t>경기 용인시 기흥구 삼성로 1</t>
        </is>
      </c>
    </row>
    <row r="878" ht="19.2" customHeight="1" s="1">
      <c r="A878" t="inlineStr">
        <is>
          <t>NICE:H83652</t>
        </is>
      </c>
      <c r="B878" t="inlineStr">
        <is>
          <t>에이치디현대쉘베이스오일</t>
        </is>
      </c>
      <c r="C878" t="inlineStr">
        <is>
          <t>조성호</t>
        </is>
      </c>
      <c r="D878" t="inlineStr">
        <is>
          <t>02-500-4656</t>
        </is>
      </c>
      <c r="E878" t="inlineStr">
        <is>
          <t>02-500-4933</t>
        </is>
      </c>
      <c r="F878" s="3">
        <f>HYPERLINK("http://www.hd-hyundaishellbaseoil.co.kr", "http://www.hd-hyundaishellbaseoil.co.kr")</f>
        <v/>
      </c>
      <c r="G878" t="inlineStr">
        <is>
          <t>3168119188</t>
        </is>
      </c>
      <c r="H878" t="inlineStr">
        <is>
          <t>1614110027067</t>
        </is>
      </c>
      <c r="I878" t="inlineStr">
        <is>
          <t>대상아님</t>
        </is>
      </c>
      <c r="J878" t="inlineStr">
        <is>
          <t>일반법인</t>
        </is>
      </c>
      <c r="K878" t="inlineStr">
        <is>
          <t>대기업</t>
        </is>
      </c>
      <c r="L878" t="inlineStr">
        <is>
          <t>외부감사대상</t>
        </is>
      </c>
      <c r="M878" s="6" t="inlineStr">
        <is>
          <t>2012-04-12</t>
        </is>
      </c>
      <c r="N878" t="inlineStr">
        <is>
          <t>KRI:10C1921000</t>
        </is>
      </c>
      <c r="O878" t="inlineStr">
        <is>
          <t>원유 정제처리업</t>
        </is>
      </c>
      <c r="P878" t="inlineStr">
        <is>
          <t>윤활기유 제조,판매</t>
        </is>
      </c>
      <c r="Q878" t="inlineStr">
        <is>
          <t>충남 서산시 대산읍 대죽리 640-6번지</t>
        </is>
      </c>
      <c r="R878" t="inlineStr">
        <is>
          <t>충남 서산시 대산읍 평신2로 182</t>
        </is>
      </c>
    </row>
    <row r="879" ht="19.2" customHeight="1" s="1">
      <c r="A879" t="inlineStr">
        <is>
          <t>NICE:H92851</t>
        </is>
      </c>
      <c r="B879" t="inlineStr">
        <is>
          <t>신안천사김</t>
        </is>
      </c>
      <c r="C879" t="inlineStr">
        <is>
          <t>권동혁</t>
        </is>
      </c>
      <c r="D879" t="inlineStr">
        <is>
          <t>061-246-7312</t>
        </is>
      </c>
      <c r="E879" t="inlineStr">
        <is>
          <t>061-246-7311</t>
        </is>
      </c>
      <c r="F879" s="3">
        <f>HYPERLINK("http://www.kimnara.co.kr", "http://www.kimnara.co.kr")</f>
        <v/>
      </c>
      <c r="G879" t="inlineStr">
        <is>
          <t>4118172566</t>
        </is>
      </c>
      <c r="H879" t="inlineStr">
        <is>
          <t>2011110036320</t>
        </is>
      </c>
      <c r="I879" t="inlineStr">
        <is>
          <t>대상아님</t>
        </is>
      </c>
      <c r="J879" t="inlineStr">
        <is>
          <t>일반법인</t>
        </is>
      </c>
      <c r="K879" t="inlineStr">
        <is>
          <t>중소기업</t>
        </is>
      </c>
      <c r="L879" t="inlineStr">
        <is>
          <t>외부감사대상</t>
        </is>
      </c>
      <c r="M879" s="6" t="inlineStr">
        <is>
          <t>2012-03-07</t>
        </is>
      </c>
      <c r="N879" t="inlineStr">
        <is>
          <t>KRI:10C1022000</t>
        </is>
      </c>
      <c r="O879" t="inlineStr">
        <is>
          <t>수산식물 가공 및 저장 처리업</t>
        </is>
      </c>
      <c r="P879" t="inlineStr">
        <is>
          <t>수산식물 가공,저장처리</t>
        </is>
      </c>
      <c r="Q879" t="inlineStr">
        <is>
          <t>전남 신안군 압해읍 학교리 132-9번지</t>
        </is>
      </c>
      <c r="R879" t="inlineStr">
        <is>
          <t>전남 신안군 압해읍 복룡로 368-20</t>
        </is>
      </c>
    </row>
    <row r="880" ht="19.2" customHeight="1" s="1">
      <c r="A880" t="inlineStr">
        <is>
          <t>NICE:H94516</t>
        </is>
      </c>
      <c r="B880" t="inlineStr">
        <is>
          <t>메디안스</t>
        </is>
      </c>
      <c r="C880" t="inlineStr">
        <is>
          <t>강문규</t>
        </is>
      </c>
      <c r="D880" t="inlineStr">
        <is>
          <t>070-4672-6816</t>
        </is>
      </c>
      <c r="E880" t="inlineStr">
        <is>
          <t>02-444-9820</t>
        </is>
      </c>
      <c r="F880" s="3">
        <f>HYPERLINK("http://www.histolab.co.kr", "http://www.histolab.co.kr")</f>
        <v/>
      </c>
      <c r="G880" t="inlineStr">
        <is>
          <t>2098155853</t>
        </is>
      </c>
      <c r="H880" t="inlineStr">
        <is>
          <t>1101114817114</t>
        </is>
      </c>
      <c r="I880" t="inlineStr">
        <is>
          <t>대상아님</t>
        </is>
      </c>
      <c r="J880" t="inlineStr">
        <is>
          <t>일반법인</t>
        </is>
      </c>
      <c r="K880" t="inlineStr">
        <is>
          <t>중소기업</t>
        </is>
      </c>
      <c r="L880" t="inlineStr">
        <is>
          <t>외부감사대상</t>
        </is>
      </c>
      <c r="M880" s="6" t="inlineStr">
        <is>
          <t>2012-03-12</t>
        </is>
      </c>
      <c r="N880" t="inlineStr">
        <is>
          <t>KRI:10C2042300</t>
        </is>
      </c>
      <c r="O880" t="inlineStr">
        <is>
          <t>화장품 제조업</t>
        </is>
      </c>
      <c r="P880" t="inlineStr">
        <is>
          <t>화장품 제조,도소매/의료기기 도소매,수출입,통신 판매</t>
        </is>
      </c>
      <c r="Q880" t="inlineStr">
        <is>
          <t>서울 강동구 길동 335-5번지 케이티앤드지빌딩 3층, 5층</t>
        </is>
      </c>
      <c r="R880" t="inlineStr">
        <is>
          <t>서울 강동구 양재대로 1544, 3층, 5층 (길동,케이티앤드지빌딩)</t>
        </is>
      </c>
    </row>
    <row r="881">
      <c r="A881" t="inlineStr">
        <is>
          <t>NICE:H98259</t>
        </is>
      </c>
      <c r="B881" t="inlineStr">
        <is>
          <t>해성선박</t>
        </is>
      </c>
      <c r="C881" t="inlineStr">
        <is>
          <t>이재철/이홍주</t>
        </is>
      </c>
      <c r="D881" t="inlineStr">
        <is>
          <t>052-256-9701</t>
        </is>
      </c>
      <c r="E881" t="inlineStr">
        <is>
          <t>052-256-9703</t>
        </is>
      </c>
      <c r="G881" t="inlineStr">
        <is>
          <t>6058612663</t>
        </is>
      </c>
      <c r="H881" t="inlineStr">
        <is>
          <t>1801110801711</t>
        </is>
      </c>
      <c r="I881" t="inlineStr">
        <is>
          <t>대상아님</t>
        </is>
      </c>
      <c r="J881" t="inlineStr">
        <is>
          <t>일반법인</t>
        </is>
      </c>
      <c r="K881" t="inlineStr">
        <is>
          <t>중소기업</t>
        </is>
      </c>
      <c r="L881" t="inlineStr">
        <is>
          <t>외부감사대상</t>
        </is>
      </c>
      <c r="M881" s="6" t="inlineStr">
        <is>
          <t>2012-03-27</t>
        </is>
      </c>
      <c r="N881" t="inlineStr">
        <is>
          <t>KRI:10H5012200</t>
        </is>
      </c>
      <c r="O881" t="inlineStr">
        <is>
          <t>내항 화물 운송업</t>
        </is>
      </c>
      <c r="P881" t="inlineStr">
        <is>
          <t>해상(내항화물),유조선 운송,선박 대여</t>
        </is>
      </c>
      <c r="Q881" t="inlineStr">
        <is>
          <t>울산 남구 장생포동 79번지 2층</t>
        </is>
      </c>
      <c r="R881" t="inlineStr">
        <is>
          <t>울산 남구 장생포고래로197번길 13, 2층</t>
        </is>
      </c>
    </row>
    <row r="882" ht="19.2" customHeight="1" s="1">
      <c r="A882" t="inlineStr">
        <is>
          <t>NICE:HC6111</t>
        </is>
      </c>
      <c r="B882" t="inlineStr">
        <is>
          <t>바운스</t>
        </is>
      </c>
      <c r="C882" t="inlineStr">
        <is>
          <t>류호준</t>
        </is>
      </c>
      <c r="D882" t="inlineStr">
        <is>
          <t>1599-9583</t>
        </is>
      </c>
      <c r="E882" t="inlineStr">
        <is>
          <t>02-3445-0151</t>
        </is>
      </c>
      <c r="F882" s="3">
        <f>HYPERLINK("http://www.vaunce.co.kr", "http://www.vaunce.co.kr")</f>
        <v/>
      </c>
      <c r="G882" t="inlineStr">
        <is>
          <t>6318600114</t>
        </is>
      </c>
      <c r="H882" t="inlineStr">
        <is>
          <t>1101115701879</t>
        </is>
      </c>
      <c r="I882" t="inlineStr">
        <is>
          <t>대상아님</t>
        </is>
      </c>
      <c r="J882" t="inlineStr">
        <is>
          <t>일반법인</t>
        </is>
      </c>
      <c r="K882" t="inlineStr">
        <is>
          <t>중견기업</t>
        </is>
      </c>
      <c r="L882" t="inlineStr">
        <is>
          <t>외부감사대상</t>
        </is>
      </c>
      <c r="M882" s="6" t="inlineStr">
        <is>
          <t>2015-04-20</t>
        </is>
      </c>
      <c r="N882" t="inlineStr">
        <is>
          <t>KRI:10R9029000</t>
        </is>
      </c>
      <c r="O882" t="inlineStr">
        <is>
          <t>기타 유사 여가관련 서비스업</t>
        </is>
      </c>
      <c r="P882" t="inlineStr">
        <is>
          <t>여가관련서비스/놀이터용장비 제조,전자상거래/도배,실내장식,내장목공사/일반음식점/인테리어 디자인</t>
        </is>
      </c>
      <c r="Q882" t="inlineStr">
        <is>
          <t>서울 강남구 삼성동 159번지 스파크플러스코엑스점 비130호, 비131호</t>
        </is>
      </c>
      <c r="R882" t="inlineStr">
        <is>
          <t>서울 강남구 봉은사로 524, 비130호, 비131호 (삼성동,스파크플러스코엑스점)</t>
        </is>
      </c>
    </row>
    <row r="883">
      <c r="A883" t="inlineStr">
        <is>
          <t>NICE:HD1104</t>
        </is>
      </c>
      <c r="B883" t="inlineStr">
        <is>
          <t>하와이안에어라인스인크</t>
        </is>
      </c>
      <c r="C883" t="inlineStr">
        <is>
          <t>미합중국인 피터인그램</t>
        </is>
      </c>
      <c r="D883" t="inlineStr">
        <is>
          <t>02-775-5777</t>
        </is>
      </c>
      <c r="G883" t="inlineStr">
        <is>
          <t>1048407815</t>
        </is>
      </c>
      <c r="H883" t="inlineStr">
        <is>
          <t>1101810050117</t>
        </is>
      </c>
      <c r="I883" t="inlineStr">
        <is>
          <t>대상아님</t>
        </is>
      </c>
      <c r="J883" t="inlineStr">
        <is>
          <t>일반법인</t>
        </is>
      </c>
      <c r="K883" t="inlineStr">
        <is>
          <t>중소기업</t>
        </is>
      </c>
      <c r="L883" t="inlineStr">
        <is>
          <t>외부감사비대상</t>
        </is>
      </c>
      <c r="M883" s="6" t="inlineStr">
        <is>
          <t>2005-06-02</t>
        </is>
      </c>
      <c r="N883" t="inlineStr">
        <is>
          <t>KRI:10H5110000</t>
        </is>
      </c>
      <c r="O883" t="inlineStr">
        <is>
          <t>항공 여객 운송업</t>
        </is>
      </c>
      <c r="P883" t="inlineStr">
        <is>
          <t>국제항공운송,전자상거래업</t>
        </is>
      </c>
      <c r="Q883" t="inlineStr">
        <is>
          <t>서울 중구 을지로2가 198번지 을지한국빌딩 18층</t>
        </is>
      </c>
      <c r="R883" t="inlineStr">
        <is>
          <t>서울 중구 을지로 50, 18층 (을지로2가,을지 한국빌딩)</t>
        </is>
      </c>
    </row>
    <row r="884" ht="19.2" customHeight="1" s="1">
      <c r="A884" t="inlineStr">
        <is>
          <t>NICE:HD5930</t>
        </is>
      </c>
      <c r="B884" t="inlineStr">
        <is>
          <t>디에스시동탄</t>
        </is>
      </c>
      <c r="C884" t="inlineStr">
        <is>
          <t>조희오</t>
        </is>
      </c>
      <c r="D884" t="inlineStr">
        <is>
          <t>031-8067-0100</t>
        </is>
      </c>
      <c r="E884" t="inlineStr">
        <is>
          <t>031-8067-0290</t>
        </is>
      </c>
      <c r="F884" s="3">
        <f>HYPERLINK("http://www.godsc.co.kr", "http://www.godsc.co.kr")</f>
        <v/>
      </c>
      <c r="G884" t="inlineStr">
        <is>
          <t>2908100086</t>
        </is>
      </c>
      <c r="H884" t="inlineStr">
        <is>
          <t>1348110334029</t>
        </is>
      </c>
      <c r="I884" t="inlineStr">
        <is>
          <t>대상아님</t>
        </is>
      </c>
      <c r="J884" t="inlineStr">
        <is>
          <t>일반법인</t>
        </is>
      </c>
      <c r="K884" t="inlineStr">
        <is>
          <t>중견기업</t>
        </is>
      </c>
      <c r="L884" t="inlineStr">
        <is>
          <t>외부감사대상</t>
        </is>
      </c>
      <c r="M884" s="6" t="inlineStr">
        <is>
          <t>2015-05-14</t>
        </is>
      </c>
      <c r="N884" t="inlineStr">
        <is>
          <t>KRI:10M7012900</t>
        </is>
      </c>
      <c r="O884" t="inlineStr">
        <is>
          <t>기타 공학 연구개발업</t>
        </is>
      </c>
      <c r="P884" t="inlineStr">
        <is>
          <t>자동차부품(자동차용시트) 연구개발,제조</t>
        </is>
      </c>
      <c r="Q884" t="inlineStr">
        <is>
          <t>경기 화성시 동탄구 방교동 781-1번지</t>
        </is>
      </c>
      <c r="R884" t="inlineStr">
        <is>
          <t>경기 화성시 동탄구 동탄산단10길 6</t>
        </is>
      </c>
    </row>
    <row r="885" ht="19.2" customHeight="1" s="1">
      <c r="A885" t="inlineStr">
        <is>
          <t>NICE:HD6999</t>
        </is>
      </c>
      <c r="B885" t="inlineStr">
        <is>
          <t>우주텍</t>
        </is>
      </c>
      <c r="C885" t="inlineStr">
        <is>
          <t>허민수</t>
        </is>
      </c>
      <c r="D885" t="inlineStr">
        <is>
          <t>070-4355-1238</t>
        </is>
      </c>
      <c r="E885" t="inlineStr">
        <is>
          <t>031-654-3090</t>
        </is>
      </c>
      <c r="F885" s="3">
        <f>HYPERLINK("http://www.oozootech.com", "http://www.oozootech.com")</f>
        <v/>
      </c>
      <c r="G885" t="inlineStr">
        <is>
          <t>7918800098</t>
        </is>
      </c>
      <c r="H885" t="inlineStr">
        <is>
          <t>1314110343146</t>
        </is>
      </c>
      <c r="I885" t="inlineStr">
        <is>
          <t>대상아님</t>
        </is>
      </c>
      <c r="J885" t="inlineStr">
        <is>
          <t>일반법인</t>
        </is>
      </c>
      <c r="K885" t="inlineStr">
        <is>
          <t>중소기업</t>
        </is>
      </c>
      <c r="L885" t="inlineStr">
        <is>
          <t>외부감사대상</t>
        </is>
      </c>
      <c r="M885" s="6" t="inlineStr">
        <is>
          <t>2015-05-21</t>
        </is>
      </c>
      <c r="N885" t="inlineStr">
        <is>
          <t>KRI:10C1521900</t>
        </is>
      </c>
      <c r="O885" t="inlineStr">
        <is>
          <t>기타 신발 제조업</t>
        </is>
      </c>
      <c r="P885" t="inlineStr">
        <is>
          <t>신발,편조원단 제조/연사,가공사편조원단,기계,장비,화장품,화장용품,비누,세정제,신발 도소매</t>
        </is>
      </c>
      <c r="Q885" t="inlineStr">
        <is>
          <t>경기 안산시 단원구 신길동 1229번지 10층 에프-1019호,에프-1020호,에프-1021호,에프-1022호,에프-1023호,에프-1024호,에프-1025호,에프-1</t>
        </is>
      </c>
      <c r="R885" t="inlineStr">
        <is>
          <t>경기 안산시 단원구 산단로 325, 10층 에프-1019호,에프-1020호,에프-1021호,에프-1022호,에프-1023호,에프-1024호,에프-1025호,에프-1026</t>
        </is>
      </c>
    </row>
    <row r="886">
      <c r="A886" t="inlineStr">
        <is>
          <t>NICE:HE6398</t>
        </is>
      </c>
      <c r="B886" t="inlineStr">
        <is>
          <t>대원에스앤디</t>
        </is>
      </c>
      <c r="C886" t="inlineStr">
        <is>
          <t>강창길</t>
        </is>
      </c>
      <c r="D886" t="inlineStr">
        <is>
          <t>043-251-3746</t>
        </is>
      </c>
      <c r="E886" t="inlineStr">
        <is>
          <t>070-4170-4675</t>
        </is>
      </c>
      <c r="G886" t="inlineStr">
        <is>
          <t>5118600085</t>
        </is>
      </c>
      <c r="H886" t="inlineStr">
        <is>
          <t>1501110203905</t>
        </is>
      </c>
      <c r="I886" t="inlineStr">
        <is>
          <t>대상아님</t>
        </is>
      </c>
      <c r="J886" t="inlineStr">
        <is>
          <t>일반법인</t>
        </is>
      </c>
      <c r="K886" t="inlineStr">
        <is>
          <t>중소기업</t>
        </is>
      </c>
      <c r="L886" t="inlineStr">
        <is>
          <t>외부감사대상</t>
        </is>
      </c>
      <c r="M886" s="6" t="inlineStr">
        <is>
          <t>2015-05-22</t>
        </is>
      </c>
      <c r="N886" t="inlineStr">
        <is>
          <t>KRI:10F4111000</t>
        </is>
      </c>
      <c r="O886" t="inlineStr">
        <is>
          <t>주거용 건물 건설업</t>
        </is>
      </c>
      <c r="P886" t="inlineStr">
        <is>
          <t>주택공사/부동산 임대,매매</t>
        </is>
      </c>
      <c r="Q886" t="inlineStr">
        <is>
          <t>충북 청주시 상당구 문화동 118번지 센트럴칸타빌 1층</t>
        </is>
      </c>
      <c r="R886" t="inlineStr">
        <is>
          <t>충북 청주시 상당구 용담로 7, 1층 (문화동,센트럴칸타빌)</t>
        </is>
      </c>
    </row>
    <row r="887" ht="19.2" customHeight="1" s="1">
      <c r="A887" t="inlineStr">
        <is>
          <t>NICE:HG0419</t>
        </is>
      </c>
      <c r="B887" t="inlineStr">
        <is>
          <t>닐슨미디어코리아</t>
        </is>
      </c>
      <c r="C887" t="inlineStr">
        <is>
          <t>김민석</t>
        </is>
      </c>
      <c r="D887" t="inlineStr">
        <is>
          <t>02-2122-7000</t>
        </is>
      </c>
      <c r="E887" t="inlineStr">
        <is>
          <t>02-753-3761</t>
        </is>
      </c>
      <c r="F887" s="3">
        <f>HYPERLINK("http://www.nielsenkorea.co.kr", "http://www.nielsenkorea.co.kr")</f>
        <v/>
      </c>
      <c r="G887" t="inlineStr">
        <is>
          <t>3038700138</t>
        </is>
      </c>
      <c r="H887" t="inlineStr">
        <is>
          <t>1101140163185</t>
        </is>
      </c>
      <c r="I887" t="inlineStr">
        <is>
          <t>대상아님</t>
        </is>
      </c>
      <c r="J887" t="inlineStr">
        <is>
          <t>일반법인</t>
        </is>
      </c>
      <c r="K887" t="inlineStr">
        <is>
          <t>중소기업</t>
        </is>
      </c>
      <c r="L887" t="inlineStr">
        <is>
          <t>외부감사대상</t>
        </is>
      </c>
      <c r="M887" s="6" t="inlineStr">
        <is>
          <t>2015-06-08</t>
        </is>
      </c>
      <c r="N887" t="inlineStr">
        <is>
          <t>KRI:10M7140000</t>
        </is>
      </c>
      <c r="O887" t="inlineStr">
        <is>
          <t>시장조사 및 여론조사업</t>
        </is>
      </c>
      <c r="P887" t="inlineStr">
        <is>
          <t>시장조사,여론조사/소프트웨어 개발,공급,데이터베이스,자료 처리/온라인정보 제공</t>
        </is>
      </c>
      <c r="Q887" t="inlineStr">
        <is>
          <t>서울 중구 중림동 419번지</t>
        </is>
      </c>
      <c r="R887" t="inlineStr">
        <is>
          <t>서울 중구 서소문로 50</t>
        </is>
      </c>
    </row>
    <row r="888">
      <c r="A888" t="inlineStr">
        <is>
          <t>NICE:HG6255</t>
        </is>
      </c>
      <c r="B888" t="inlineStr">
        <is>
          <t>세경씨앤디</t>
        </is>
      </c>
      <c r="C888" t="inlineStr">
        <is>
          <t>심원용</t>
        </is>
      </c>
      <c r="D888" t="inlineStr">
        <is>
          <t>055-286-6144</t>
        </is>
      </c>
      <c r="E888" t="inlineStr">
        <is>
          <t>055-286-8977</t>
        </is>
      </c>
      <c r="G888" t="inlineStr">
        <is>
          <t>3948700115</t>
        </is>
      </c>
      <c r="H888" t="inlineStr">
        <is>
          <t>1701110570152</t>
        </is>
      </c>
      <c r="I888" t="inlineStr">
        <is>
          <t>대상아님</t>
        </is>
      </c>
      <c r="J888" t="inlineStr">
        <is>
          <t>일반법인</t>
        </is>
      </c>
      <c r="K888" t="inlineStr">
        <is>
          <t>중소기업</t>
        </is>
      </c>
      <c r="L888" t="inlineStr">
        <is>
          <t>외부감사대상</t>
        </is>
      </c>
      <c r="M888" s="6" t="inlineStr">
        <is>
          <t>2015-06-25</t>
        </is>
      </c>
      <c r="N888" t="inlineStr">
        <is>
          <t>KRI:10F4111000</t>
        </is>
      </c>
      <c r="O888" t="inlineStr">
        <is>
          <t>주거용 건물 건설업</t>
        </is>
      </c>
      <c r="P888" t="inlineStr">
        <is>
          <t>주택신축판매(건설),비주거용건물공사</t>
        </is>
      </c>
      <c r="Q888" t="inlineStr">
        <is>
          <t>경남 창원시 성산구 용호동 7-2번지 오피스프라자 803호</t>
        </is>
      </c>
      <c r="R888" t="inlineStr">
        <is>
          <t>경남 창원시 성산구 중앙대로 263, 803호 (용호동,오피스프라자)</t>
        </is>
      </c>
    </row>
    <row r="889" ht="19.2" customHeight="1" s="1">
      <c r="A889" t="inlineStr">
        <is>
          <t>NICE:HH2341</t>
        </is>
      </c>
      <c r="B889" t="inlineStr">
        <is>
          <t>360퍼스펙티브</t>
        </is>
      </c>
      <c r="C889" t="inlineStr">
        <is>
          <t>오영주</t>
        </is>
      </c>
      <c r="D889" t="inlineStr">
        <is>
          <t>070-4603-2360</t>
        </is>
      </c>
      <c r="E889" t="inlineStr">
        <is>
          <t>02-60081-3601</t>
        </is>
      </c>
      <c r="F889" s="3">
        <f>HYPERLINK("http://www.360per.com", "http://www.360per.com")</f>
        <v/>
      </c>
      <c r="G889" t="inlineStr">
        <is>
          <t>1858700127</t>
        </is>
      </c>
      <c r="H889" t="inlineStr">
        <is>
          <t>1101115783877</t>
        </is>
      </c>
      <c r="I889" t="inlineStr">
        <is>
          <t>대상아님</t>
        </is>
      </c>
      <c r="J889" t="inlineStr">
        <is>
          <t>일반법인</t>
        </is>
      </c>
      <c r="K889" t="inlineStr">
        <is>
          <t>중소기업</t>
        </is>
      </c>
      <c r="L889" t="inlineStr">
        <is>
          <t>외부감사대상</t>
        </is>
      </c>
      <c r="M889" s="6" t="inlineStr">
        <is>
          <t>2015-07-16</t>
        </is>
      </c>
      <c r="N889" t="inlineStr">
        <is>
          <t>KRI:10C2042300</t>
        </is>
      </c>
      <c r="O889" t="inlineStr">
        <is>
          <t>화장품 제조업</t>
        </is>
      </c>
      <c r="P889" t="inlineStr">
        <is>
          <t>화장품 제조,도소매/식품,잡화,의약부외품 도소매,전자상거래/비주거용건물 임대(점포,자기땅)</t>
        </is>
      </c>
      <c r="Q889" t="inlineStr">
        <is>
          <t>서울 강남구 신사동 628-23번지 몽디에스빌딩 5층</t>
        </is>
      </c>
      <c r="R889" t="inlineStr">
        <is>
          <t>서울 강남구 언주로 807, 5층 (신사동,몽디에스빌딩)</t>
        </is>
      </c>
    </row>
    <row r="890" ht="19.2" customHeight="1" s="1">
      <c r="A890" t="inlineStr">
        <is>
          <t>NICE:HH2381</t>
        </is>
      </c>
      <c r="B890" t="inlineStr">
        <is>
          <t>당근마켓</t>
        </is>
      </c>
      <c r="C890" t="inlineStr">
        <is>
          <t>김용현/황도연</t>
        </is>
      </c>
      <c r="D890" t="inlineStr">
        <is>
          <t>02-1544-9796</t>
        </is>
      </c>
      <c r="F890" s="3">
        <f>HYPERLINK("http://about.karrotmarket.com", "http://about.karrotmarket.com")</f>
        <v/>
      </c>
      <c r="G890" t="inlineStr">
        <is>
          <t>3758700088</t>
        </is>
      </c>
      <c r="H890" t="inlineStr">
        <is>
          <t>1101115782150</t>
        </is>
      </c>
      <c r="I890" t="inlineStr">
        <is>
          <t>대상아님</t>
        </is>
      </c>
      <c r="J890" t="inlineStr">
        <is>
          <t>일반법인</t>
        </is>
      </c>
      <c r="K890" t="inlineStr">
        <is>
          <t>중소기업</t>
        </is>
      </c>
      <c r="L890" t="inlineStr">
        <is>
          <t>외부감사대상</t>
        </is>
      </c>
      <c r="M890" s="6" t="inlineStr">
        <is>
          <t>2015-07-15</t>
        </is>
      </c>
      <c r="N890" t="inlineStr">
        <is>
          <t>KRI:10J6312000</t>
        </is>
      </c>
      <c r="O890" t="inlineStr">
        <is>
          <t>포털 및 기타 인터넷 정보매개 서비스업</t>
        </is>
      </c>
      <c r="P890" t="inlineStr">
        <is>
          <t>모바일 인터넷서비스</t>
        </is>
      </c>
      <c r="Q890" t="inlineStr">
        <is>
          <t>서울 서초구 서초동 1303-22번지 7층 , 10층, 11층, 12층</t>
        </is>
      </c>
      <c r="R890" t="inlineStr">
        <is>
          <t>서울 서초구 강남대로 465, 7층, 10층, 11층, 12층</t>
        </is>
      </c>
    </row>
    <row r="891">
      <c r="A891" t="inlineStr">
        <is>
          <t>NICE:HI1258</t>
        </is>
      </c>
      <c r="B891" t="inlineStr">
        <is>
          <t>한국파크골프</t>
        </is>
      </c>
      <c r="C891" t="inlineStr">
        <is>
          <t>장세주</t>
        </is>
      </c>
      <c r="G891" t="inlineStr">
        <is>
          <t>4178150876</t>
        </is>
      </c>
      <c r="H891" t="inlineStr">
        <is>
          <t>1701110575805</t>
        </is>
      </c>
      <c r="I891" t="inlineStr">
        <is>
          <t>대상아님</t>
        </is>
      </c>
      <c r="J891" t="inlineStr">
        <is>
          <t>일반법인</t>
        </is>
      </c>
      <c r="K891" t="inlineStr">
        <is>
          <t>중소기업</t>
        </is>
      </c>
      <c r="L891" t="inlineStr">
        <is>
          <t>외부감사대상</t>
        </is>
      </c>
      <c r="M891" s="6" t="inlineStr">
        <is>
          <t>2015-08-17</t>
        </is>
      </c>
      <c r="N891" t="inlineStr">
        <is>
          <t>KRI:10C3330900</t>
        </is>
      </c>
      <c r="O891" t="inlineStr">
        <is>
          <t>기타 운동 및 경기용구 제조업</t>
        </is>
      </c>
      <c r="P891" t="inlineStr">
        <is>
          <t>파크골프채,보호필름 및 비닐제조업,진공성형트레이제조업,실내건축공사업,파크골프용품,기타산업용품,통신판매,국내외여행업</t>
        </is>
      </c>
      <c r="Q891" t="inlineStr">
        <is>
          <t>대구 달서구 월암동 922-5번지</t>
        </is>
      </c>
      <c r="R891" t="inlineStr">
        <is>
          <t>대구 달서구 성서공단남로32길 50</t>
        </is>
      </c>
    </row>
    <row r="892">
      <c r="A892" t="inlineStr">
        <is>
          <t>NICE:HI5797</t>
        </is>
      </c>
      <c r="B892" t="inlineStr">
        <is>
          <t>엠엘코리아</t>
        </is>
      </c>
      <c r="C892" t="inlineStr">
        <is>
          <t>정유일</t>
        </is>
      </c>
      <c r="D892" t="inlineStr">
        <is>
          <t>061-463-9335</t>
        </is>
      </c>
      <c r="E892" t="inlineStr">
        <is>
          <t>061-463-9334</t>
        </is>
      </c>
      <c r="G892" t="inlineStr">
        <is>
          <t>2498800199</t>
        </is>
      </c>
      <c r="H892" t="inlineStr">
        <is>
          <t>2011110045024</t>
        </is>
      </c>
      <c r="I892" t="inlineStr">
        <is>
          <t>대상아님</t>
        </is>
      </c>
      <c r="J892" t="inlineStr">
        <is>
          <t>일반법인</t>
        </is>
      </c>
      <c r="K892" t="inlineStr">
        <is>
          <t>중소기업</t>
        </is>
      </c>
      <c r="L892" t="inlineStr">
        <is>
          <t>외부감사대상</t>
        </is>
      </c>
      <c r="M892" s="6" t="inlineStr">
        <is>
          <t>2015-09-02</t>
        </is>
      </c>
      <c r="N892" t="inlineStr">
        <is>
          <t>KRI:10C3111400</t>
        </is>
      </c>
      <c r="O892" t="inlineStr">
        <is>
          <t>선박 구성 부분품 제조업</t>
        </is>
      </c>
      <c r="P892" t="inlineStr">
        <is>
          <t>선박 건조,수리,육해상프랜트 제조</t>
        </is>
      </c>
      <c r="Q892" t="inlineStr">
        <is>
          <t>전남 영암군 삼호읍 난전리 1714-1번지</t>
        </is>
      </c>
      <c r="R892" t="inlineStr">
        <is>
          <t>전남 영암군 삼호읍 대불산단6로 69</t>
        </is>
      </c>
    </row>
    <row r="893">
      <c r="A893" t="inlineStr">
        <is>
          <t>NICE:HJ1598</t>
        </is>
      </c>
      <c r="B893" t="inlineStr">
        <is>
          <t>한결아스콘</t>
        </is>
      </c>
      <c r="C893" t="inlineStr">
        <is>
          <t>김영희/이해영</t>
        </is>
      </c>
      <c r="D893" t="inlineStr">
        <is>
          <t>031-8077-2253</t>
        </is>
      </c>
      <c r="E893" t="inlineStr">
        <is>
          <t>031-8077-2254</t>
        </is>
      </c>
      <c r="G893" t="inlineStr">
        <is>
          <t>4148800148</t>
        </is>
      </c>
      <c r="H893" t="inlineStr">
        <is>
          <t>1348110346313</t>
        </is>
      </c>
      <c r="I893" t="inlineStr">
        <is>
          <t>대상아님</t>
        </is>
      </c>
      <c r="J893" t="inlineStr">
        <is>
          <t>일반법인</t>
        </is>
      </c>
      <c r="K893" t="inlineStr">
        <is>
          <t>중소기업</t>
        </is>
      </c>
      <c r="L893" t="inlineStr">
        <is>
          <t>외부감사대상</t>
        </is>
      </c>
      <c r="M893" s="6" t="inlineStr">
        <is>
          <t>2015-09-16</t>
        </is>
      </c>
      <c r="N893" t="inlineStr">
        <is>
          <t>KRI:10C2399100</t>
        </is>
      </c>
      <c r="O893" t="inlineStr">
        <is>
          <t>아스팔트 콘크리트 및 혼합제품 제조업</t>
        </is>
      </c>
      <c r="P893" t="inlineStr">
        <is>
          <t>아스팔트콘크리트,혼합제품 제조/건설폐기물 처리,수집,운반</t>
        </is>
      </c>
      <c r="Q893" t="inlineStr">
        <is>
          <t>경기 화성시 효행구 정남면 문학리 721-37번지</t>
        </is>
      </c>
      <c r="R893" t="inlineStr">
        <is>
          <t>경기 화성시 효행구 정남면 서봉로 757</t>
        </is>
      </c>
    </row>
    <row r="894" ht="19.2" customHeight="1" s="1">
      <c r="A894" t="inlineStr">
        <is>
          <t>NICE:HJ5659</t>
        </is>
      </c>
      <c r="B894" t="inlineStr">
        <is>
          <t>매그니프</t>
        </is>
      </c>
      <c r="C894" t="inlineStr">
        <is>
          <t>김영만</t>
        </is>
      </c>
      <c r="D894" t="inlineStr">
        <is>
          <t>02-2135-1441</t>
        </is>
      </c>
      <c r="E894" t="inlineStr">
        <is>
          <t>02-2135-1458</t>
        </is>
      </c>
      <c r="F894" s="3">
        <f>HYPERLINK("http://www.makeprem.com", "http://www.makeprem.com")</f>
        <v/>
      </c>
      <c r="G894" t="inlineStr">
        <is>
          <t>2978100210</t>
        </is>
      </c>
      <c r="H894" t="inlineStr">
        <is>
          <t>1101115857002</t>
        </is>
      </c>
      <c r="I894" t="inlineStr">
        <is>
          <t>대상아님</t>
        </is>
      </c>
      <c r="J894" t="inlineStr">
        <is>
          <t>일반법인</t>
        </is>
      </c>
      <c r="K894" t="inlineStr">
        <is>
          <t>중소기업</t>
        </is>
      </c>
      <c r="L894" t="inlineStr">
        <is>
          <t>외부감사대상</t>
        </is>
      </c>
      <c r="M894" s="6" t="inlineStr">
        <is>
          <t>2015-10-08</t>
        </is>
      </c>
      <c r="N894" t="inlineStr">
        <is>
          <t>KRI:10G4644300</t>
        </is>
      </c>
      <c r="O894" t="inlineStr">
        <is>
          <t>화장품 및 화장용품 도매업</t>
        </is>
      </c>
      <c r="P894" t="inlineStr">
        <is>
          <t>화장품,화장품 제조업,치약, 비누 및 기타 세제 제조업,표면광택제 및 실내가향제 제조업</t>
        </is>
      </c>
      <c r="Q894" t="inlineStr">
        <is>
          <t>서울 강남구 역삼동 652-5번지 6층</t>
        </is>
      </c>
      <c r="R894" t="inlineStr">
        <is>
          <t>서울 강남구 봉은사로 226, 6층</t>
        </is>
      </c>
    </row>
    <row r="895" ht="19.2" customHeight="1" s="1">
      <c r="A895" t="inlineStr">
        <is>
          <t>NICE:HL5407</t>
        </is>
      </c>
      <c r="B895" t="inlineStr">
        <is>
          <t>리엔젠</t>
        </is>
      </c>
      <c r="C895" t="inlineStr">
        <is>
          <t>권순익</t>
        </is>
      </c>
      <c r="D895" t="inlineStr">
        <is>
          <t>031-596-6310</t>
        </is>
      </c>
      <c r="E895" t="inlineStr">
        <is>
          <t>031-478-4311</t>
        </is>
      </c>
      <c r="F895" s="3">
        <f>HYPERLINK("http://www.reanzen.com", "http://www.reanzen.com")</f>
        <v/>
      </c>
      <c r="G895" t="inlineStr">
        <is>
          <t>4058111069</t>
        </is>
      </c>
      <c r="H895" t="inlineStr">
        <is>
          <t>1311110431690</t>
        </is>
      </c>
      <c r="I895" t="inlineStr">
        <is>
          <t>대상아님</t>
        </is>
      </c>
      <c r="J895" t="inlineStr">
        <is>
          <t>일반법인</t>
        </is>
      </c>
      <c r="K895" t="inlineStr">
        <is>
          <t>중소기업</t>
        </is>
      </c>
      <c r="L895" t="inlineStr">
        <is>
          <t>외부감사대상</t>
        </is>
      </c>
      <c r="M895" s="6" t="inlineStr">
        <is>
          <t>2015-12-11</t>
        </is>
      </c>
      <c r="N895" t="inlineStr">
        <is>
          <t>KRI:10C2130000</t>
        </is>
      </c>
      <c r="O895" t="inlineStr">
        <is>
          <t>의료용품 및 기타 의약 관련제품 제조업</t>
        </is>
      </c>
      <c r="P895" t="inlineStr">
        <is>
          <t>의료용품,의약관련 제품 제조/화장품 제조,판매</t>
        </is>
      </c>
      <c r="Q895" t="inlineStr">
        <is>
          <t>경기 안양시 동안구 관양동 919번지 더 에이치타워 1106호, 1107호, 1108호, 1109호, 1110호, 1105호</t>
        </is>
      </c>
      <c r="R895" t="inlineStr">
        <is>
          <t>경기 안양시 동안구 벌말로 80, 1106호, 1107호, 1108호, 1109호, 1110호, 1105호 (관양동,더 에이치타워)</t>
        </is>
      </c>
    </row>
    <row r="896" ht="19.2" customHeight="1" s="1">
      <c r="A896" t="inlineStr">
        <is>
          <t>NICE:HL9643</t>
        </is>
      </c>
      <c r="B896" t="inlineStr">
        <is>
          <t>다온기술</t>
        </is>
      </c>
      <c r="C896" t="inlineStr">
        <is>
          <t>이창신</t>
        </is>
      </c>
      <c r="D896" t="inlineStr">
        <is>
          <t>02-2280-6368</t>
        </is>
      </c>
      <c r="E896" t="inlineStr">
        <is>
          <t>070-4015-9760</t>
        </is>
      </c>
      <c r="F896" s="3">
        <f>HYPERLINK("https://daonec.co.kr", "https://daonec.co.kr")</f>
        <v/>
      </c>
      <c r="G896" t="inlineStr">
        <is>
          <t>8748600235</t>
        </is>
      </c>
      <c r="H896" t="inlineStr">
        <is>
          <t>2052110040276</t>
        </is>
      </c>
      <c r="I896" t="inlineStr">
        <is>
          <t>제3시장</t>
        </is>
      </c>
      <c r="J896" t="inlineStr">
        <is>
          <t>일반법인</t>
        </is>
      </c>
      <c r="K896" t="inlineStr">
        <is>
          <t>중소기업</t>
        </is>
      </c>
      <c r="L896" t="inlineStr">
        <is>
          <t>외부감사대상</t>
        </is>
      </c>
      <c r="M896" s="6" t="inlineStr">
        <is>
          <t>2015-12-28</t>
        </is>
      </c>
      <c r="N896" t="inlineStr">
        <is>
          <t>KRI:10M7212100</t>
        </is>
      </c>
      <c r="O896" t="inlineStr">
        <is>
          <t>건물 및 토목 엔지니어링 서비스업</t>
        </is>
      </c>
      <c r="P896" t="inlineStr">
        <is>
          <t>항만,도로,철도구조,토질,안전진단 엔지니어링,안전점검기술용역</t>
        </is>
      </c>
      <c r="Q896" t="inlineStr">
        <is>
          <t>경기 안양시 동안구 관양동 883번지 에이스평촌타워 1동 3층 305호</t>
        </is>
      </c>
      <c r="R896" t="inlineStr">
        <is>
          <t>경기 안양시 동안구 시민대로 361, 1동 3층 305호 (관양동,에이스평촌타워)</t>
        </is>
      </c>
    </row>
    <row r="897" ht="19.2" customHeight="1" s="1">
      <c r="A897" t="inlineStr">
        <is>
          <t>NICE:HN5130</t>
        </is>
      </c>
      <c r="B897" t="inlineStr">
        <is>
          <t>현대중공업터보기계</t>
        </is>
      </c>
      <c r="C897" t="inlineStr">
        <is>
          <t>김동수</t>
        </is>
      </c>
      <c r="D897" t="inlineStr">
        <is>
          <t>052-204-5016</t>
        </is>
      </c>
      <c r="E897" t="inlineStr">
        <is>
          <t>052-204-5039</t>
        </is>
      </c>
      <c r="F897" s="3">
        <f>HYPERLINK("http://www.hhitmc.com", "http://www.hhitmc.com")</f>
        <v/>
      </c>
      <c r="G897" t="inlineStr">
        <is>
          <t>4288800297</t>
        </is>
      </c>
      <c r="H897" t="inlineStr">
        <is>
          <t>2301110253937</t>
        </is>
      </c>
      <c r="I897" t="inlineStr">
        <is>
          <t>대상아님</t>
        </is>
      </c>
      <c r="J897" t="inlineStr">
        <is>
          <t>일반법인</t>
        </is>
      </c>
      <c r="K897" t="inlineStr">
        <is>
          <t>중견기업</t>
        </is>
      </c>
      <c r="L897" t="inlineStr">
        <is>
          <t>외부감사대상</t>
        </is>
      </c>
      <c r="M897" s="6" t="inlineStr">
        <is>
          <t>2016-02-19</t>
        </is>
      </c>
      <c r="N897" t="inlineStr">
        <is>
          <t>KRI:10C2913100</t>
        </is>
      </c>
      <c r="O897" t="inlineStr">
        <is>
          <t>액체 펌프 제조업</t>
        </is>
      </c>
      <c r="P897" t="inlineStr">
        <is>
          <t>펌프,압축기 제조</t>
        </is>
      </c>
      <c r="Q897" t="inlineStr">
        <is>
          <t>울산 동구 전하동 1번지 터보기계1공장</t>
        </is>
      </c>
      <c r="R897" t="inlineStr">
        <is>
          <t>울산 동구 방어진순환도로 1000 (전하동,터보기계1공장)</t>
        </is>
      </c>
    </row>
    <row r="898">
      <c r="A898" t="inlineStr">
        <is>
          <t>NICE:HN6994</t>
        </is>
      </c>
      <c r="B898" t="inlineStr">
        <is>
          <t>해운대블루라인</t>
        </is>
      </c>
      <c r="C898" t="inlineStr">
        <is>
          <t>배종진</t>
        </is>
      </c>
      <c r="D898" t="inlineStr">
        <is>
          <t>051-701-5548</t>
        </is>
      </c>
      <c r="E898" t="inlineStr">
        <is>
          <t>051-701-5648</t>
        </is>
      </c>
      <c r="G898" t="inlineStr">
        <is>
          <t>2598700262</t>
        </is>
      </c>
      <c r="H898" t="inlineStr">
        <is>
          <t>1801111020336</t>
        </is>
      </c>
      <c r="I898" t="inlineStr">
        <is>
          <t>대상아님</t>
        </is>
      </c>
      <c r="J898" t="inlineStr">
        <is>
          <t>일반법인</t>
        </is>
      </c>
      <c r="K898" t="inlineStr">
        <is>
          <t>중소기업</t>
        </is>
      </c>
      <c r="L898" t="inlineStr">
        <is>
          <t>외부감사대상</t>
        </is>
      </c>
      <c r="M898" s="6" t="inlineStr">
        <is>
          <t>2016-02-25</t>
        </is>
      </c>
      <c r="N898" t="inlineStr">
        <is>
          <t>KRI:10R9121000</t>
        </is>
      </c>
      <c r="O898" t="inlineStr">
        <is>
          <t>유원지 및 테마파크 운영업</t>
        </is>
      </c>
      <c r="P898" t="inlineStr">
        <is>
          <t>관광시설 운영/부동산개발</t>
        </is>
      </c>
      <c r="Q898" t="inlineStr">
        <is>
          <t>부산 해운대구 중동 555-2번지</t>
        </is>
      </c>
      <c r="R898" t="inlineStr">
        <is>
          <t>부산 해운대구 청사포로 116</t>
        </is>
      </c>
    </row>
    <row r="899" ht="19.2" customHeight="1" s="1">
      <c r="A899" t="inlineStr">
        <is>
          <t>NICE:HN7089</t>
        </is>
      </c>
      <c r="B899" t="inlineStr">
        <is>
          <t>이씨아이</t>
        </is>
      </c>
      <c r="C899" t="inlineStr">
        <is>
          <t>이강산</t>
        </is>
      </c>
      <c r="D899" t="inlineStr">
        <is>
          <t>031-431-2152</t>
        </is>
      </c>
      <c r="E899" t="inlineStr">
        <is>
          <t>031-431-2107</t>
        </is>
      </c>
      <c r="F899" s="3">
        <f>HYPERLINK("http://www.eci-biz.com", "http://www.eci-biz.com")</f>
        <v/>
      </c>
      <c r="G899" t="inlineStr">
        <is>
          <t>2068706388</t>
        </is>
      </c>
      <c r="H899" t="inlineStr">
        <is>
          <t>1348110361072</t>
        </is>
      </c>
      <c r="I899" t="inlineStr">
        <is>
          <t>대상아님</t>
        </is>
      </c>
      <c r="J899" t="inlineStr">
        <is>
          <t>일반법인</t>
        </is>
      </c>
      <c r="K899" t="inlineStr">
        <is>
          <t>중소기업</t>
        </is>
      </c>
      <c r="L899" t="inlineStr">
        <is>
          <t>외부감사대상</t>
        </is>
      </c>
      <c r="M899" s="6" t="inlineStr">
        <is>
          <t>2016-02-24</t>
        </is>
      </c>
      <c r="N899" t="inlineStr">
        <is>
          <t>KRI:10C3032000</t>
        </is>
      </c>
      <c r="O899" t="inlineStr">
        <is>
          <t>자동차 차체용 신품 부품 제조업</t>
        </is>
      </c>
      <c r="P899" t="inlineStr">
        <is>
          <t>자동차차체용신품부품,전자부품,액정표시장치 제조/자동차내장용신품전기,전자,정밀기,전자부품 도소매</t>
        </is>
      </c>
      <c r="Q899" t="inlineStr">
        <is>
          <t>충남 천안시 서북구 성환읍 복모리 727번지</t>
        </is>
      </c>
      <c r="R899" t="inlineStr">
        <is>
          <t>충남 천안시 서북구 성환읍 비아이티산단3로 2</t>
        </is>
      </c>
    </row>
    <row r="900" ht="19.2" customHeight="1" s="1">
      <c r="A900" t="inlineStr">
        <is>
          <t>NICE:HO0209</t>
        </is>
      </c>
      <c r="B900" t="inlineStr">
        <is>
          <t>정코스</t>
        </is>
      </c>
      <c r="C900" t="inlineStr">
        <is>
          <t>정관영</t>
        </is>
      </c>
      <c r="D900" t="inlineStr">
        <is>
          <t>043-238-9176</t>
        </is>
      </c>
      <c r="E900" t="inlineStr">
        <is>
          <t>043-238-9177</t>
        </is>
      </c>
      <c r="F900" s="3">
        <f>HYPERLINK("http://www.jungcos.co.kr", "http://www.jungcos.co.kr")</f>
        <v/>
      </c>
      <c r="G900" t="inlineStr">
        <is>
          <t>6258100278</t>
        </is>
      </c>
      <c r="H900" t="inlineStr">
        <is>
          <t>1615110194476</t>
        </is>
      </c>
      <c r="I900" t="inlineStr">
        <is>
          <t>대상아님</t>
        </is>
      </c>
      <c r="J900" t="inlineStr">
        <is>
          <t>일반법인</t>
        </is>
      </c>
      <c r="K900" t="inlineStr">
        <is>
          <t>중소기업</t>
        </is>
      </c>
      <c r="L900" t="inlineStr">
        <is>
          <t>외부감사대상</t>
        </is>
      </c>
      <c r="M900" s="6" t="inlineStr">
        <is>
          <t>2016-03-08</t>
        </is>
      </c>
      <c r="N900" t="inlineStr">
        <is>
          <t>KRI:10C2042300</t>
        </is>
      </c>
      <c r="O900" t="inlineStr">
        <is>
          <t>화장품 제조업</t>
        </is>
      </c>
      <c r="P900" t="inlineStr">
        <is>
          <t>화장품 제조,도소매,연구개발</t>
        </is>
      </c>
      <c r="Q900" t="inlineStr">
        <is>
          <t>충북 청주시 흥덕구 오송읍 정중리 786번지</t>
        </is>
      </c>
      <c r="R900" t="inlineStr">
        <is>
          <t>충북 청주시 흥덕구 오송읍 오송생명14로 118</t>
        </is>
      </c>
    </row>
    <row r="901" ht="19.2" customHeight="1" s="1">
      <c r="A901" t="inlineStr">
        <is>
          <t>NICE:HO2341</t>
        </is>
      </c>
      <c r="B901" t="inlineStr">
        <is>
          <t>디엔솔루션즈</t>
        </is>
      </c>
      <c r="C901" t="inlineStr">
        <is>
          <t>김원종</t>
        </is>
      </c>
      <c r="D901" t="inlineStr">
        <is>
          <t>055-280-4114</t>
        </is>
      </c>
      <c r="E901" t="inlineStr">
        <is>
          <t>055-287-1140</t>
        </is>
      </c>
      <c r="F901" s="3">
        <f>HYPERLINK("http://www.dn-solutions.com", "http://www.dn-solutions.com")</f>
        <v/>
      </c>
      <c r="G901" t="inlineStr">
        <is>
          <t>8278100291</t>
        </is>
      </c>
      <c r="H901" t="inlineStr">
        <is>
          <t>1942110254136</t>
        </is>
      </c>
      <c r="I901" t="inlineStr">
        <is>
          <t>대상아님</t>
        </is>
      </c>
      <c r="J901" t="inlineStr">
        <is>
          <t>일반법인</t>
        </is>
      </c>
      <c r="K901" t="inlineStr">
        <is>
          <t>중견기업</t>
        </is>
      </c>
      <c r="L901" t="inlineStr">
        <is>
          <t>외부감사대상</t>
        </is>
      </c>
      <c r="M901" s="6" t="inlineStr">
        <is>
          <t>2016-03-11</t>
        </is>
      </c>
      <c r="N901" t="inlineStr">
        <is>
          <t>KRI:10C2922100</t>
        </is>
      </c>
      <c r="O901" t="inlineStr">
        <is>
          <t>전자 응용 절삭기계 제조업</t>
        </is>
      </c>
      <c r="P901" t="inlineStr">
        <is>
          <t>공작기계 제조,도매</t>
        </is>
      </c>
      <c r="Q901" t="inlineStr">
        <is>
          <t>경남 창원시 성산구 남산동 601-3번지</t>
        </is>
      </c>
      <c r="R901" t="inlineStr">
        <is>
          <t>경남 창원시 성산구 정동로162번길 40</t>
        </is>
      </c>
    </row>
    <row r="902" ht="19.2" customHeight="1" s="1">
      <c r="A902" t="inlineStr">
        <is>
          <t>NICE:HO4515</t>
        </is>
      </c>
      <c r="B902" t="inlineStr">
        <is>
          <t>모노글로트홀딩스</t>
        </is>
      </c>
      <c r="C902" t="inlineStr">
        <is>
          <t>유양희</t>
        </is>
      </c>
      <c r="D902" t="inlineStr">
        <is>
          <t>02-548-4399</t>
        </is>
      </c>
      <c r="E902" t="inlineStr">
        <is>
          <t>02-332-4399</t>
        </is>
      </c>
      <c r="F902" s="3">
        <f>HYPERLINK("http://monoglot.co.kr", "http://monoglot.co.kr")</f>
        <v/>
      </c>
      <c r="G902" t="inlineStr">
        <is>
          <t>1028144680</t>
        </is>
      </c>
      <c r="H902" t="inlineStr">
        <is>
          <t>1101116004610</t>
        </is>
      </c>
      <c r="I902" t="inlineStr">
        <is>
          <t>대상아님</t>
        </is>
      </c>
      <c r="J902" t="inlineStr">
        <is>
          <t>일반법인</t>
        </is>
      </c>
      <c r="K902" t="inlineStr">
        <is>
          <t>중소기업</t>
        </is>
      </c>
      <c r="L902" t="inlineStr">
        <is>
          <t>외부감사대상</t>
        </is>
      </c>
      <c r="M902" s="6" t="inlineStr">
        <is>
          <t>2016-03-18</t>
        </is>
      </c>
      <c r="N902" t="inlineStr">
        <is>
          <t>KRI:10G4644300</t>
        </is>
      </c>
      <c r="O902" t="inlineStr">
        <is>
          <t>화장품 및 화장용품 도매업</t>
        </is>
      </c>
      <c r="P902" t="inlineStr">
        <is>
          <t>화장품,의류,잡화,건강보조식품,가정용직물제품 도소매,무역,전자상거래/화장품 제조/서양식 음식점,비알콜 음료점</t>
        </is>
      </c>
      <c r="Q902" t="inlineStr">
        <is>
          <t>서울 마포구 동교동 166-10번지</t>
        </is>
      </c>
      <c r="R902" t="inlineStr">
        <is>
          <t>서울 마포구 홍익로6길 67</t>
        </is>
      </c>
    </row>
    <row r="903" ht="19.2" customHeight="1" s="1">
      <c r="A903" t="inlineStr">
        <is>
          <t>NICE:HO5909</t>
        </is>
      </c>
      <c r="B903" t="inlineStr">
        <is>
          <t>더에스엠씨</t>
        </is>
      </c>
      <c r="C903" t="inlineStr">
        <is>
          <t>김용태</t>
        </is>
      </c>
      <c r="D903" t="inlineStr">
        <is>
          <t>070-5099-5359</t>
        </is>
      </c>
      <c r="E903" t="inlineStr">
        <is>
          <t>02-5727-0074</t>
        </is>
      </c>
      <c r="F903" s="3">
        <f>HYPERLINK("http://dadecomm.co.kr/", "http://dadecomm.co.kr/")</f>
        <v/>
      </c>
      <c r="G903" t="inlineStr">
        <is>
          <t>3318700356</t>
        </is>
      </c>
      <c r="H903" t="inlineStr">
        <is>
          <t>1101116007896</t>
        </is>
      </c>
      <c r="I903" t="inlineStr">
        <is>
          <t>대상아님</t>
        </is>
      </c>
      <c r="J903" t="inlineStr">
        <is>
          <t>일반법인</t>
        </is>
      </c>
      <c r="K903" t="inlineStr">
        <is>
          <t>중소기업</t>
        </is>
      </c>
      <c r="L903" t="inlineStr">
        <is>
          <t>외부감사대상</t>
        </is>
      </c>
      <c r="M903" s="6" t="inlineStr">
        <is>
          <t>2016-03-22</t>
        </is>
      </c>
      <c r="N903" t="inlineStr">
        <is>
          <t>KRI:10M7131000</t>
        </is>
      </c>
      <c r="O903" t="inlineStr">
        <is>
          <t>광고 대행업</t>
        </is>
      </c>
      <c r="P903" t="inlineStr">
        <is>
          <t>온라인광고 대행,시스템통합 구축,마케팅 컨설팅,광고영화,비디오물 제작</t>
        </is>
      </c>
      <c r="Q903" t="inlineStr">
        <is>
          <t>서울 강남구 논현동 269-8번지 더에스엠씨빌딩 2층</t>
        </is>
      </c>
      <c r="R903" t="inlineStr">
        <is>
          <t>서울 강남구 봉은사로49길 22, 2층 (논현동,더에스엠씨빌딩)</t>
        </is>
      </c>
    </row>
    <row r="904" ht="19.2" customHeight="1" s="1">
      <c r="A904" t="inlineStr">
        <is>
          <t>NICE:HP0307</t>
        </is>
      </c>
      <c r="B904" t="inlineStr">
        <is>
          <t>피스</t>
        </is>
      </c>
      <c r="C904" t="inlineStr">
        <is>
          <t>신경용</t>
        </is>
      </c>
      <c r="D904" t="inlineStr">
        <is>
          <t>032-814-7601</t>
        </is>
      </c>
      <c r="E904" t="inlineStr">
        <is>
          <t>032-814-7605</t>
        </is>
      </c>
      <c r="F904" s="3">
        <f>HYPERLINK("http://www.peaceind.co.kr", "http://www.peaceind.co.kr")</f>
        <v/>
      </c>
      <c r="G904" t="inlineStr">
        <is>
          <t>1838700359</t>
        </is>
      </c>
      <c r="H904" t="inlineStr">
        <is>
          <t>1201110812299</t>
        </is>
      </c>
      <c r="I904" t="inlineStr">
        <is>
          <t>대상아님</t>
        </is>
      </c>
      <c r="J904" t="inlineStr">
        <is>
          <t>일반법인</t>
        </is>
      </c>
      <c r="K904" t="inlineStr">
        <is>
          <t>중소기업</t>
        </is>
      </c>
      <c r="L904" t="inlineStr">
        <is>
          <t>외부감사대상</t>
        </is>
      </c>
      <c r="M904" s="6" t="inlineStr">
        <is>
          <t>2016-04-05</t>
        </is>
      </c>
      <c r="N904" t="inlineStr">
        <is>
          <t>KRI:10C2599900</t>
        </is>
      </c>
      <c r="O904" t="inlineStr">
        <is>
          <t>그 외 기타 분류 안된 금속 가공 제품 제조업</t>
        </is>
      </c>
      <c r="P904" t="inlineStr">
        <is>
          <t>산업용,포장용 스테플러,에어공구,농기계,못 제조,판매/무역,전자상거래/광고대행</t>
        </is>
      </c>
      <c r="Q904" t="inlineStr">
        <is>
          <t>인천 남동구 논현동 432-11번지 19동 16호</t>
        </is>
      </c>
      <c r="R904" t="inlineStr">
        <is>
          <t>인천 남동구 남동서로270번길 47, 19동 16호</t>
        </is>
      </c>
    </row>
    <row r="905" ht="19.2" customHeight="1" s="1">
      <c r="A905" t="inlineStr">
        <is>
          <t>NICE:HP5038</t>
        </is>
      </c>
      <c r="B905" t="inlineStr">
        <is>
          <t>대전신세계</t>
        </is>
      </c>
      <c r="C905" t="inlineStr">
        <is>
          <t>이용환</t>
        </is>
      </c>
      <c r="D905" t="inlineStr">
        <is>
          <t>042-607-1061</t>
        </is>
      </c>
      <c r="F905" s="3">
        <f>HYPERLINK("http://www.shinsegae.com", "http://www.shinsegae.com")</f>
        <v/>
      </c>
      <c r="G905" t="inlineStr">
        <is>
          <t>1838800512</t>
        </is>
      </c>
      <c r="H905" t="inlineStr">
        <is>
          <t>1601110424864</t>
        </is>
      </c>
      <c r="I905" t="inlineStr">
        <is>
          <t>대상아님</t>
        </is>
      </c>
      <c r="J905" t="inlineStr">
        <is>
          <t>일반법인</t>
        </is>
      </c>
      <c r="K905" t="inlineStr">
        <is>
          <t>대기업</t>
        </is>
      </c>
      <c r="L905" t="inlineStr">
        <is>
          <t>외부감사대상</t>
        </is>
      </c>
      <c r="M905" s="6" t="inlineStr">
        <is>
          <t>2016-04-22</t>
        </is>
      </c>
      <c r="N905" t="inlineStr">
        <is>
          <t>KRI:10G4711100</t>
        </is>
      </c>
      <c r="O905" t="inlineStr">
        <is>
          <t>백화점</t>
        </is>
      </c>
      <c r="P905" t="inlineStr">
        <is>
          <t>백화점</t>
        </is>
      </c>
      <c r="Q905" t="inlineStr">
        <is>
          <t>대전 유성구 도룡동 648번지</t>
        </is>
      </c>
      <c r="R905" t="inlineStr">
        <is>
          <t>대전 유성구 엑스포로 1</t>
        </is>
      </c>
    </row>
    <row r="906" ht="19.2" customHeight="1" s="1">
      <c r="A906" t="inlineStr">
        <is>
          <t>NICE:HP5484</t>
        </is>
      </c>
      <c r="B906" t="inlineStr">
        <is>
          <t>페렌벨</t>
        </is>
      </c>
      <c r="C906" t="inlineStr">
        <is>
          <t>진윤진</t>
        </is>
      </c>
      <c r="D906" t="inlineStr">
        <is>
          <t>02-6933-6908</t>
        </is>
      </c>
      <c r="E906" t="inlineStr">
        <is>
          <t>02-6237-3002</t>
        </is>
      </c>
      <c r="F906" s="3">
        <f>HYPERLINK("http://www.somebymi.com", "http://www.somebymi.com")</f>
        <v/>
      </c>
      <c r="G906" t="inlineStr">
        <is>
          <t>6498800410</t>
        </is>
      </c>
      <c r="H906" t="inlineStr">
        <is>
          <t>1101116039162</t>
        </is>
      </c>
      <c r="I906" t="inlineStr">
        <is>
          <t>대상아님</t>
        </is>
      </c>
      <c r="J906" t="inlineStr">
        <is>
          <t>일반법인</t>
        </is>
      </c>
      <c r="K906" t="inlineStr">
        <is>
          <t>중소기업</t>
        </is>
      </c>
      <c r="L906" t="inlineStr">
        <is>
          <t>외부감사대상</t>
        </is>
      </c>
      <c r="M906" s="6" t="inlineStr">
        <is>
          <t>2016-04-21</t>
        </is>
      </c>
      <c r="N906" t="inlineStr">
        <is>
          <t>KRI:10C2042300</t>
        </is>
      </c>
      <c r="O906" t="inlineStr">
        <is>
          <t>화장품 제조업</t>
        </is>
      </c>
      <c r="P906" t="inlineStr">
        <is>
          <t>화장품,여성청결제,반려동물미용용품 제조,도소매/전자상거래</t>
        </is>
      </c>
      <c r="Q906" t="inlineStr">
        <is>
          <t>서울 강남구 대치동 889-13번지 금강타워 18층</t>
        </is>
      </c>
      <c r="R906" t="inlineStr">
        <is>
          <t>서울 강남구 테헤란로 410, 18층 (대치동,금강타워)</t>
        </is>
      </c>
    </row>
    <row r="907" ht="19.2" customHeight="1" s="1">
      <c r="A907" t="inlineStr">
        <is>
          <t>NICE:HP6565</t>
        </is>
      </c>
      <c r="B907" t="inlineStr">
        <is>
          <t>에이치오케이코리아</t>
        </is>
      </c>
      <c r="C907" t="inlineStr">
        <is>
          <t>문성식</t>
        </is>
      </c>
      <c r="D907" t="inlineStr">
        <is>
          <t>02-518-8708</t>
        </is>
      </c>
      <c r="E907" t="inlineStr">
        <is>
          <t>02-3448-5311</t>
        </is>
      </c>
      <c r="F907" s="3">
        <f>HYPERLINK("http://www.huperoptik.co.kr", "http://www.huperoptik.co.kr")</f>
        <v/>
      </c>
      <c r="G907" t="inlineStr">
        <is>
          <t>1238700323</t>
        </is>
      </c>
      <c r="H907" t="inlineStr">
        <is>
          <t>1101116045028</t>
        </is>
      </c>
      <c r="I907" t="inlineStr">
        <is>
          <t>대상아님</t>
        </is>
      </c>
      <c r="J907" t="inlineStr">
        <is>
          <t>일반법인</t>
        </is>
      </c>
      <c r="K907" t="inlineStr">
        <is>
          <t>중소기업</t>
        </is>
      </c>
      <c r="L907" t="inlineStr">
        <is>
          <t>외부감사대상</t>
        </is>
      </c>
      <c r="M907" s="6" t="inlineStr">
        <is>
          <t>2016-04-26</t>
        </is>
      </c>
      <c r="N907" t="inlineStr">
        <is>
          <t>KRI:10G4679900</t>
        </is>
      </c>
      <c r="O907" t="inlineStr">
        <is>
          <t>그 외 기타 상품 전문 도매업</t>
        </is>
      </c>
      <c r="P907" t="inlineStr">
        <is>
          <t>강화, 단열필름 도매</t>
        </is>
      </c>
      <c r="Q907" t="inlineStr">
        <is>
          <t>서울 강남구 역삼동 708-33번지 파라다이스벤처타워 6층 602호</t>
        </is>
      </c>
      <c r="R907" t="inlineStr">
        <is>
          <t>서울 강남구 테헤란로52길 21, 6층 602호 (역삼동,파라다이스벤처타워)</t>
        </is>
      </c>
    </row>
    <row r="908" ht="19.2" customHeight="1" s="1">
      <c r="A908" t="inlineStr">
        <is>
          <t>NICE:HQ1734</t>
        </is>
      </c>
      <c r="B908" t="inlineStr">
        <is>
          <t>지평주조</t>
        </is>
      </c>
      <c r="C908" t="inlineStr">
        <is>
          <t>김기환</t>
        </is>
      </c>
      <c r="D908" t="inlineStr">
        <is>
          <t>031-773-7030</t>
        </is>
      </c>
      <c r="E908" t="inlineStr">
        <is>
          <t>031-773-7053</t>
        </is>
      </c>
      <c r="F908" s="3">
        <f>HYPERLINK("http://www.jpjujo.com/", "http://www.jpjujo.com/")</f>
        <v/>
      </c>
      <c r="G908" t="inlineStr">
        <is>
          <t>4098653713</t>
        </is>
      </c>
      <c r="H908" t="inlineStr">
        <is>
          <t>1343110029307</t>
        </is>
      </c>
      <c r="I908" t="inlineStr">
        <is>
          <t>대상아님</t>
        </is>
      </c>
      <c r="J908" t="inlineStr">
        <is>
          <t>일반법인</t>
        </is>
      </c>
      <c r="K908" t="inlineStr">
        <is>
          <t>중소기업</t>
        </is>
      </c>
      <c r="L908" t="inlineStr">
        <is>
          <t>외부감사대상</t>
        </is>
      </c>
      <c r="M908" s="6" t="inlineStr">
        <is>
          <t>2016-05-13</t>
        </is>
      </c>
      <c r="N908" t="inlineStr">
        <is>
          <t>KRI:10C1111100</t>
        </is>
      </c>
      <c r="O908" t="inlineStr">
        <is>
          <t>탁주 및 약주 제조업</t>
        </is>
      </c>
      <c r="P908" t="inlineStr">
        <is>
          <t>탁주,약주 제조</t>
        </is>
      </c>
      <c r="Q908" t="inlineStr">
        <is>
          <t>경기 양평군 지평면 지평리 552-2번지</t>
        </is>
      </c>
      <c r="R908" t="inlineStr">
        <is>
          <t>경기 양평군 지평면 지평의병로62번길 25</t>
        </is>
      </c>
    </row>
    <row r="909" ht="19.2" customHeight="1" s="1">
      <c r="A909" t="inlineStr">
        <is>
          <t>NICE:HQ8788</t>
        </is>
      </c>
      <c r="B909" t="inlineStr">
        <is>
          <t>고려대학교세종산학협력단</t>
        </is>
      </c>
      <c r="C909" t="inlineStr">
        <is>
          <t>최두호</t>
        </is>
      </c>
      <c r="D909" t="inlineStr">
        <is>
          <t>044-860-1700</t>
        </is>
      </c>
      <c r="E909" t="inlineStr">
        <is>
          <t>044-860-1717</t>
        </is>
      </c>
      <c r="F909" s="3">
        <f>HYPERLINK("https://innovation.korea.ac.kr/", "https://innovation.korea.ac.kr/")</f>
        <v/>
      </c>
      <c r="G909" t="inlineStr">
        <is>
          <t>6308200092</t>
        </is>
      </c>
      <c r="H909" t="inlineStr">
        <is>
          <t>1647710006826</t>
        </is>
      </c>
      <c r="I909" t="inlineStr">
        <is>
          <t>대상아님</t>
        </is>
      </c>
      <c r="J909" t="inlineStr">
        <is>
          <t>비영리법인</t>
        </is>
      </c>
      <c r="K909" t="inlineStr">
        <is>
          <t>대상아님</t>
        </is>
      </c>
      <c r="L909" t="inlineStr">
        <is>
          <t>외부감사비대상</t>
        </is>
      </c>
      <c r="M909" s="6" t="inlineStr">
        <is>
          <t>2016-06-01</t>
        </is>
      </c>
      <c r="N909" t="inlineStr">
        <is>
          <t>KRI:10M7160000</t>
        </is>
      </c>
      <c r="O909" t="inlineStr">
        <is>
          <t>기타 전문 서비스업</t>
        </is>
      </c>
      <c r="P909" t="inlineStr">
        <is>
          <t>연구용역/부동산 임대/산학협력업무</t>
        </is>
      </c>
      <c r="Q909" t="inlineStr">
        <is>
          <t>세종 조치원읍 서창리 208번지 고려대학교 세종캠퍼스</t>
        </is>
      </c>
      <c r="R909" t="inlineStr">
        <is>
          <t>세종 조치원읍 세종로 2511 (서창리,고려대학교 세종캠퍼스)</t>
        </is>
      </c>
    </row>
    <row r="910">
      <c r="A910" t="inlineStr">
        <is>
          <t>NICE:HR0141</t>
        </is>
      </c>
      <c r="B910" t="inlineStr">
        <is>
          <t>엘에이치앤디</t>
        </is>
      </c>
      <c r="C910" t="inlineStr">
        <is>
          <t>이원영</t>
        </is>
      </c>
      <c r="D910" t="inlineStr">
        <is>
          <t>02-2233-5001</t>
        </is>
      </c>
      <c r="E910" t="inlineStr">
        <is>
          <t>02-2233-5002</t>
        </is>
      </c>
      <c r="G910" t="inlineStr">
        <is>
          <t>1188600402</t>
        </is>
      </c>
      <c r="H910" t="inlineStr">
        <is>
          <t>1101116087393</t>
        </is>
      </c>
      <c r="I910" t="inlineStr">
        <is>
          <t>대상아님</t>
        </is>
      </c>
      <c r="J910" t="inlineStr">
        <is>
          <t>일반법인</t>
        </is>
      </c>
      <c r="K910" t="inlineStr">
        <is>
          <t>중소기업</t>
        </is>
      </c>
      <c r="L910" t="inlineStr">
        <is>
          <t>외부감사대상</t>
        </is>
      </c>
      <c r="M910" s="6" t="inlineStr">
        <is>
          <t>2016-06-13</t>
        </is>
      </c>
      <c r="N910" t="inlineStr">
        <is>
          <t>KRI:10G4632900</t>
        </is>
      </c>
      <c r="O910" t="inlineStr">
        <is>
          <t>기타 가공식품 도매업</t>
        </is>
      </c>
      <c r="P910" t="inlineStr">
        <is>
          <t>가공식품,건강기능식품 도소매,무역</t>
        </is>
      </c>
      <c r="Q910" t="inlineStr">
        <is>
          <t>서울 중구 신당동 377-59번지 인봉빌딩</t>
        </is>
      </c>
      <c r="R910" t="inlineStr">
        <is>
          <t>서울 중구 동호로 222 (신당동,인봉빌딩)</t>
        </is>
      </c>
    </row>
    <row r="911" ht="19.2" customHeight="1" s="1">
      <c r="A911" t="inlineStr">
        <is>
          <t>NICE:HR5675</t>
        </is>
      </c>
      <c r="B911" t="inlineStr">
        <is>
          <t>사천아이씨도시개발</t>
        </is>
      </c>
      <c r="C911" t="inlineStr">
        <is>
          <t>김수경</t>
        </is>
      </c>
      <c r="D911" t="inlineStr">
        <is>
          <t>055-832-2355</t>
        </is>
      </c>
      <c r="E911" t="inlineStr">
        <is>
          <t>055-832-2345</t>
        </is>
      </c>
      <c r="F911" s="3">
        <f>HYPERLINK("http://www.siud.co.kr", "http://www.siud.co.kr")</f>
        <v/>
      </c>
      <c r="G911" t="inlineStr">
        <is>
          <t>6318100462</t>
        </is>
      </c>
      <c r="H911" t="inlineStr">
        <is>
          <t>1954110031068</t>
        </is>
      </c>
      <c r="I911" t="inlineStr">
        <is>
          <t>대상아님</t>
        </is>
      </c>
      <c r="J911" t="inlineStr">
        <is>
          <t>일반법인</t>
        </is>
      </c>
      <c r="K911" t="inlineStr">
        <is>
          <t>중소기업</t>
        </is>
      </c>
      <c r="L911" t="inlineStr">
        <is>
          <t>외부감사대상</t>
        </is>
      </c>
      <c r="M911" s="6" t="inlineStr">
        <is>
          <t>2016-06-28</t>
        </is>
      </c>
      <c r="N911" t="inlineStr">
        <is>
          <t>KRI:10L6812200</t>
        </is>
      </c>
      <c r="O911" t="inlineStr">
        <is>
          <t>비주거용 건물 개발 및 공급업</t>
        </is>
      </c>
      <c r="P911" t="inlineStr">
        <is>
          <t>부동산 개발,공급</t>
        </is>
      </c>
      <c r="Q911" t="inlineStr">
        <is>
          <t>경남 사천시 축동면 배춘리 766번지 2층</t>
        </is>
      </c>
      <c r="R911" t="inlineStr">
        <is>
          <t>경남 사천시 축동면 길평길 25, 2층</t>
        </is>
      </c>
    </row>
    <row r="912">
      <c r="A912" t="inlineStr">
        <is>
          <t>NICE:HS2065</t>
        </is>
      </c>
      <c r="B912" t="inlineStr">
        <is>
          <t>앱솔브랩</t>
        </is>
      </c>
      <c r="C912" t="inlineStr">
        <is>
          <t>김민석</t>
        </is>
      </c>
      <c r="G912" t="inlineStr">
        <is>
          <t>7118700381</t>
        </is>
      </c>
      <c r="H912" t="inlineStr">
        <is>
          <t>1101116122363</t>
        </is>
      </c>
      <c r="I912" t="inlineStr">
        <is>
          <t>대상아님</t>
        </is>
      </c>
      <c r="J912" t="inlineStr">
        <is>
          <t>일반법인</t>
        </is>
      </c>
      <c r="K912" t="inlineStr">
        <is>
          <t>중소기업</t>
        </is>
      </c>
      <c r="L912" t="inlineStr">
        <is>
          <t>외부감사대상</t>
        </is>
      </c>
      <c r="M912" s="6" t="inlineStr">
        <is>
          <t>2016-07-15</t>
        </is>
      </c>
      <c r="N912" t="inlineStr">
        <is>
          <t>KRI:10G4644300</t>
        </is>
      </c>
      <c r="O912" t="inlineStr">
        <is>
          <t>화장품 및 화장용품 도매업</t>
        </is>
      </c>
      <c r="P912" t="inlineStr">
        <is>
          <t>화장품 도소매,제조/잡화 도소매,상품종합도매/전자상거래/치약,비누,세제,표면광택제,실내가향제 제조</t>
        </is>
      </c>
      <c r="Q912" t="inlineStr">
        <is>
          <t>서울 강남구 대치동 891-46번지 브이앤에스타워 11층</t>
        </is>
      </c>
      <c r="R912" t="inlineStr">
        <is>
          <t>서울 강남구 삼성로85길 26, 11층 (대치동,브이앤에스타워)</t>
        </is>
      </c>
    </row>
    <row r="913" ht="19.2" customHeight="1" s="1">
      <c r="A913" t="inlineStr">
        <is>
          <t>NICE:HS6317</t>
        </is>
      </c>
      <c r="B913" t="inlineStr">
        <is>
          <t>에어프로덕츠코리아</t>
        </is>
      </c>
      <c r="C913" t="inlineStr">
        <is>
          <t>김승록</t>
        </is>
      </c>
      <c r="D913" t="inlineStr">
        <is>
          <t>02-2170-8001</t>
        </is>
      </c>
      <c r="E913" t="inlineStr">
        <is>
          <t>02-733-0287</t>
        </is>
      </c>
      <c r="F913" s="3">
        <f>HYPERLINK("http://www.airproducts.co.kr", "http://www.airproducts.co.kr")</f>
        <v/>
      </c>
      <c r="G913" t="inlineStr">
        <is>
          <t>8078800317</t>
        </is>
      </c>
      <c r="H913" t="inlineStr">
        <is>
          <t>1345110296902</t>
        </is>
      </c>
      <c r="I913" t="inlineStr">
        <is>
          <t>대상아님</t>
        </is>
      </c>
      <c r="J913" t="inlineStr">
        <is>
          <t>일반법인</t>
        </is>
      </c>
      <c r="K913" t="inlineStr">
        <is>
          <t>중견기업</t>
        </is>
      </c>
      <c r="L913" t="inlineStr">
        <is>
          <t>외부감사대상</t>
        </is>
      </c>
      <c r="M913" s="6" t="inlineStr">
        <is>
          <t>2016-08-01</t>
        </is>
      </c>
      <c r="N913" t="inlineStr">
        <is>
          <t>KRI:10C2012100</t>
        </is>
      </c>
      <c r="O913" t="inlineStr">
        <is>
          <t>산업용 가스 제조업</t>
        </is>
      </c>
      <c r="P913" t="inlineStr">
        <is>
          <t>산업용가스,아세틸렌 제조/부동산 임대/경영자문,사업시설 유지관리</t>
        </is>
      </c>
      <c r="Q913" t="inlineStr">
        <is>
          <t>경기 용인시 기흥구 농서동 15번지</t>
        </is>
      </c>
      <c r="R913" t="inlineStr">
        <is>
          <t>경기 용인시 기흥구 농서로46번길 3</t>
        </is>
      </c>
    </row>
    <row r="914" ht="19.2" customHeight="1" s="1">
      <c r="A914" t="inlineStr">
        <is>
          <t>NICE:HS7266</t>
        </is>
      </c>
      <c r="B914" t="inlineStr">
        <is>
          <t>일동바이오사이언스</t>
        </is>
      </c>
      <c r="C914" t="inlineStr">
        <is>
          <t>반오현</t>
        </is>
      </c>
      <c r="D914" t="inlineStr">
        <is>
          <t>031-684-3114</t>
        </is>
      </c>
      <c r="E914" t="inlineStr">
        <is>
          <t>070-7500-2592</t>
        </is>
      </c>
      <c r="F914" s="3">
        <f>HYPERLINK("http://www.ildongbioscience.co.kr", "http://www.ildongbioscience.co.kr")</f>
        <v/>
      </c>
      <c r="G914" t="inlineStr">
        <is>
          <t>4398700548</t>
        </is>
      </c>
      <c r="H914" t="inlineStr">
        <is>
          <t>1313110168447</t>
        </is>
      </c>
      <c r="I914" t="inlineStr">
        <is>
          <t>대상아님</t>
        </is>
      </c>
      <c r="J914" t="inlineStr">
        <is>
          <t>일반법인</t>
        </is>
      </c>
      <c r="K914" t="inlineStr">
        <is>
          <t>중소기업</t>
        </is>
      </c>
      <c r="L914" t="inlineStr">
        <is>
          <t>외부감사대상</t>
        </is>
      </c>
      <c r="M914" s="6" t="inlineStr">
        <is>
          <t>2016-08-03</t>
        </is>
      </c>
      <c r="N914" t="inlineStr">
        <is>
          <t>KRI:10C1079700</t>
        </is>
      </c>
      <c r="O914" t="inlineStr">
        <is>
          <t>건강기능식품 제조업</t>
        </is>
      </c>
      <c r="P914" t="inlineStr">
        <is>
          <t>건강기능식품,의약품,식품,식품첨가물,단미사료,기타사료 제조/사료,의약외품,화장품,건강기능식품,식품,식품첨가물,수입식품 도매,수입</t>
        </is>
      </c>
      <c r="Q914" t="inlineStr">
        <is>
          <t>경기 평택시 포승읍 원정리 1206-6번지</t>
        </is>
      </c>
      <c r="R914" t="inlineStr">
        <is>
          <t>경기 평택시 포승읍 포승공단로 17</t>
        </is>
      </c>
    </row>
    <row r="915" ht="19.2" customHeight="1" s="1">
      <c r="A915" t="inlineStr">
        <is>
          <t>NICE:HS8236</t>
        </is>
      </c>
      <c r="B915" t="inlineStr">
        <is>
          <t>시즐</t>
        </is>
      </c>
      <c r="C915" t="inlineStr">
        <is>
          <t>이지현</t>
        </is>
      </c>
      <c r="D915" t="inlineStr">
        <is>
          <t>032-458-5520</t>
        </is>
      </c>
      <c r="E915" t="inlineStr">
        <is>
          <t>032-458-5521</t>
        </is>
      </c>
      <c r="F915" s="3">
        <f>HYPERLINK("http://sizl.co.kr", "http://sizl.co.kr")</f>
        <v/>
      </c>
      <c r="G915" t="inlineStr">
        <is>
          <t>2048800482</t>
        </is>
      </c>
      <c r="H915" t="inlineStr">
        <is>
          <t>1101116140480</t>
        </is>
      </c>
      <c r="I915" t="inlineStr">
        <is>
          <t>대상아님</t>
        </is>
      </c>
      <c r="J915" t="inlineStr">
        <is>
          <t>일반법인</t>
        </is>
      </c>
      <c r="K915" t="inlineStr">
        <is>
          <t>중소기업</t>
        </is>
      </c>
      <c r="L915" t="inlineStr">
        <is>
          <t>외부감사대상</t>
        </is>
      </c>
      <c r="M915" s="6" t="inlineStr">
        <is>
          <t>2016-08-04</t>
        </is>
      </c>
      <c r="N915" t="inlineStr">
        <is>
          <t>KRI:10J6201000</t>
        </is>
      </c>
      <c r="O915" t="inlineStr">
        <is>
          <t>컴퓨터 프로그래밍 서비스업</t>
        </is>
      </c>
      <c r="P915" t="inlineStr">
        <is>
          <t>인지소프트웨어 개발,공급(자연어처리 알고리즘 외),하드웨어 플랫폼 기획,설계</t>
        </is>
      </c>
      <c r="Q915" t="inlineStr">
        <is>
          <t>경기 안양시 동안구 호계동 555-37번지 호계금정역 에스케이브이1센터 3층 319호</t>
        </is>
      </c>
      <c r="R915" t="inlineStr">
        <is>
          <t>경기 안양시 동안구 엘에스로 142, 3층 319호 (호계동,호계금정역 에스케이브이1센터)</t>
        </is>
      </c>
    </row>
    <row r="916" ht="19.2" customHeight="1" s="1">
      <c r="A916" t="inlineStr">
        <is>
          <t>NICE:HS8334</t>
        </is>
      </c>
      <c r="B916" t="inlineStr">
        <is>
          <t>톰스코리아</t>
        </is>
      </c>
      <c r="C916" t="inlineStr">
        <is>
          <t>마츠다마나부</t>
        </is>
      </c>
      <c r="D916" t="inlineStr">
        <is>
          <t>02-733-1064</t>
        </is>
      </c>
      <c r="E916" t="inlineStr">
        <is>
          <t>02-733-1065</t>
        </is>
      </c>
      <c r="F916" s="3">
        <f>HYPERLINK("http://www.toms-korea.com/", "http://www.toms-korea.com/")</f>
        <v/>
      </c>
      <c r="G916" t="inlineStr">
        <is>
          <t>1808100547</t>
        </is>
      </c>
      <c r="H916" t="inlineStr">
        <is>
          <t>1101116141553</t>
        </is>
      </c>
      <c r="I916" t="inlineStr">
        <is>
          <t>대상아님</t>
        </is>
      </c>
      <c r="J916" t="inlineStr">
        <is>
          <t>일반법인</t>
        </is>
      </c>
      <c r="K916" t="inlineStr">
        <is>
          <t>중소기업</t>
        </is>
      </c>
      <c r="L916" t="inlineStr">
        <is>
          <t>외부감사대상</t>
        </is>
      </c>
      <c r="M916" s="6" t="inlineStr">
        <is>
          <t>2016-08-04</t>
        </is>
      </c>
      <c r="N916" t="inlineStr">
        <is>
          <t>KRI:10G4641300</t>
        </is>
      </c>
      <c r="O916" t="inlineStr">
        <is>
          <t>남녀용 겉옷 및 셔츠 도매업</t>
        </is>
      </c>
      <c r="P916" t="inlineStr">
        <is>
          <t>의류용섬유제품 도소매/패션,섬유류,전문디자인</t>
        </is>
      </c>
      <c r="Q916" t="inlineStr">
        <is>
          <t>서울 종로구 신문로1가 163번지 광화문오피시아 913호</t>
        </is>
      </c>
      <c r="R916" t="inlineStr">
        <is>
          <t>서울 종로구 새문안로 92, 913호 (신문로1가,광화문오피시아)</t>
        </is>
      </c>
    </row>
    <row r="917">
      <c r="A917" t="inlineStr">
        <is>
          <t>NICE:HS9393</t>
        </is>
      </c>
      <c r="B917" t="inlineStr">
        <is>
          <t>도시와미래</t>
        </is>
      </c>
      <c r="C917" t="inlineStr">
        <is>
          <t>현철민</t>
        </is>
      </c>
      <c r="D917" t="inlineStr">
        <is>
          <t>031-821-0955</t>
        </is>
      </c>
      <c r="E917" t="inlineStr">
        <is>
          <t>031-853-8478</t>
        </is>
      </c>
      <c r="G917" t="inlineStr">
        <is>
          <t>1898800316</t>
        </is>
      </c>
      <c r="H917" t="inlineStr">
        <is>
          <t>1101116144127</t>
        </is>
      </c>
      <c r="I917" t="inlineStr">
        <is>
          <t>대상아님</t>
        </is>
      </c>
      <c r="J917" t="inlineStr">
        <is>
          <t>일반법인</t>
        </is>
      </c>
      <c r="K917" t="inlineStr">
        <is>
          <t>중소기업</t>
        </is>
      </c>
      <c r="L917" t="inlineStr">
        <is>
          <t>외부감사대상</t>
        </is>
      </c>
      <c r="M917" s="6" t="inlineStr">
        <is>
          <t>2016-08-08</t>
        </is>
      </c>
      <c r="N917" t="inlineStr">
        <is>
          <t>KRI:10L6812100</t>
        </is>
      </c>
      <c r="O917" t="inlineStr">
        <is>
          <t>주거용 건물 개발 및 공급업</t>
        </is>
      </c>
      <c r="P917" t="inlineStr">
        <is>
          <t>부동산 개발,분양</t>
        </is>
      </c>
      <c r="Q917" t="inlineStr">
        <is>
          <t>경기 의정부시 금오동 470-1번지 파크프라자 304호,305호,306호</t>
        </is>
      </c>
      <c r="R917" t="inlineStr">
        <is>
          <t>경기 의정부시 청사로47번길 26, 304호,305호,306호 (금오동,파크프라자)</t>
        </is>
      </c>
    </row>
    <row r="918">
      <c r="A918" t="inlineStr">
        <is>
          <t>NICE:HT0247</t>
        </is>
      </c>
      <c r="B918" t="inlineStr">
        <is>
          <t>바론피앤에스</t>
        </is>
      </c>
      <c r="C918" t="inlineStr">
        <is>
          <t>김선웅</t>
        </is>
      </c>
      <c r="D918" t="inlineStr">
        <is>
          <t>02-554-2131</t>
        </is>
      </c>
      <c r="E918" t="inlineStr">
        <is>
          <t>02-554-2133</t>
        </is>
      </c>
      <c r="G918" t="inlineStr">
        <is>
          <t>6998600629</t>
        </is>
      </c>
      <c r="H918" t="inlineStr">
        <is>
          <t>1101116148070</t>
        </is>
      </c>
      <c r="I918" t="inlineStr">
        <is>
          <t>대상아님</t>
        </is>
      </c>
      <c r="J918" t="inlineStr">
        <is>
          <t>일반법인</t>
        </is>
      </c>
      <c r="K918" t="inlineStr">
        <is>
          <t>중소기업</t>
        </is>
      </c>
      <c r="L918" t="inlineStr">
        <is>
          <t>외부감사대상</t>
        </is>
      </c>
      <c r="M918" s="6" t="inlineStr">
        <is>
          <t>2016-08-11</t>
        </is>
      </c>
      <c r="N918" t="inlineStr">
        <is>
          <t>KRI:10L6822100</t>
        </is>
      </c>
      <c r="O918" t="inlineStr">
        <is>
          <t>부동산 중개 및 대리업</t>
        </is>
      </c>
      <c r="P918" t="inlineStr">
        <is>
          <t>부동산 분양,시행 대행/소프트웨어 개발,공급</t>
        </is>
      </c>
      <c r="Q918" t="inlineStr">
        <is>
          <t>서울 강남구 역삼동 707-12번지 4,5층</t>
        </is>
      </c>
      <c r="R918" t="inlineStr">
        <is>
          <t>서울 강남구 테헤란로44길 7, 4,5층</t>
        </is>
      </c>
    </row>
    <row r="919" ht="19.2" customHeight="1" s="1">
      <c r="A919" t="inlineStr">
        <is>
          <t>NICE:HT0292</t>
        </is>
      </c>
      <c r="B919" t="inlineStr">
        <is>
          <t>러쉬엔터프라이즈</t>
        </is>
      </c>
      <c r="C919" t="inlineStr">
        <is>
          <t>신동휘</t>
        </is>
      </c>
      <c r="D919" t="inlineStr">
        <is>
          <t>051-413-9730</t>
        </is>
      </c>
      <c r="E919" t="inlineStr">
        <is>
          <t>051-413-9732</t>
        </is>
      </c>
      <c r="F919" s="3">
        <f>HYPERLINK("http://www.remsmarine.com", "http://www.remsmarine.com")</f>
        <v/>
      </c>
      <c r="G919" t="inlineStr">
        <is>
          <t>2738800533</t>
        </is>
      </c>
      <c r="H919" t="inlineStr">
        <is>
          <t>1801111049493</t>
        </is>
      </c>
      <c r="I919" t="inlineStr">
        <is>
          <t>대상아님</t>
        </is>
      </c>
      <c r="J919" t="inlineStr">
        <is>
          <t>일반법인</t>
        </is>
      </c>
      <c r="K919" t="inlineStr">
        <is>
          <t>중소기업</t>
        </is>
      </c>
      <c r="L919" t="inlineStr">
        <is>
          <t>외부감사대상</t>
        </is>
      </c>
      <c r="M919" s="6" t="inlineStr">
        <is>
          <t>2016-08-12</t>
        </is>
      </c>
      <c r="N919" t="inlineStr">
        <is>
          <t>KRI:10G4659400</t>
        </is>
      </c>
      <c r="O919" t="inlineStr">
        <is>
          <t>수송용 운송장비 도매업</t>
        </is>
      </c>
      <c r="P919" t="inlineStr">
        <is>
          <t>선박기관부속품 도매/선박 수리/무역(수출)</t>
        </is>
      </c>
      <c r="Q919" t="inlineStr">
        <is>
          <t>부산 사하구 괴정동 250번지 5층</t>
        </is>
      </c>
      <c r="R919" t="inlineStr">
        <is>
          <t>부산 사하구 낙동대로 164, 5층</t>
        </is>
      </c>
    </row>
    <row r="920" ht="19.2" customHeight="1" s="1">
      <c r="A920" t="inlineStr">
        <is>
          <t>NICE:HT5977</t>
        </is>
      </c>
      <c r="B920" t="inlineStr">
        <is>
          <t>컴포트랩</t>
        </is>
      </c>
      <c r="C920" t="inlineStr">
        <is>
          <t>최선미</t>
        </is>
      </c>
      <c r="D920" t="inlineStr">
        <is>
          <t>070-5217-2205</t>
        </is>
      </c>
      <c r="E920" t="inlineStr">
        <is>
          <t>02-6442-7345</t>
        </is>
      </c>
      <c r="F920" s="3">
        <f>HYPERLINK("http://www.comfortlab.co.kr", "http://www.comfortlab.co.kr")</f>
        <v/>
      </c>
      <c r="G920" t="inlineStr">
        <is>
          <t>7448100453</t>
        </is>
      </c>
      <c r="H920" t="inlineStr">
        <is>
          <t>1101116159647</t>
        </is>
      </c>
      <c r="I920" t="inlineStr">
        <is>
          <t>대상아님</t>
        </is>
      </c>
      <c r="J920" t="inlineStr">
        <is>
          <t>일반법인</t>
        </is>
      </c>
      <c r="K920" t="inlineStr">
        <is>
          <t>중소기업</t>
        </is>
      </c>
      <c r="L920" t="inlineStr">
        <is>
          <t>외부감사대상</t>
        </is>
      </c>
      <c r="M920" s="6" t="inlineStr">
        <is>
          <t>2014-10-26</t>
        </is>
      </c>
      <c r="N920" t="inlineStr">
        <is>
          <t>KRI:10C1412000</t>
        </is>
      </c>
      <c r="O920" t="inlineStr">
        <is>
          <t>속옷 및 잠옷 제조업</t>
        </is>
      </c>
      <c r="P920" t="inlineStr">
        <is>
          <t>내의,잠옷 제조/셔츠,외의 도소매/부동산 임대</t>
        </is>
      </c>
      <c r="Q920" t="inlineStr">
        <is>
          <t>서울 강남구 신사동 592-7번지 씨엘빌딩 3층</t>
        </is>
      </c>
      <c r="R920" t="inlineStr">
        <is>
          <t>서울 강남구 압구정로30길 78, 3층 (신사동,씨엘빌딩)</t>
        </is>
      </c>
    </row>
    <row r="921">
      <c r="A921" t="inlineStr">
        <is>
          <t>NICE:HT8184</t>
        </is>
      </c>
      <c r="B921" t="inlineStr">
        <is>
          <t>백년화편</t>
        </is>
      </c>
      <c r="C921" t="inlineStr">
        <is>
          <t>김명희/이정완</t>
        </is>
      </c>
      <c r="D921" t="inlineStr">
        <is>
          <t>02-482-1988</t>
        </is>
      </c>
      <c r="E921" t="inlineStr">
        <is>
          <t>02-476-1988</t>
        </is>
      </c>
      <c r="G921" t="inlineStr">
        <is>
          <t>6458100461</t>
        </is>
      </c>
      <c r="H921" t="inlineStr">
        <is>
          <t>1101116171344</t>
        </is>
      </c>
      <c r="I921" t="inlineStr">
        <is>
          <t>대상아님</t>
        </is>
      </c>
      <c r="J921" t="inlineStr">
        <is>
          <t>일반법인</t>
        </is>
      </c>
      <c r="K921" t="inlineStr">
        <is>
          <t>중소기업</t>
        </is>
      </c>
      <c r="L921" t="inlineStr">
        <is>
          <t>외부감사비대상</t>
        </is>
      </c>
      <c r="M921" s="6" t="inlineStr">
        <is>
          <t>2016-09-07</t>
        </is>
      </c>
      <c r="N921" t="inlineStr">
        <is>
          <t>KRI:10C1071100</t>
        </is>
      </c>
      <c r="O921" t="inlineStr">
        <is>
          <t>떡류 제조업</t>
        </is>
      </c>
      <c r="P921" t="inlineStr">
        <is>
          <t>떡 제조/홍삼,한과 도소매</t>
        </is>
      </c>
      <c r="Q921" t="inlineStr">
        <is>
          <t>서울 강동구 성내동 441-8번지</t>
        </is>
      </c>
      <c r="R921" t="inlineStr">
        <is>
          <t>서울 강동구 양재대로81길 18</t>
        </is>
      </c>
    </row>
    <row r="922" ht="19.2" customHeight="1" s="1">
      <c r="A922" t="inlineStr">
        <is>
          <t>NICE:HU3786</t>
        </is>
      </c>
      <c r="B922" t="inlineStr">
        <is>
          <t>한국그린전력</t>
        </is>
      </c>
      <c r="C922" t="inlineStr">
        <is>
          <t>정재희</t>
        </is>
      </c>
      <c r="D922" t="inlineStr">
        <is>
          <t>1551-0176</t>
        </is>
      </c>
      <c r="E922" t="inlineStr">
        <is>
          <t>042-223-0175</t>
        </is>
      </c>
      <c r="F922" s="3">
        <f>HYPERLINK("http://www.kogreen.co.kr/", "http://www.kogreen.co.kr/")</f>
        <v/>
      </c>
      <c r="G922" t="inlineStr">
        <is>
          <t>5638100567</t>
        </is>
      </c>
      <c r="H922" t="inlineStr">
        <is>
          <t>1601110436893</t>
        </is>
      </c>
      <c r="I922" t="inlineStr">
        <is>
          <t>대상아님</t>
        </is>
      </c>
      <c r="J922" t="inlineStr">
        <is>
          <t>일반법인</t>
        </is>
      </c>
      <c r="K922" t="inlineStr">
        <is>
          <t>중소기업</t>
        </is>
      </c>
      <c r="L922" t="inlineStr">
        <is>
          <t>외부감사대상</t>
        </is>
      </c>
      <c r="M922" s="6" t="inlineStr">
        <is>
          <t>2016-09-28</t>
        </is>
      </c>
      <c r="N922" t="inlineStr">
        <is>
          <t>KRI:10F4231100</t>
        </is>
      </c>
      <c r="O922" t="inlineStr">
        <is>
          <t>일반전기 공사업</t>
        </is>
      </c>
      <c r="P922" t="inlineStr">
        <is>
          <t>전기공사/금속 가공,배전반,전기 자동제어반 제조/신재생에너지/전기자재 도소매</t>
        </is>
      </c>
      <c r="Q922" t="inlineStr">
        <is>
          <t>충남 계룡시 두마면 입암리 644번지</t>
        </is>
      </c>
      <c r="R922" t="inlineStr">
        <is>
          <t>충남 계룡시 두마면 입암길 76-33</t>
        </is>
      </c>
    </row>
    <row r="923">
      <c r="A923" t="inlineStr">
        <is>
          <t>NICE:HU7292</t>
        </is>
      </c>
      <c r="B923" t="inlineStr">
        <is>
          <t>지코바</t>
        </is>
      </c>
      <c r="C923" t="inlineStr">
        <is>
          <t>구민</t>
        </is>
      </c>
      <c r="D923" t="inlineStr">
        <is>
          <t>055-363-9300</t>
        </is>
      </c>
      <c r="E923" t="inlineStr">
        <is>
          <t>055-363-9320</t>
        </is>
      </c>
      <c r="G923" t="inlineStr">
        <is>
          <t>1598800580</t>
        </is>
      </c>
      <c r="H923" t="inlineStr">
        <is>
          <t>2341110090004</t>
        </is>
      </c>
      <c r="I923" t="inlineStr">
        <is>
          <t>대상아님</t>
        </is>
      </c>
      <c r="J923" t="inlineStr">
        <is>
          <t>일반법인</t>
        </is>
      </c>
      <c r="K923" t="inlineStr">
        <is>
          <t>중소기업</t>
        </is>
      </c>
      <c r="L923" t="inlineStr">
        <is>
          <t>외부감사대상</t>
        </is>
      </c>
      <c r="M923" s="6" t="inlineStr">
        <is>
          <t>2016-10-12</t>
        </is>
      </c>
      <c r="N923" t="inlineStr">
        <is>
          <t>KRI:10G4631300</t>
        </is>
      </c>
      <c r="O923" t="inlineStr">
        <is>
          <t>육류 도매업</t>
        </is>
      </c>
      <c r="P923" t="inlineStr">
        <is>
          <t>계육 도소매/양념 제조/인테리어공사</t>
        </is>
      </c>
      <c r="Q923" t="inlineStr">
        <is>
          <t>경남 양산시 어곡동 1071-1번지</t>
        </is>
      </c>
      <c r="R923" t="inlineStr">
        <is>
          <t>경남 양산시 어곡공단로 185</t>
        </is>
      </c>
    </row>
    <row r="924">
      <c r="A924" t="inlineStr">
        <is>
          <t>NICE:HV3249</t>
        </is>
      </c>
      <c r="B924" t="inlineStr">
        <is>
          <t>에스와이리소스</t>
        </is>
      </c>
      <c r="C924" t="inlineStr">
        <is>
          <t>박용철</t>
        </is>
      </c>
      <c r="D924" t="inlineStr">
        <is>
          <t>031-523-4000</t>
        </is>
      </c>
      <c r="E924" t="inlineStr">
        <is>
          <t>031-523-3334</t>
        </is>
      </c>
      <c r="G924" t="inlineStr">
        <is>
          <t>5928100599</t>
        </is>
      </c>
      <c r="H924" t="inlineStr">
        <is>
          <t>2844110090652</t>
        </is>
      </c>
      <c r="I924" t="inlineStr">
        <is>
          <t>대상아님</t>
        </is>
      </c>
      <c r="J924" t="inlineStr">
        <is>
          <t>일반법인</t>
        </is>
      </c>
      <c r="K924" t="inlineStr">
        <is>
          <t>중소기업</t>
        </is>
      </c>
      <c r="L924" t="inlineStr">
        <is>
          <t>외부감사대상</t>
        </is>
      </c>
      <c r="M924" s="6" t="inlineStr">
        <is>
          <t>2016-10-27</t>
        </is>
      </c>
      <c r="N924" t="inlineStr">
        <is>
          <t>KRI:10B0610000</t>
        </is>
      </c>
      <c r="O924" t="inlineStr">
        <is>
          <t>철 광업</t>
        </is>
      </c>
      <c r="P924" t="inlineStr">
        <is>
          <t>철 광업</t>
        </is>
      </c>
      <c r="Q924" t="inlineStr">
        <is>
          <t>경기 포천시 관인면 삼율리 산122번지</t>
        </is>
      </c>
      <c r="R924" t="inlineStr">
        <is>
          <t>경기 포천시 관인면 창동로1230번길 94</t>
        </is>
      </c>
    </row>
    <row r="925">
      <c r="A925" t="inlineStr">
        <is>
          <t>NICE:HV8188</t>
        </is>
      </c>
      <c r="B925" t="inlineStr">
        <is>
          <t>한성기업</t>
        </is>
      </c>
      <c r="C925" t="inlineStr">
        <is>
          <t>문재수</t>
        </is>
      </c>
      <c r="D925" t="inlineStr">
        <is>
          <t>032-565-9110</t>
        </is>
      </c>
      <c r="E925" t="inlineStr">
        <is>
          <t>032-565-9117</t>
        </is>
      </c>
      <c r="G925" t="inlineStr">
        <is>
          <t>2488800615</t>
        </is>
      </c>
      <c r="H925" t="inlineStr">
        <is>
          <t>1201110848567</t>
        </is>
      </c>
      <c r="I925" t="inlineStr">
        <is>
          <t>대상아님</t>
        </is>
      </c>
      <c r="J925" t="inlineStr">
        <is>
          <t>일반법인</t>
        </is>
      </c>
      <c r="K925" t="inlineStr">
        <is>
          <t>중소기업</t>
        </is>
      </c>
      <c r="L925" t="inlineStr">
        <is>
          <t>외부감사대상</t>
        </is>
      </c>
      <c r="M925" s="6" t="inlineStr">
        <is>
          <t>2016-11-15</t>
        </is>
      </c>
      <c r="N925" t="inlineStr">
        <is>
          <t>KRI:10E3823000</t>
        </is>
      </c>
      <c r="O925" t="inlineStr">
        <is>
          <t>건설 폐기물 처리업</t>
        </is>
      </c>
      <c r="P925" t="inlineStr">
        <is>
          <t>폐기물(건설) 중간처리,수집운반/석제품 제조/토목건축공사,토목공사,비계구조물해체공사/골재,모래,재활용토사 도소매</t>
        </is>
      </c>
      <c r="Q925" t="inlineStr">
        <is>
          <t>인천 서구 왕길동 64-501번지</t>
        </is>
      </c>
      <c r="R925" t="inlineStr">
        <is>
          <t>인천 서구 원당대로 390</t>
        </is>
      </c>
    </row>
    <row r="926">
      <c r="A926" t="inlineStr">
        <is>
          <t>NICE:HV9040</t>
        </is>
      </c>
      <c r="B926" t="inlineStr">
        <is>
          <t>아름다운</t>
        </is>
      </c>
      <c r="C926" t="inlineStr">
        <is>
          <t>이창복</t>
        </is>
      </c>
      <c r="D926" t="inlineStr">
        <is>
          <t>032-545-2305</t>
        </is>
      </c>
      <c r="E926" t="inlineStr">
        <is>
          <t>032-545-2306</t>
        </is>
      </c>
      <c r="G926" t="inlineStr">
        <is>
          <t>8698800504</t>
        </is>
      </c>
      <c r="H926" t="inlineStr">
        <is>
          <t>1201110849268</t>
        </is>
      </c>
      <c r="I926" t="inlineStr">
        <is>
          <t>대상아님</t>
        </is>
      </c>
      <c r="J926" t="inlineStr">
        <is>
          <t>일반법인</t>
        </is>
      </c>
      <c r="K926" t="inlineStr">
        <is>
          <t>중소기업</t>
        </is>
      </c>
      <c r="L926" t="inlineStr">
        <is>
          <t>외부감사대상</t>
        </is>
      </c>
      <c r="M926" s="6" t="inlineStr">
        <is>
          <t>2016-11-18</t>
        </is>
      </c>
      <c r="N926" t="inlineStr">
        <is>
          <t>KRI:10C2042300</t>
        </is>
      </c>
      <c r="O926" t="inlineStr">
        <is>
          <t>화장품 제조업</t>
        </is>
      </c>
      <c r="P926" t="inlineStr">
        <is>
          <t>화장품 제조</t>
        </is>
      </c>
      <c r="Q926" t="inlineStr">
        <is>
          <t>인천 계양구 계산동 944-11번지 302동 1748호</t>
        </is>
      </c>
      <c r="R926" t="inlineStr">
        <is>
          <t>인천 계양구 경명대로 1058, 302동 1748호</t>
        </is>
      </c>
    </row>
    <row r="927" ht="19.2" customHeight="1" s="1">
      <c r="A927" t="inlineStr">
        <is>
          <t>NICE:HW1788</t>
        </is>
      </c>
      <c r="B927" t="inlineStr">
        <is>
          <t>피에스인터네셔널</t>
        </is>
      </c>
      <c r="C927" t="inlineStr">
        <is>
          <t>박현선</t>
        </is>
      </c>
      <c r="D927" t="inlineStr">
        <is>
          <t>070-7715-2071</t>
        </is>
      </c>
      <c r="E927" t="inlineStr">
        <is>
          <t>02-541-9131</t>
        </is>
      </c>
      <c r="F927" s="3">
        <f>HYPERLINK("http://www.pinksecret.co.kr/", "http://www.pinksecret.co.kr/")</f>
        <v/>
      </c>
      <c r="G927" t="inlineStr">
        <is>
          <t>6448800550</t>
        </is>
      </c>
      <c r="H927" t="inlineStr">
        <is>
          <t>1101116243581</t>
        </is>
      </c>
      <c r="I927" t="inlineStr">
        <is>
          <t>대상아님</t>
        </is>
      </c>
      <c r="J927" t="inlineStr">
        <is>
          <t>일반법인</t>
        </is>
      </c>
      <c r="K927" t="inlineStr">
        <is>
          <t>중소기업</t>
        </is>
      </c>
      <c r="L927" t="inlineStr">
        <is>
          <t>외부감사대상</t>
        </is>
      </c>
      <c r="M927" s="6" t="inlineStr">
        <is>
          <t>2016-11-28</t>
        </is>
      </c>
      <c r="N927" t="inlineStr">
        <is>
          <t>KRI:10G4791200</t>
        </is>
      </c>
      <c r="O927" t="inlineStr">
        <is>
          <t>전자상거래 소매업</t>
        </is>
      </c>
      <c r="P927" t="inlineStr">
        <is>
          <t>전자상거래(의류)</t>
        </is>
      </c>
      <c r="Q927" t="inlineStr">
        <is>
          <t>서울 강남구 논현동 78번지</t>
        </is>
      </c>
      <c r="R927" t="inlineStr">
        <is>
          <t>서울 강남구 논현로140길 28</t>
        </is>
      </c>
    </row>
    <row r="928" ht="19.2" customHeight="1" s="1">
      <c r="A928" t="inlineStr">
        <is>
          <t>NICE:HW2351</t>
        </is>
      </c>
      <c r="B928" t="inlineStr">
        <is>
          <t>도이치오토월드</t>
        </is>
      </c>
      <c r="C928" t="inlineStr">
        <is>
          <t>장준호/정동원</t>
        </is>
      </c>
      <c r="D928" t="inlineStr">
        <is>
          <t>031-8065-5608</t>
        </is>
      </c>
      <c r="E928" t="inlineStr">
        <is>
          <t>031-8065-5609</t>
        </is>
      </c>
      <c r="F928" s="3">
        <f>HYPERLINK("http://www.dautoworld.com", "http://www.dautoworld.com")</f>
        <v/>
      </c>
      <c r="G928" t="inlineStr">
        <is>
          <t>3098600615</t>
        </is>
      </c>
      <c r="H928" t="inlineStr">
        <is>
          <t>1345110307494</t>
        </is>
      </c>
      <c r="I928" t="inlineStr">
        <is>
          <t>대상아님</t>
        </is>
      </c>
      <c r="J928" t="inlineStr">
        <is>
          <t>일반법인</t>
        </is>
      </c>
      <c r="K928" t="inlineStr">
        <is>
          <t>중견기업</t>
        </is>
      </c>
      <c r="L928" t="inlineStr">
        <is>
          <t>외부감사대상</t>
        </is>
      </c>
      <c r="M928" s="6" t="inlineStr">
        <is>
          <t>2016-11-29</t>
        </is>
      </c>
      <c r="N928" t="inlineStr">
        <is>
          <t>KRI:10L6812200</t>
        </is>
      </c>
      <c r="O928" t="inlineStr">
        <is>
          <t>비주거용 건물 개발 및 공급업</t>
        </is>
      </c>
      <c r="P928" t="inlineStr">
        <is>
          <t>부동산 개발,운영,임대</t>
        </is>
      </c>
      <c r="Q928" t="inlineStr">
        <is>
          <t>경기 용인시 기흥구 영덕동 1005번지 흥덕아이티밸리 타워동 2211호</t>
        </is>
      </c>
      <c r="R928" t="inlineStr">
        <is>
          <t>경기 용인시 기흥구 흥덕1로 13, 타워동 2211호 (영덕동,흥덕아이티밸리)</t>
        </is>
      </c>
    </row>
    <row r="929">
      <c r="A929" t="inlineStr">
        <is>
          <t>NICE:I01962</t>
        </is>
      </c>
      <c r="B929" t="inlineStr">
        <is>
          <t>주원</t>
        </is>
      </c>
      <c r="C929" t="inlineStr">
        <is>
          <t>김기홍</t>
        </is>
      </c>
      <c r="D929" t="inlineStr">
        <is>
          <t>031-611-5601</t>
        </is>
      </c>
      <c r="E929" t="inlineStr">
        <is>
          <t>031-611-5603</t>
        </is>
      </c>
      <c r="G929" t="inlineStr">
        <is>
          <t>1258603144</t>
        </is>
      </c>
      <c r="H929" t="inlineStr">
        <is>
          <t>1313110115886</t>
        </is>
      </c>
      <c r="I929" t="inlineStr">
        <is>
          <t>대상아님</t>
        </is>
      </c>
      <c r="J929" t="inlineStr">
        <is>
          <t>일반법인</t>
        </is>
      </c>
      <c r="K929" t="inlineStr">
        <is>
          <t>중소기업</t>
        </is>
      </c>
      <c r="L929" t="inlineStr">
        <is>
          <t>외부감사대상</t>
        </is>
      </c>
      <c r="M929" s="6" t="inlineStr">
        <is>
          <t>2012-04-16</t>
        </is>
      </c>
      <c r="N929" t="inlineStr">
        <is>
          <t>KRI:10E3811000</t>
        </is>
      </c>
      <c r="O929" t="inlineStr">
        <is>
          <t>지정 외 폐기물 수집, 운반업</t>
        </is>
      </c>
      <c r="P929" t="inlineStr">
        <is>
          <t>폐기물 수집,운반,처리,원료재생</t>
        </is>
      </c>
      <c r="Q929" t="inlineStr">
        <is>
          <t>경기 평택시 진위면 하북리 596-24번지</t>
        </is>
      </c>
      <c r="R929" t="inlineStr">
        <is>
          <t>경기 평택시 진위면 송탄고가길 5-43</t>
        </is>
      </c>
    </row>
    <row r="930" ht="19.2" customHeight="1" s="1">
      <c r="A930" t="inlineStr">
        <is>
          <t>NICE:I03636</t>
        </is>
      </c>
      <c r="B930" t="inlineStr">
        <is>
          <t>히오키코리아</t>
        </is>
      </c>
      <c r="C930" t="inlineStr">
        <is>
          <t>박지웅</t>
        </is>
      </c>
      <c r="D930" t="inlineStr">
        <is>
          <t>02-2183-8847</t>
        </is>
      </c>
      <c r="E930" t="inlineStr">
        <is>
          <t>02-2183-3360</t>
        </is>
      </c>
      <c r="F930" s="3">
        <f>HYPERLINK("http://www.hiokikorea.com", "http://www.hiokikorea.com")</f>
        <v/>
      </c>
      <c r="G930" t="inlineStr">
        <is>
          <t>3148635192</t>
        </is>
      </c>
      <c r="H930" t="inlineStr">
        <is>
          <t>1601110321789</t>
        </is>
      </c>
      <c r="I930" t="inlineStr">
        <is>
          <t>대상아님</t>
        </is>
      </c>
      <c r="J930" t="inlineStr">
        <is>
          <t>일반법인</t>
        </is>
      </c>
      <c r="K930" t="inlineStr">
        <is>
          <t>중소기업</t>
        </is>
      </c>
      <c r="L930" t="inlineStr">
        <is>
          <t>외부감사대상</t>
        </is>
      </c>
      <c r="M930" s="6" t="inlineStr">
        <is>
          <t>2012-04-23</t>
        </is>
      </c>
      <c r="N930" t="inlineStr">
        <is>
          <t>KRI:10G4659300</t>
        </is>
      </c>
      <c r="O930" t="inlineStr">
        <is>
          <t>정밀기기 및 과학기기 도매업</t>
        </is>
      </c>
      <c r="P930" t="inlineStr">
        <is>
          <t>계측기, 전기용 기계장비, 소프트웨어,전기,기계부품,지공구,무역,개발,수리,보수,교정</t>
        </is>
      </c>
      <c r="Q930" t="inlineStr">
        <is>
          <t>서울 강남구 역삼동 707-34번지 한신인터밸리24빌딩 동관 1705호</t>
        </is>
      </c>
      <c r="R930" t="inlineStr">
        <is>
          <t>서울 강남구 테헤란로 322, 동관 1705호 (역삼동,한신인터밸리24빌딩)</t>
        </is>
      </c>
    </row>
    <row r="931" ht="19.2" customHeight="1" s="1">
      <c r="A931" t="inlineStr">
        <is>
          <t>NICE:I05993</t>
        </is>
      </c>
      <c r="B931" t="inlineStr">
        <is>
          <t>신세계동대구복합환승센터</t>
        </is>
      </c>
      <c r="C931" t="inlineStr">
        <is>
          <t>김은</t>
        </is>
      </c>
      <c r="D931" t="inlineStr">
        <is>
          <t>053-661-1062</t>
        </is>
      </c>
      <c r="E931" t="inlineStr">
        <is>
          <t>053-661-1177</t>
        </is>
      </c>
      <c r="F931" s="3">
        <f>HYPERLINK("http://www.shinsegae.com", "http://www.shinsegae.com")</f>
        <v/>
      </c>
      <c r="G931" t="inlineStr">
        <is>
          <t>5028617068</t>
        </is>
      </c>
      <c r="H931" t="inlineStr">
        <is>
          <t>1701110459570</t>
        </is>
      </c>
      <c r="I931" t="inlineStr">
        <is>
          <t>대상아님</t>
        </is>
      </c>
      <c r="J931" t="inlineStr">
        <is>
          <t>일반법인</t>
        </is>
      </c>
      <c r="K931" t="inlineStr">
        <is>
          <t>대기업</t>
        </is>
      </c>
      <c r="L931" t="inlineStr">
        <is>
          <t>외부감사대상</t>
        </is>
      </c>
      <c r="M931" s="6" t="inlineStr">
        <is>
          <t>2012-05-02</t>
        </is>
      </c>
      <c r="N931" t="inlineStr">
        <is>
          <t>KRI:10G4711100</t>
        </is>
      </c>
      <c r="O931" t="inlineStr">
        <is>
          <t>백화점</t>
        </is>
      </c>
      <c r="P931" t="inlineStr">
        <is>
          <t>백화점/의류,잡화 제조/주차장운영,상품권판매/부동산 임대</t>
        </is>
      </c>
      <c r="Q931" t="inlineStr">
        <is>
          <t>대구 동구 신천동 1506번지</t>
        </is>
      </c>
      <c r="R931" t="inlineStr">
        <is>
          <t>대구 동구 동부로 149</t>
        </is>
      </c>
    </row>
    <row r="932" ht="19.2" customHeight="1" s="1">
      <c r="A932" t="inlineStr">
        <is>
          <t>NICE:I08628</t>
        </is>
      </c>
      <c r="B932" t="inlineStr">
        <is>
          <t>엠피닉스</t>
        </is>
      </c>
      <c r="C932" t="inlineStr">
        <is>
          <t>강상도</t>
        </is>
      </c>
      <c r="D932" t="inlineStr">
        <is>
          <t>062-973-9520</t>
        </is>
      </c>
      <c r="E932" t="inlineStr">
        <is>
          <t>062-973-9521</t>
        </is>
      </c>
      <c r="F932" s="3">
        <f>HYPERLINK("http://www.mpnics.com", "http://www.mpnics.com")</f>
        <v/>
      </c>
      <c r="G932" t="inlineStr">
        <is>
          <t>4098629154</t>
        </is>
      </c>
      <c r="H932" t="inlineStr">
        <is>
          <t>2001110342926</t>
        </is>
      </c>
      <c r="I932" t="inlineStr">
        <is>
          <t>대상아님</t>
        </is>
      </c>
      <c r="J932" t="inlineStr">
        <is>
          <t>일반법인</t>
        </is>
      </c>
      <c r="K932" t="inlineStr">
        <is>
          <t>중소기업</t>
        </is>
      </c>
      <c r="L932" t="inlineStr">
        <is>
          <t>외부감사대상</t>
        </is>
      </c>
      <c r="M932" s="6" t="inlineStr">
        <is>
          <t>2012-05-16</t>
        </is>
      </c>
      <c r="N932" t="inlineStr">
        <is>
          <t>KRI:10C2730100</t>
        </is>
      </c>
      <c r="O932" t="inlineStr">
        <is>
          <t>광학렌즈 및 광학요소 제조업</t>
        </is>
      </c>
      <c r="P932" t="inlineStr">
        <is>
          <t>광통신용 렌즈,모듈 제조,개발</t>
        </is>
      </c>
      <c r="Q932" t="inlineStr">
        <is>
          <t>광주 북구 월출동 970-94번지</t>
        </is>
      </c>
      <c r="R932" t="inlineStr">
        <is>
          <t>광주 북구 첨단벤처소로 45</t>
        </is>
      </c>
    </row>
    <row r="933" ht="19.2" customHeight="1" s="1">
      <c r="A933" t="inlineStr">
        <is>
          <t>NICE:I13097</t>
        </is>
      </c>
      <c r="B933" t="inlineStr">
        <is>
          <t>로만시스</t>
        </is>
      </c>
      <c r="C933" t="inlineStr">
        <is>
          <t>장정식</t>
        </is>
      </c>
      <c r="D933" t="inlineStr">
        <is>
          <t>055-213-9200</t>
        </is>
      </c>
      <c r="E933" t="inlineStr">
        <is>
          <t>055-583-5775</t>
        </is>
      </c>
      <c r="F933" s="3">
        <f>HYPERLINK("http://romansys.co.kr", "http://romansys.co.kr")</f>
        <v/>
      </c>
      <c r="G933" t="inlineStr">
        <is>
          <t>6138165827</t>
        </is>
      </c>
      <c r="H933" t="inlineStr">
        <is>
          <t>1911110055141</t>
        </is>
      </c>
      <c r="I933" t="inlineStr">
        <is>
          <t>대상아님</t>
        </is>
      </c>
      <c r="J933" t="inlineStr">
        <is>
          <t>일반법인</t>
        </is>
      </c>
      <c r="K933" t="inlineStr">
        <is>
          <t>중소기업</t>
        </is>
      </c>
      <c r="L933" t="inlineStr">
        <is>
          <t>외부감사대상</t>
        </is>
      </c>
      <c r="M933" s="6" t="inlineStr">
        <is>
          <t>2012-06-20</t>
        </is>
      </c>
      <c r="N933" t="inlineStr">
        <is>
          <t>KRI:10C3120100</t>
        </is>
      </c>
      <c r="O933" t="inlineStr">
        <is>
          <t>기관차 및 기타 철도차량 제조업</t>
        </is>
      </c>
      <c r="P933" t="inlineStr">
        <is>
          <t>철도차량,부품,구조용금속제품 제조/금속,비금속 원료재생/재활용품(비철,고철) 도소매/부동산 임대,매매</t>
        </is>
      </c>
      <c r="Q933" t="inlineStr">
        <is>
          <t>경남 창원시 성산구 대원동 82-1번지</t>
        </is>
      </c>
      <c r="R933" t="inlineStr">
        <is>
          <t>경남 창원시 성산구 삼동로 109</t>
        </is>
      </c>
    </row>
    <row r="934">
      <c r="A934" t="inlineStr">
        <is>
          <t>NICE:I15628</t>
        </is>
      </c>
      <c r="B934" t="inlineStr">
        <is>
          <t>영농조합법인무지개농장</t>
        </is>
      </c>
      <c r="C934" t="inlineStr">
        <is>
          <t>한만혁/한만응</t>
        </is>
      </c>
      <c r="D934" t="inlineStr">
        <is>
          <t>043-856-3940</t>
        </is>
      </c>
      <c r="G934" t="inlineStr">
        <is>
          <t>3038166540</t>
        </is>
      </c>
      <c r="H934" t="inlineStr">
        <is>
          <t>1511710003837</t>
        </is>
      </c>
      <c r="I934" t="inlineStr">
        <is>
          <t>대상아님</t>
        </is>
      </c>
      <c r="J934" t="inlineStr">
        <is>
          <t>일반법인</t>
        </is>
      </c>
      <c r="K934" t="inlineStr">
        <is>
          <t>중소기업</t>
        </is>
      </c>
      <c r="L934" t="inlineStr">
        <is>
          <t>외부감사비대상</t>
        </is>
      </c>
      <c r="M934" s="6" t="inlineStr">
        <is>
          <t>2012-06-22</t>
        </is>
      </c>
      <c r="N934" t="inlineStr">
        <is>
          <t>KRI:10A0123100</t>
        </is>
      </c>
      <c r="O934" t="inlineStr">
        <is>
          <t>양계업</t>
        </is>
      </c>
      <c r="P934" t="inlineStr">
        <is>
          <t>산란계,작물재배업,가축분퇴비</t>
        </is>
      </c>
      <c r="Q934" t="inlineStr">
        <is>
          <t>충북 충주시 소태면 주치리 562번지</t>
        </is>
      </c>
      <c r="R934" t="inlineStr">
        <is>
          <t>충북 충주시 소태면 주치길 478-50</t>
        </is>
      </c>
    </row>
    <row r="935" ht="19.2" customHeight="1" s="1">
      <c r="A935" t="inlineStr">
        <is>
          <t>NICE:I19188</t>
        </is>
      </c>
      <c r="B935" t="inlineStr">
        <is>
          <t>젠썸코리아</t>
        </is>
      </c>
      <c r="C935" t="inlineStr">
        <is>
          <t>서명덕</t>
        </is>
      </c>
      <c r="D935" t="inlineStr">
        <is>
          <t>031-426-9656</t>
        </is>
      </c>
      <c r="E935" t="inlineStr">
        <is>
          <t>031-426-9647</t>
        </is>
      </c>
      <c r="F935" s="3">
        <f>HYPERLINK("http://www.gentherm.com", "http://www.gentherm.com")</f>
        <v/>
      </c>
      <c r="G935" t="inlineStr">
        <is>
          <t>3128605988</t>
        </is>
      </c>
      <c r="H935" t="inlineStr">
        <is>
          <t>1648110048400</t>
        </is>
      </c>
      <c r="I935" t="inlineStr">
        <is>
          <t>대상아님</t>
        </is>
      </c>
      <c r="J935" t="inlineStr">
        <is>
          <t>일반법인</t>
        </is>
      </c>
      <c r="K935" t="inlineStr">
        <is>
          <t>중견기업</t>
        </is>
      </c>
      <c r="L935" t="inlineStr">
        <is>
          <t>외부감사대상</t>
        </is>
      </c>
      <c r="M935" s="6" t="inlineStr">
        <is>
          <t>2009-03-03</t>
        </is>
      </c>
      <c r="N935" t="inlineStr">
        <is>
          <t>KRI:10G4521900</t>
        </is>
      </c>
      <c r="O935" t="inlineStr">
        <is>
          <t>기타 자동차 신품 부품 및 내장품 판매업</t>
        </is>
      </c>
      <c r="P935" t="inlineStr">
        <is>
          <t>자동차부품,내장품 도소매/연구개발/사업경영,관리 자문</t>
        </is>
      </c>
      <c r="Q935" t="inlineStr">
        <is>
          <t>경기 안양시 동안구 관양동 1740-3번지 4층</t>
        </is>
      </c>
      <c r="R935" t="inlineStr">
        <is>
          <t>경기 안양시 동안구 시민대로327번길 28, 4층</t>
        </is>
      </c>
    </row>
    <row r="936">
      <c r="A936" t="inlineStr">
        <is>
          <t>NICE:I22128</t>
        </is>
      </c>
      <c r="B936" t="inlineStr">
        <is>
          <t>세원의료재단</t>
        </is>
      </c>
      <c r="C936" t="inlineStr">
        <is>
          <t>김광중</t>
        </is>
      </c>
      <c r="D936" t="inlineStr">
        <is>
          <t>02-2191-3911</t>
        </is>
      </c>
      <c r="G936" t="inlineStr">
        <is>
          <t>2208201521</t>
        </is>
      </c>
      <c r="H936" t="inlineStr">
        <is>
          <t>1146330008657</t>
        </is>
      </c>
      <c r="I936" t="inlineStr">
        <is>
          <t>대상아님</t>
        </is>
      </c>
      <c r="J936" t="inlineStr">
        <is>
          <t>비영리법인</t>
        </is>
      </c>
      <c r="K936" t="inlineStr">
        <is>
          <t>대상아님</t>
        </is>
      </c>
      <c r="L936" t="inlineStr">
        <is>
          <t>외부감사비대상</t>
        </is>
      </c>
      <c r="M936" s="6" t="inlineStr">
        <is>
          <t>1992-10-22</t>
        </is>
      </c>
      <c r="N936" t="inlineStr">
        <is>
          <t>KRI:10Q8620100</t>
        </is>
      </c>
      <c r="O936" t="inlineStr">
        <is>
          <t>일반 의원</t>
        </is>
      </c>
      <c r="P936" t="inlineStr">
        <is>
          <t>일반과,내과,소아과</t>
        </is>
      </c>
      <c r="Q936" t="inlineStr">
        <is>
          <t>서울 강남구 역삼동 606-13번지</t>
        </is>
      </c>
      <c r="R936" t="inlineStr">
        <is>
          <t>서울 강남구 논현로105길 6-9</t>
        </is>
      </c>
    </row>
    <row r="937">
      <c r="A937" t="inlineStr">
        <is>
          <t>NICE:I25718</t>
        </is>
      </c>
      <c r="B937" t="inlineStr">
        <is>
          <t>케미텍</t>
        </is>
      </c>
      <c r="C937" t="inlineStr">
        <is>
          <t>지일식</t>
        </is>
      </c>
      <c r="D937" t="inlineStr">
        <is>
          <t>02-707-3306</t>
        </is>
      </c>
      <c r="E937" t="inlineStr">
        <is>
          <t>02-707-3305</t>
        </is>
      </c>
      <c r="G937" t="inlineStr">
        <is>
          <t>1298161379</t>
        </is>
      </c>
      <c r="H937" t="inlineStr">
        <is>
          <t>1311110095074</t>
        </is>
      </c>
      <c r="I937" t="inlineStr">
        <is>
          <t>대상아님</t>
        </is>
      </c>
      <c r="J937" t="inlineStr">
        <is>
          <t>일반법인</t>
        </is>
      </c>
      <c r="K937" t="inlineStr">
        <is>
          <t>중소기업</t>
        </is>
      </c>
      <c r="L937" t="inlineStr">
        <is>
          <t>외부감사대상</t>
        </is>
      </c>
      <c r="M937" s="6" t="inlineStr">
        <is>
          <t>2003-04-28</t>
        </is>
      </c>
      <c r="N937" t="inlineStr">
        <is>
          <t>KRI:10C2812200</t>
        </is>
      </c>
      <c r="O937" t="inlineStr">
        <is>
          <t>전기회로 접속장치 제조업</t>
        </is>
      </c>
      <c r="P937" t="inlineStr">
        <is>
          <t>전기회로접속장치,전자부품 제조</t>
        </is>
      </c>
      <c r="Q937" t="inlineStr">
        <is>
          <t>경기 성남시 중원구 상대원동 5473번지 705호,706호,707호,708호,709호,710호,711호,712호,713호,714호,715호</t>
        </is>
      </c>
      <c r="R937" t="inlineStr">
        <is>
          <t>경기 성남시 중원구 갈마치로 208, 705호,706호,707호,708호,709호,710호,711호,712호,713호,714호,715호</t>
        </is>
      </c>
    </row>
    <row r="938">
      <c r="A938" t="inlineStr">
        <is>
          <t>NICE:I33777</t>
        </is>
      </c>
      <c r="B938" t="inlineStr">
        <is>
          <t>제이엘유나이티드</t>
        </is>
      </c>
      <c r="C938" t="inlineStr">
        <is>
          <t>전은수</t>
        </is>
      </c>
      <c r="D938" t="inlineStr">
        <is>
          <t>031-283-8558</t>
        </is>
      </c>
      <c r="E938" t="inlineStr">
        <is>
          <t>031-283-8595</t>
        </is>
      </c>
      <c r="G938" t="inlineStr">
        <is>
          <t>1248600334</t>
        </is>
      </c>
      <c r="H938" t="inlineStr">
        <is>
          <t>1358110084988</t>
        </is>
      </c>
      <c r="I938" t="inlineStr">
        <is>
          <t>대상아님</t>
        </is>
      </c>
      <c r="J938" t="inlineStr">
        <is>
          <t>일반법인</t>
        </is>
      </c>
      <c r="K938" t="inlineStr">
        <is>
          <t>중견기업</t>
        </is>
      </c>
      <c r="L938" t="inlineStr">
        <is>
          <t>외부감사대상</t>
        </is>
      </c>
      <c r="M938" s="6" t="inlineStr">
        <is>
          <t>2009-05-20</t>
        </is>
      </c>
      <c r="N938" t="inlineStr">
        <is>
          <t>KRI:10L6811200</t>
        </is>
      </c>
      <c r="O938" t="inlineStr">
        <is>
          <t>비주거용 건물 임대업</t>
        </is>
      </c>
      <c r="P938" t="inlineStr">
        <is>
          <t>부동산(건물) 임대,개발,공급,분양대행,컨설팅/주택건설</t>
        </is>
      </c>
      <c r="Q938" t="inlineStr">
        <is>
          <t>경기 용인시 기흥구 구갈동 657번지 기흥역롯데캐슬레이시티 시티동 22층</t>
        </is>
      </c>
      <c r="R938" t="inlineStr">
        <is>
          <t>경기 용인시 기흥구 기흥역로 9, 시티동 22층 (구갈동,기흥역롯데캐슬레이시티)</t>
        </is>
      </c>
    </row>
    <row r="939">
      <c r="A939" t="inlineStr">
        <is>
          <t>NICE:I42404</t>
        </is>
      </c>
      <c r="B939" t="inlineStr">
        <is>
          <t>엘리온종합물류</t>
        </is>
      </c>
      <c r="C939" t="inlineStr">
        <is>
          <t>김도형</t>
        </is>
      </c>
      <c r="D939" t="inlineStr">
        <is>
          <t>054-248-4707</t>
        </is>
      </c>
      <c r="E939" t="inlineStr">
        <is>
          <t>054-248-4705</t>
        </is>
      </c>
      <c r="G939" t="inlineStr">
        <is>
          <t>6178183088</t>
        </is>
      </c>
      <c r="H939" t="inlineStr">
        <is>
          <t>1801110705997</t>
        </is>
      </c>
      <c r="I939" t="inlineStr">
        <is>
          <t>대상아님</t>
        </is>
      </c>
      <c r="J939" t="inlineStr">
        <is>
          <t>일반법인</t>
        </is>
      </c>
      <c r="K939" t="inlineStr">
        <is>
          <t>중소기업</t>
        </is>
      </c>
      <c r="L939" t="inlineStr">
        <is>
          <t>외부감사대상</t>
        </is>
      </c>
      <c r="M939" s="6" t="inlineStr">
        <is>
          <t>2010-03-22</t>
        </is>
      </c>
      <c r="N939" t="inlineStr">
        <is>
          <t>KRI:10H5299200</t>
        </is>
      </c>
      <c r="O939" t="inlineStr">
        <is>
          <t>화물운송 중개, 대리 및 관련 서비스업</t>
        </is>
      </c>
      <c r="P939" t="inlineStr">
        <is>
          <t>복합물류주선,국제물류주선</t>
        </is>
      </c>
      <c r="Q939" t="inlineStr">
        <is>
          <t>경북 포항시 북구 흥해읍 용한리 895번지</t>
        </is>
      </c>
      <c r="R939" t="inlineStr">
        <is>
          <t>경북 포항시 북구 흥해읍 영일만항로 238</t>
        </is>
      </c>
    </row>
    <row r="940">
      <c r="A940" t="inlineStr">
        <is>
          <t>NICE:I49987</t>
        </is>
      </c>
      <c r="B940" t="inlineStr">
        <is>
          <t>씨엠아이</t>
        </is>
      </c>
      <c r="C940" t="inlineStr">
        <is>
          <t>김만형</t>
        </is>
      </c>
      <c r="D940" t="inlineStr">
        <is>
          <t>051-802-5093</t>
        </is>
      </c>
      <c r="E940" t="inlineStr">
        <is>
          <t>051-802-5094</t>
        </is>
      </c>
      <c r="G940" t="inlineStr">
        <is>
          <t>6158137685</t>
        </is>
      </c>
      <c r="H940" t="inlineStr">
        <is>
          <t>1955110071559</t>
        </is>
      </c>
      <c r="I940" t="inlineStr">
        <is>
          <t>대상아님</t>
        </is>
      </c>
      <c r="J940" t="inlineStr">
        <is>
          <t>일반법인</t>
        </is>
      </c>
      <c r="K940" t="inlineStr">
        <is>
          <t>중소기업</t>
        </is>
      </c>
      <c r="L940" t="inlineStr">
        <is>
          <t>외부감사대상</t>
        </is>
      </c>
      <c r="M940" s="6" t="inlineStr">
        <is>
          <t>2004-04-23</t>
        </is>
      </c>
      <c r="N940" t="inlineStr">
        <is>
          <t>KRI:10G4659900</t>
        </is>
      </c>
      <c r="O940" t="inlineStr">
        <is>
          <t>그 외 기타 기계 및 장비 도매업</t>
        </is>
      </c>
      <c r="P940" t="inlineStr">
        <is>
          <t>기계장비,금형제품 도소매</t>
        </is>
      </c>
      <c r="Q940" t="inlineStr">
        <is>
          <t>부산 사상구 덕포동 389-6번지</t>
        </is>
      </c>
      <c r="R940" t="inlineStr">
        <is>
          <t>부산 사상구 사상로 353</t>
        </is>
      </c>
    </row>
    <row r="941" ht="19.2" customHeight="1" s="1">
      <c r="A941" t="inlineStr">
        <is>
          <t>NICE:I52644</t>
        </is>
      </c>
      <c r="B941" t="inlineStr">
        <is>
          <t>하늘바이오농업회사법인</t>
        </is>
      </c>
      <c r="C941" t="inlineStr">
        <is>
          <t>윤효미</t>
        </is>
      </c>
      <c r="D941" t="inlineStr">
        <is>
          <t>055-943-8375</t>
        </is>
      </c>
      <c r="E941" t="inlineStr">
        <is>
          <t>055-943-8376</t>
        </is>
      </c>
      <c r="F941" s="3">
        <f>HYPERLINK("http://www.ohs.co.kr", "http://www.ohs.co.kr")</f>
        <v/>
      </c>
      <c r="G941" t="inlineStr">
        <is>
          <t>6118116825</t>
        </is>
      </c>
      <c r="H941" t="inlineStr">
        <is>
          <t>1914110007485</t>
        </is>
      </c>
      <c r="I941" t="inlineStr">
        <is>
          <t>대상아님</t>
        </is>
      </c>
      <c r="J941" t="inlineStr">
        <is>
          <t>일반법인</t>
        </is>
      </c>
      <c r="K941" t="inlineStr">
        <is>
          <t>중소기업</t>
        </is>
      </c>
      <c r="L941" t="inlineStr">
        <is>
          <t>외부감사대상</t>
        </is>
      </c>
      <c r="M941" s="6" t="inlineStr">
        <is>
          <t>2008-11-21</t>
        </is>
      </c>
      <c r="N941" t="inlineStr">
        <is>
          <t>KRI:10C1079900</t>
        </is>
      </c>
      <c r="O941" t="inlineStr">
        <is>
          <t>그 외 기타 식료품 제조업</t>
        </is>
      </c>
      <c r="P941" t="inlineStr">
        <is>
          <t>식료품,반찬류 제조/과실,채소가공,저장</t>
        </is>
      </c>
      <c r="Q941" t="inlineStr">
        <is>
          <t>경남 거창군 남상면 대산리 1599-3번지</t>
        </is>
      </c>
      <c r="R941" t="inlineStr">
        <is>
          <t>경남 거창군 남상면 홍덕길 11</t>
        </is>
      </c>
    </row>
    <row r="942">
      <c r="A942" t="inlineStr">
        <is>
          <t>NICE:I54832</t>
        </is>
      </c>
      <c r="B942" t="inlineStr">
        <is>
          <t>신흥농약</t>
        </is>
      </c>
      <c r="C942" t="inlineStr">
        <is>
          <t>서호석</t>
        </is>
      </c>
      <c r="D942" t="inlineStr">
        <is>
          <t>063-855-9065</t>
        </is>
      </c>
      <c r="G942" t="inlineStr">
        <is>
          <t>4038106712</t>
        </is>
      </c>
      <c r="H942" t="inlineStr">
        <is>
          <t>2149110005762</t>
        </is>
      </c>
      <c r="I942" t="inlineStr">
        <is>
          <t>대상아님</t>
        </is>
      </c>
      <c r="J942" t="inlineStr">
        <is>
          <t>일반법인</t>
        </is>
      </c>
      <c r="K942" t="inlineStr">
        <is>
          <t>중소기업</t>
        </is>
      </c>
      <c r="L942" t="inlineStr">
        <is>
          <t>외부감사대상</t>
        </is>
      </c>
      <c r="M942" s="6" t="inlineStr">
        <is>
          <t>1991-11-26</t>
        </is>
      </c>
      <c r="N942" t="inlineStr">
        <is>
          <t>KRI:10G4673200</t>
        </is>
      </c>
      <c r="O942" t="inlineStr">
        <is>
          <t>비료 및 농약 도매업</t>
        </is>
      </c>
      <c r="P942" t="inlineStr">
        <is>
          <t>농약 도소매</t>
        </is>
      </c>
      <c r="Q942" t="inlineStr">
        <is>
          <t>전북 익산시 황등면 죽촌리 651-3번지</t>
        </is>
      </c>
      <c r="R942" t="inlineStr">
        <is>
          <t>전북 익산시 황등면 시와로 183</t>
        </is>
      </c>
    </row>
    <row r="943" ht="19.2" customHeight="1" s="1">
      <c r="A943" t="inlineStr">
        <is>
          <t>NICE:I65762</t>
        </is>
      </c>
      <c r="B943" t="inlineStr">
        <is>
          <t>내츄럴스푸드</t>
        </is>
      </c>
      <c r="C943" t="inlineStr">
        <is>
          <t>송용진</t>
        </is>
      </c>
      <c r="D943" t="inlineStr">
        <is>
          <t>043-534-6999</t>
        </is>
      </c>
      <c r="E943" t="inlineStr">
        <is>
          <t>043-4367-2500</t>
        </is>
      </c>
      <c r="F943" s="3">
        <f>HYPERLINK("http://www.naturalsfood.co.kr", "http://www.naturalsfood.co.kr")</f>
        <v/>
      </c>
      <c r="G943" t="inlineStr">
        <is>
          <t>3038164047</t>
        </is>
      </c>
      <c r="H943" t="inlineStr">
        <is>
          <t>1545110050263</t>
        </is>
      </c>
      <c r="I943" t="inlineStr">
        <is>
          <t>대상아님</t>
        </is>
      </c>
      <c r="J943" t="inlineStr">
        <is>
          <t>일반법인</t>
        </is>
      </c>
      <c r="K943" t="inlineStr">
        <is>
          <t>중소기업</t>
        </is>
      </c>
      <c r="L943" t="inlineStr">
        <is>
          <t>외부감사대상</t>
        </is>
      </c>
      <c r="M943" s="6" t="inlineStr">
        <is>
          <t>2011-11-22</t>
        </is>
      </c>
      <c r="N943" t="inlineStr">
        <is>
          <t>KRI:10C1074200</t>
        </is>
      </c>
      <c r="O943" t="inlineStr">
        <is>
          <t>천연 및 혼합조제 조미료 제조업</t>
        </is>
      </c>
      <c r="P943" t="inlineStr">
        <is>
          <t>식품첨가물,천연조미제품,혼합조제조미료 제조,도소매/부동산 임대</t>
        </is>
      </c>
      <c r="Q943" t="inlineStr">
        <is>
          <t>충북 진천군 덕산읍 신척리 988번지</t>
        </is>
      </c>
      <c r="R943" t="inlineStr">
        <is>
          <t>충북 진천군 덕산읍 신척산단3로 10</t>
        </is>
      </c>
    </row>
    <row r="944" ht="19.2" customHeight="1" s="1">
      <c r="A944" t="inlineStr">
        <is>
          <t>NICE:I66837</t>
        </is>
      </c>
      <c r="B944" t="inlineStr">
        <is>
          <t>성일에스아이엠</t>
        </is>
      </c>
      <c r="C944" t="inlineStr">
        <is>
          <t>우창수</t>
        </is>
      </c>
      <c r="D944" t="inlineStr">
        <is>
          <t>051-831-8800</t>
        </is>
      </c>
      <c r="E944" t="inlineStr">
        <is>
          <t>051-831-5959</t>
        </is>
      </c>
      <c r="F944" s="3">
        <f>HYPERLINK("http://www.sungilsim.com", "http://www.sungilsim.com")</f>
        <v/>
      </c>
      <c r="G944" t="inlineStr">
        <is>
          <t>6068638439</t>
        </is>
      </c>
      <c r="H944" t="inlineStr">
        <is>
          <t>1801110815902</t>
        </is>
      </c>
      <c r="I944" t="inlineStr">
        <is>
          <t>대상아님</t>
        </is>
      </c>
      <c r="J944" t="inlineStr">
        <is>
          <t>일반법인</t>
        </is>
      </c>
      <c r="K944" t="inlineStr">
        <is>
          <t>중소기업</t>
        </is>
      </c>
      <c r="L944" t="inlineStr">
        <is>
          <t>외부감사대상</t>
        </is>
      </c>
      <c r="M944" s="6" t="inlineStr">
        <is>
          <t>2012-07-03</t>
        </is>
      </c>
      <c r="N944" t="inlineStr">
        <is>
          <t>KRI:10C2413300</t>
        </is>
      </c>
      <c r="O944" t="inlineStr">
        <is>
          <t>강관 가공품 및 관 연결구류 제조업</t>
        </is>
      </c>
      <c r="P944" t="inlineStr">
        <is>
          <t>철강관연결구류,고주파밴브,배관,자동차부품 제조/금속제품 도소매/창고</t>
        </is>
      </c>
      <c r="Q944" t="inlineStr">
        <is>
          <t>부산 사상구 모라동 1375번지 부산벤처타워 1701호</t>
        </is>
      </c>
      <c r="R944" t="inlineStr">
        <is>
          <t>부산 사상구 모라로 22, 1701호 (모라동,부산벤처타워)</t>
        </is>
      </c>
    </row>
    <row r="945" ht="19.2" customHeight="1" s="1">
      <c r="A945" t="inlineStr">
        <is>
          <t>NICE:I71074</t>
        </is>
      </c>
      <c r="B945" t="inlineStr">
        <is>
          <t>티오케이첨단재료</t>
        </is>
      </c>
      <c r="C945" t="inlineStr">
        <is>
          <t>김기태</t>
        </is>
      </c>
      <c r="D945" t="inlineStr">
        <is>
          <t>032-850-2000</t>
        </is>
      </c>
      <c r="E945" t="inlineStr">
        <is>
          <t>032-850-2100</t>
        </is>
      </c>
      <c r="F945" s="3">
        <f>HYPERLINK("http://www.tokam.co.kr", "http://www.tokam.co.kr")</f>
        <v/>
      </c>
      <c r="G945" t="inlineStr">
        <is>
          <t>1318640315</t>
        </is>
      </c>
      <c r="H945" t="inlineStr">
        <is>
          <t>1201110623638</t>
        </is>
      </c>
      <c r="I945" t="inlineStr">
        <is>
          <t>대상아님</t>
        </is>
      </c>
      <c r="J945" t="inlineStr">
        <is>
          <t>일반법인</t>
        </is>
      </c>
      <c r="K945" t="inlineStr">
        <is>
          <t>중견기업</t>
        </is>
      </c>
      <c r="L945" t="inlineStr">
        <is>
          <t>외부감사대상</t>
        </is>
      </c>
      <c r="M945" s="6" t="inlineStr">
        <is>
          <t>2012-08-17</t>
        </is>
      </c>
      <c r="N945" t="inlineStr">
        <is>
          <t>KRI:10C2049100</t>
        </is>
      </c>
      <c r="O945" t="inlineStr">
        <is>
          <t>감광재료 및 관련 화학제품 제조업</t>
        </is>
      </c>
      <c r="P945" t="inlineStr">
        <is>
          <t>화학제품(반도체재료,플랫판넬 디스플레이 제조용 재료) 제조</t>
        </is>
      </c>
      <c r="Q945" t="inlineStr">
        <is>
          <t>인천 연수구 송도동 215-3번지</t>
        </is>
      </c>
      <c r="R945" t="inlineStr">
        <is>
          <t>인천 연수구 첨단대로60번길 45</t>
        </is>
      </c>
    </row>
    <row r="946" ht="19.2" customHeight="1" s="1">
      <c r="A946" t="inlineStr">
        <is>
          <t>NICE:I78976</t>
        </is>
      </c>
      <c r="B946" t="inlineStr">
        <is>
          <t>에이치에스하이테크</t>
        </is>
      </c>
      <c r="C946" t="inlineStr">
        <is>
          <t>이인오/이인각</t>
        </is>
      </c>
      <c r="D946" t="inlineStr">
        <is>
          <t>031-312-1907</t>
        </is>
      </c>
      <c r="E946" t="inlineStr">
        <is>
          <t>031-312-1908</t>
        </is>
      </c>
      <c r="F946" s="3">
        <f>HYPERLINK("http://www.hshi-tech.co.kr", "http://www.hshi-tech.co.kr")</f>
        <v/>
      </c>
      <c r="G946" t="inlineStr">
        <is>
          <t>1348691545</t>
        </is>
      </c>
      <c r="H946" t="inlineStr">
        <is>
          <t>1314110280108</t>
        </is>
      </c>
      <c r="I946" t="inlineStr">
        <is>
          <t>대상아님</t>
        </is>
      </c>
      <c r="J946" t="inlineStr">
        <is>
          <t>일반법인</t>
        </is>
      </c>
      <c r="K946" t="inlineStr">
        <is>
          <t>중소기업</t>
        </is>
      </c>
      <c r="L946" t="inlineStr">
        <is>
          <t>외부감사대상</t>
        </is>
      </c>
      <c r="M946" s="6" t="inlineStr">
        <is>
          <t>2012-07-03</t>
        </is>
      </c>
      <c r="N946" t="inlineStr">
        <is>
          <t>KRI:10C2927100</t>
        </is>
      </c>
      <c r="O946" t="inlineStr">
        <is>
          <t>반도체 제조용 기계 제조업</t>
        </is>
      </c>
      <c r="P946" t="inlineStr">
        <is>
          <t>반도체제조장비,부품,쓰리디(3D) 프린팅 제조</t>
        </is>
      </c>
      <c r="Q946" t="inlineStr">
        <is>
          <t>경기 화성시 효행구 정남면 음양리 915번지</t>
        </is>
      </c>
      <c r="R946" t="inlineStr">
        <is>
          <t>경기 화성시 효행구 정남면 정남산단로 100</t>
        </is>
      </c>
    </row>
    <row r="947">
      <c r="A947" t="inlineStr">
        <is>
          <t>NICE:I81026</t>
        </is>
      </c>
      <c r="B947" t="inlineStr">
        <is>
          <t>화성광주고속도로</t>
        </is>
      </c>
      <c r="C947" t="inlineStr">
        <is>
          <t>안창우</t>
        </is>
      </c>
      <c r="D947" t="inlineStr">
        <is>
          <t>031-281-1913</t>
        </is>
      </c>
      <c r="E947" t="inlineStr">
        <is>
          <t>031-281-1917</t>
        </is>
      </c>
      <c r="G947" t="inlineStr">
        <is>
          <t>1018678028</t>
        </is>
      </c>
      <c r="H947" t="inlineStr">
        <is>
          <t>1101115030004</t>
        </is>
      </c>
      <c r="I947" t="inlineStr">
        <is>
          <t>대상아님</t>
        </is>
      </c>
      <c r="J947" t="inlineStr">
        <is>
          <t>일반법인</t>
        </is>
      </c>
      <c r="K947" t="inlineStr">
        <is>
          <t>중소기업</t>
        </is>
      </c>
      <c r="L947" t="inlineStr">
        <is>
          <t>외부감사대상</t>
        </is>
      </c>
      <c r="M947" s="6" t="inlineStr">
        <is>
          <t>2012-12-26</t>
        </is>
      </c>
      <c r="N947" t="inlineStr">
        <is>
          <t>KRI:10H5291400</t>
        </is>
      </c>
      <c r="O947" t="inlineStr">
        <is>
          <t>도로 및 관련시설 운영업</t>
        </is>
      </c>
      <c r="P947" t="inlineStr">
        <is>
          <t>도로,관련시설 운영</t>
        </is>
      </c>
      <c r="Q947" t="inlineStr">
        <is>
          <t>경기 용인시 처인구 포곡읍 영문리 5-26번지</t>
        </is>
      </c>
      <c r="R947" t="inlineStr">
        <is>
          <t>경기 용인시 처인구 포곡읍 석성로 1127-33</t>
        </is>
      </c>
    </row>
    <row r="948">
      <c r="A948" t="inlineStr">
        <is>
          <t>NICE:I81743</t>
        </is>
      </c>
      <c r="B948" t="inlineStr">
        <is>
          <t>아이언그레이</t>
        </is>
      </c>
      <c r="C948" t="inlineStr">
        <is>
          <t>도기현</t>
        </is>
      </c>
      <c r="D948" t="inlineStr">
        <is>
          <t>02-6970-0063</t>
        </is>
      </c>
      <c r="E948" t="inlineStr">
        <is>
          <t>02-6970-0127</t>
        </is>
      </c>
      <c r="G948" t="inlineStr">
        <is>
          <t>1048644788</t>
        </is>
      </c>
      <c r="H948" t="inlineStr">
        <is>
          <t>1101114992768</t>
        </is>
      </c>
      <c r="I948" t="inlineStr">
        <is>
          <t>대상아님</t>
        </is>
      </c>
      <c r="J948" t="inlineStr">
        <is>
          <t>일반법인</t>
        </is>
      </c>
      <c r="K948" t="inlineStr">
        <is>
          <t>대기업</t>
        </is>
      </c>
      <c r="L948" t="inlineStr">
        <is>
          <t>외부감사대상</t>
        </is>
      </c>
      <c r="M948" s="6" t="inlineStr">
        <is>
          <t>2012-11-01</t>
        </is>
      </c>
      <c r="N948" t="inlineStr">
        <is>
          <t>KRI:10L6811200</t>
        </is>
      </c>
      <c r="O948" t="inlineStr">
        <is>
          <t>비주거용 건물 임대업</t>
        </is>
      </c>
      <c r="P948" t="inlineStr">
        <is>
          <t>부동산 임대,투자</t>
        </is>
      </c>
      <c r="Q948" t="inlineStr">
        <is>
          <t>서울 마포구 서교동 490번지</t>
        </is>
      </c>
      <c r="R948" t="inlineStr">
        <is>
          <t>서울 마포구 양화로 45</t>
        </is>
      </c>
    </row>
    <row r="949" ht="19.2" customHeight="1" s="1">
      <c r="A949" t="inlineStr">
        <is>
          <t>NICE:I82631</t>
        </is>
      </c>
      <c r="B949" t="inlineStr">
        <is>
          <t>키맥스</t>
        </is>
      </c>
      <c r="C949" t="inlineStr">
        <is>
          <t>김창고</t>
        </is>
      </c>
      <c r="D949" t="inlineStr">
        <is>
          <t>031-8002-3100</t>
        </is>
      </c>
      <c r="E949" t="inlineStr">
        <is>
          <t>031-8002-3106</t>
        </is>
      </c>
      <c r="F949" s="3">
        <f>HYPERLINK("http://www.kimex.co.kr", "http://www.kimex.co.kr")</f>
        <v/>
      </c>
      <c r="G949" t="inlineStr">
        <is>
          <t>1428154740</t>
        </is>
      </c>
      <c r="H949" t="inlineStr">
        <is>
          <t>1345110202545</t>
        </is>
      </c>
      <c r="I949" t="inlineStr">
        <is>
          <t>대상아님</t>
        </is>
      </c>
      <c r="J949" t="inlineStr">
        <is>
          <t>일반법인</t>
        </is>
      </c>
      <c r="K949" t="inlineStr">
        <is>
          <t>중소기업</t>
        </is>
      </c>
      <c r="L949" t="inlineStr">
        <is>
          <t>외부감사대상</t>
        </is>
      </c>
      <c r="M949" s="6" t="inlineStr">
        <is>
          <t>2013-01-02</t>
        </is>
      </c>
      <c r="N949" t="inlineStr">
        <is>
          <t>KRI:10C2049900</t>
        </is>
      </c>
      <c r="O949" t="inlineStr">
        <is>
          <t>그 외 기타 분류 안된 화학제품 제조업</t>
        </is>
      </c>
      <c r="P949" t="inlineStr">
        <is>
          <t>방향유 제조/부동산 임대</t>
        </is>
      </c>
      <c r="Q949" t="inlineStr">
        <is>
          <t>경기 용인시 처인구 이동읍 묘봉리 406번지</t>
        </is>
      </c>
      <c r="R949" t="inlineStr">
        <is>
          <t>경기 용인시 처인구 이동읍 묘봉로 220-15</t>
        </is>
      </c>
    </row>
    <row r="950">
      <c r="A950" t="inlineStr">
        <is>
          <t>NICE:I88243</t>
        </is>
      </c>
      <c r="B950" t="inlineStr">
        <is>
          <t>수원순환도로</t>
        </is>
      </c>
      <c r="C950" t="inlineStr">
        <is>
          <t>김경택</t>
        </is>
      </c>
      <c r="D950" t="inlineStr">
        <is>
          <t>070-7701-5359</t>
        </is>
      </c>
      <c r="E950" t="inlineStr">
        <is>
          <t>031-211-3257</t>
        </is>
      </c>
      <c r="G950" t="inlineStr">
        <is>
          <t>1208793105</t>
        </is>
      </c>
      <c r="H950" t="inlineStr">
        <is>
          <t>1101115046340</t>
        </is>
      </c>
      <c r="I950" t="inlineStr">
        <is>
          <t>대상아님</t>
        </is>
      </c>
      <c r="J950" t="inlineStr">
        <is>
          <t>일반법인</t>
        </is>
      </c>
      <c r="K950" t="inlineStr">
        <is>
          <t>중소기업</t>
        </is>
      </c>
      <c r="L950" t="inlineStr">
        <is>
          <t>외부감사대상</t>
        </is>
      </c>
      <c r="M950" s="6" t="inlineStr">
        <is>
          <t>2013-01-16</t>
        </is>
      </c>
      <c r="N950" t="inlineStr">
        <is>
          <t>KRI:10H5291400</t>
        </is>
      </c>
      <c r="O950" t="inlineStr">
        <is>
          <t>도로 및 관련시설 운영업</t>
        </is>
      </c>
      <c r="P950" t="inlineStr">
        <is>
          <t>도로,관련시설 운영</t>
        </is>
      </c>
      <c r="Q950" t="inlineStr">
        <is>
          <t>경기 수원시 장안구 송죽동 10-6번지 장안영업소 2층</t>
        </is>
      </c>
      <c r="R950" t="inlineStr">
        <is>
          <t>경기 수원시 장안구 수원북부순환로 188, 2층 (송죽동,장안영업소)</t>
        </is>
      </c>
    </row>
    <row r="951" ht="19.2" customHeight="1" s="1">
      <c r="A951" t="inlineStr">
        <is>
          <t>NICE:I89712</t>
        </is>
      </c>
      <c r="B951" t="inlineStr">
        <is>
          <t>대한시멘트</t>
        </is>
      </c>
      <c r="C951" t="inlineStr">
        <is>
          <t>강병복</t>
        </is>
      </c>
      <c r="D951" t="inlineStr">
        <is>
          <t>061-792-6221</t>
        </is>
      </c>
      <c r="E951" t="inlineStr">
        <is>
          <t>061-795-0001</t>
        </is>
      </c>
      <c r="F951" s="3">
        <f>HYPERLINK("http://www.dhcement.co.kr", "http://www.dhcement.co.kr")</f>
        <v/>
      </c>
      <c r="G951" t="inlineStr">
        <is>
          <t>4168186686</t>
        </is>
      </c>
      <c r="H951" t="inlineStr">
        <is>
          <t>2046110038589</t>
        </is>
      </c>
      <c r="I951" t="inlineStr">
        <is>
          <t>대상아님</t>
        </is>
      </c>
      <c r="J951" t="inlineStr">
        <is>
          <t>일반법인</t>
        </is>
      </c>
      <c r="K951" t="inlineStr">
        <is>
          <t>중견기업</t>
        </is>
      </c>
      <c r="L951" t="inlineStr">
        <is>
          <t>외부감사대상</t>
        </is>
      </c>
      <c r="M951" s="6" t="inlineStr">
        <is>
          <t>2012-09-03</t>
        </is>
      </c>
      <c r="N951" t="inlineStr">
        <is>
          <t>KRI:10C2331100</t>
        </is>
      </c>
      <c r="O951" t="inlineStr">
        <is>
          <t>시멘트 제조업</t>
        </is>
      </c>
      <c r="P951" t="inlineStr">
        <is>
          <t>고로슬래그시멘트 제조</t>
        </is>
      </c>
      <c r="Q951" t="inlineStr">
        <is>
          <t>전남 광양시 태인동 1657-14번지</t>
        </is>
      </c>
      <c r="R951" t="inlineStr">
        <is>
          <t>전남 광양시 백운1로 74</t>
        </is>
      </c>
    </row>
    <row r="952" ht="19.2" customHeight="1" s="1">
      <c r="A952" t="inlineStr">
        <is>
          <t>NICE:I90594</t>
        </is>
      </c>
      <c r="B952" t="inlineStr">
        <is>
          <t>어업회사법인케이푸드</t>
        </is>
      </c>
      <c r="C952" t="inlineStr">
        <is>
          <t>최재현</t>
        </is>
      </c>
      <c r="D952" t="inlineStr">
        <is>
          <t>061-834-7727</t>
        </is>
      </c>
      <c r="E952" t="inlineStr">
        <is>
          <t>061-834-7728</t>
        </is>
      </c>
      <c r="F952" s="3">
        <f>HYPERLINK("http://www.kfd.kr", "http://www.kfd.kr")</f>
        <v/>
      </c>
      <c r="G952" t="inlineStr">
        <is>
          <t>1438108569</t>
        </is>
      </c>
      <c r="H952" t="inlineStr">
        <is>
          <t>1348110262048</t>
        </is>
      </c>
      <c r="I952" t="inlineStr">
        <is>
          <t>대상아님</t>
        </is>
      </c>
      <c r="J952" t="inlineStr">
        <is>
          <t>일반법인</t>
        </is>
      </c>
      <c r="K952" t="inlineStr">
        <is>
          <t>중소기업</t>
        </is>
      </c>
      <c r="L952" t="inlineStr">
        <is>
          <t>외부감사대상</t>
        </is>
      </c>
      <c r="M952" s="6" t="inlineStr">
        <is>
          <t>2013-01-25</t>
        </is>
      </c>
      <c r="N952" t="inlineStr">
        <is>
          <t>KRI:10C1022000</t>
        </is>
      </c>
      <c r="O952" t="inlineStr">
        <is>
          <t>수산식물 가공 및 저장 처리업</t>
        </is>
      </c>
      <c r="P952" t="inlineStr">
        <is>
          <t>수산식물 가공,도매</t>
        </is>
      </c>
      <c r="Q952" t="inlineStr">
        <is>
          <t>전남 고흥군 풍양면 풍남리 746-1번지</t>
        </is>
      </c>
      <c r="R952" t="inlineStr">
        <is>
          <t>전남 고흥군 풍양면 풍남로 670</t>
        </is>
      </c>
    </row>
    <row r="953">
      <c r="A953" t="inlineStr">
        <is>
          <t>NICE:I90721</t>
        </is>
      </c>
      <c r="B953" t="inlineStr">
        <is>
          <t>테이진리엘소트코리아</t>
        </is>
      </c>
      <c r="C953" t="inlineStr">
        <is>
          <t>노노카와류지</t>
        </is>
      </c>
      <c r="D953" t="inlineStr">
        <is>
          <t>041-420-2401</t>
        </is>
      </c>
      <c r="E953" t="inlineStr">
        <is>
          <t>041-420-2499</t>
        </is>
      </c>
      <c r="G953" t="inlineStr">
        <is>
          <t>3128632485</t>
        </is>
      </c>
      <c r="H953" t="inlineStr">
        <is>
          <t>1648110062509</t>
        </is>
      </c>
      <c r="I953" t="inlineStr">
        <is>
          <t>대상아님</t>
        </is>
      </c>
      <c r="J953" t="inlineStr">
        <is>
          <t>일반법인</t>
        </is>
      </c>
      <c r="K953" t="inlineStr">
        <is>
          <t>중견기업</t>
        </is>
      </c>
      <c r="L953" t="inlineStr">
        <is>
          <t>외부감사대상</t>
        </is>
      </c>
      <c r="M953" s="6" t="inlineStr">
        <is>
          <t>2011-10-31</t>
        </is>
      </c>
      <c r="N953" t="inlineStr">
        <is>
          <t>KRI:10C2820200</t>
        </is>
      </c>
      <c r="O953" t="inlineStr">
        <is>
          <t>축전지 제조업</t>
        </is>
      </c>
      <c r="P953" t="inlineStr">
        <is>
          <t>리튬이온2차전지용분리막 제조</t>
        </is>
      </c>
      <c r="Q953" t="inlineStr">
        <is>
          <t>충남 아산시 둔포면 송용리 49-6번지</t>
        </is>
      </c>
      <c r="R953" t="inlineStr">
        <is>
          <t>충남 아산시 둔포면 윤보선로450번길 95-75</t>
        </is>
      </c>
    </row>
    <row r="954">
      <c r="A954" t="inlineStr">
        <is>
          <t>NICE:I91543</t>
        </is>
      </c>
      <c r="B954" t="inlineStr">
        <is>
          <t>에스비아이아이에프</t>
        </is>
      </c>
      <c r="C954" t="inlineStr">
        <is>
          <t>고지은</t>
        </is>
      </c>
      <c r="D954" t="inlineStr">
        <is>
          <t>02-3416-4083</t>
        </is>
      </c>
      <c r="E954" t="inlineStr">
        <is>
          <t>02-2136-0428</t>
        </is>
      </c>
      <c r="G954" t="inlineStr">
        <is>
          <t>2208852003</t>
        </is>
      </c>
      <c r="H954" t="inlineStr">
        <is>
          <t>1101115057090</t>
        </is>
      </c>
      <c r="I954" t="inlineStr">
        <is>
          <t>대상아님</t>
        </is>
      </c>
      <c r="J954" t="inlineStr">
        <is>
          <t>일반법인</t>
        </is>
      </c>
      <c r="K954" t="inlineStr">
        <is>
          <t>중소기업</t>
        </is>
      </c>
      <c r="L954" t="inlineStr">
        <is>
          <t>외부감사대상</t>
        </is>
      </c>
      <c r="M954" s="6" t="inlineStr">
        <is>
          <t>2013-01-29</t>
        </is>
      </c>
      <c r="N954" t="inlineStr">
        <is>
          <t>KRI:10M7153100</t>
        </is>
      </c>
      <c r="O954" t="inlineStr">
        <is>
          <t>경영 컨설팅업</t>
        </is>
      </c>
      <c r="P954" t="inlineStr">
        <is>
          <t>경영 컨설팅/기업 투자</t>
        </is>
      </c>
      <c r="Q954" t="inlineStr">
        <is>
          <t>서울 중구 수하동 67번지 미래에셋센터원빌딩 동관 9층</t>
        </is>
      </c>
      <c r="R954" t="inlineStr">
        <is>
          <t>서울 중구 을지로5길 26, 동관 9층 (수하동,미래에셋센터원빌딩)</t>
        </is>
      </c>
    </row>
    <row r="955">
      <c r="A955" t="inlineStr">
        <is>
          <t>NICE:I91866</t>
        </is>
      </c>
      <c r="B955" t="inlineStr">
        <is>
          <t>에스비아이씨에프</t>
        </is>
      </c>
      <c r="C955" t="inlineStr">
        <is>
          <t>고지은</t>
        </is>
      </c>
      <c r="D955" t="inlineStr">
        <is>
          <t>02-3416-4038</t>
        </is>
      </c>
      <c r="E955" t="inlineStr">
        <is>
          <t>02-2136-0428</t>
        </is>
      </c>
      <c r="G955" t="inlineStr">
        <is>
          <t>2208852089</t>
        </is>
      </c>
      <c r="H955" t="inlineStr">
        <is>
          <t>1101115058775</t>
        </is>
      </c>
      <c r="I955" t="inlineStr">
        <is>
          <t>대상아님</t>
        </is>
      </c>
      <c r="J955" t="inlineStr">
        <is>
          <t>일반법인</t>
        </is>
      </c>
      <c r="K955" t="inlineStr">
        <is>
          <t>중소기업</t>
        </is>
      </c>
      <c r="L955" t="inlineStr">
        <is>
          <t>외부감사대상</t>
        </is>
      </c>
      <c r="M955" s="6" t="inlineStr">
        <is>
          <t>2013-01-29</t>
        </is>
      </c>
      <c r="N955" t="inlineStr">
        <is>
          <t>KRI:10M7153100</t>
        </is>
      </c>
      <c r="O955" t="inlineStr">
        <is>
          <t>경영 컨설팅업</t>
        </is>
      </c>
      <c r="P955" t="inlineStr">
        <is>
          <t>경영 컨설팅</t>
        </is>
      </c>
      <c r="Q955" t="inlineStr">
        <is>
          <t>서울 중구 수하동 67번지 미래에셋센터원빌딩 동관 9층</t>
        </is>
      </c>
      <c r="R955" t="inlineStr">
        <is>
          <t>서울 중구 을지로5길 26, 동관 9층 (수하동,미래에셋센터원빌딩)</t>
        </is>
      </c>
    </row>
    <row r="956" ht="19.2" customHeight="1" s="1">
      <c r="A956" t="inlineStr">
        <is>
          <t>NICE:I91960</t>
        </is>
      </c>
      <c r="B956" t="inlineStr">
        <is>
          <t>알씨씨</t>
        </is>
      </c>
      <c r="C956" t="inlineStr">
        <is>
          <t>이의현</t>
        </is>
      </c>
      <c r="D956" t="inlineStr">
        <is>
          <t>02-518-2891</t>
        </is>
      </c>
      <c r="E956" t="inlineStr">
        <is>
          <t>02-518-2892</t>
        </is>
      </c>
      <c r="F956" s="3">
        <f>HYPERLINK("https://rawrow.com/", "https://rawrow.com/")</f>
        <v/>
      </c>
      <c r="G956" t="inlineStr">
        <is>
          <t>1058783267</t>
        </is>
      </c>
      <c r="H956" t="inlineStr">
        <is>
          <t>1101115059848</t>
        </is>
      </c>
      <c r="I956" t="inlineStr">
        <is>
          <t>대상아님</t>
        </is>
      </c>
      <c r="J956" t="inlineStr">
        <is>
          <t>일반법인</t>
        </is>
      </c>
      <c r="K956" t="inlineStr">
        <is>
          <t>중소기업</t>
        </is>
      </c>
      <c r="L956" t="inlineStr">
        <is>
          <t>외부감사대상</t>
        </is>
      </c>
      <c r="M956" s="6" t="inlineStr">
        <is>
          <t>2013-01-31</t>
        </is>
      </c>
      <c r="N956" t="inlineStr">
        <is>
          <t>KRI:10G4649100</t>
        </is>
      </c>
      <c r="O956" t="inlineStr">
        <is>
          <t>가방 및 보호용 케이스 도매업</t>
        </is>
      </c>
      <c r="P956" t="inlineStr">
        <is>
          <t>가방,잡화,안경,중고상품 도소매,수입,수출,통신 판매,전자상거래</t>
        </is>
      </c>
      <c r="Q956" t="inlineStr">
        <is>
          <t>서울 성동구 성수동2가 315-4번지 엠지빌딩 2층</t>
        </is>
      </c>
      <c r="R956" t="inlineStr">
        <is>
          <t>서울 성동구 성수이로 89, 2층 (성수동2가,엠지빌딩)</t>
        </is>
      </c>
    </row>
    <row r="957">
      <c r="A957" t="inlineStr">
        <is>
          <t>NICE:I92114</t>
        </is>
      </c>
      <c r="B957" t="inlineStr">
        <is>
          <t>에스비아이비에프</t>
        </is>
      </c>
      <c r="C957" t="inlineStr">
        <is>
          <t>고지은</t>
        </is>
      </c>
      <c r="D957" t="inlineStr">
        <is>
          <t>02-3416-4082</t>
        </is>
      </c>
      <c r="E957" t="inlineStr">
        <is>
          <t>02-2136-0428</t>
        </is>
      </c>
      <c r="G957" t="inlineStr">
        <is>
          <t>2208852226</t>
        </is>
      </c>
      <c r="H957" t="inlineStr">
        <is>
          <t>1101115055929</t>
        </is>
      </c>
      <c r="I957" t="inlineStr">
        <is>
          <t>대상아님</t>
        </is>
      </c>
      <c r="J957" t="inlineStr">
        <is>
          <t>일반법인</t>
        </is>
      </c>
      <c r="K957" t="inlineStr">
        <is>
          <t>중소기업</t>
        </is>
      </c>
      <c r="L957" t="inlineStr">
        <is>
          <t>외부감사대상</t>
        </is>
      </c>
      <c r="M957" s="6" t="inlineStr">
        <is>
          <t>2013-01-29</t>
        </is>
      </c>
      <c r="N957" t="inlineStr">
        <is>
          <t>KRI:10M7153100</t>
        </is>
      </c>
      <c r="O957" t="inlineStr">
        <is>
          <t>경영 컨설팅업</t>
        </is>
      </c>
      <c r="P957" t="inlineStr">
        <is>
          <t>경영 컨설팅</t>
        </is>
      </c>
      <c r="Q957" t="inlineStr">
        <is>
          <t>서울 중구 수하동 67번지 미래에셋센터원빌딩 동관 9층</t>
        </is>
      </c>
      <c r="R957" t="inlineStr">
        <is>
          <t>서울 중구 을지로5길 26, 동관 9층 (수하동,미래에셋센터원빌딩)</t>
        </is>
      </c>
    </row>
    <row r="958" ht="19.2" customHeight="1" s="1">
      <c r="A958" t="inlineStr">
        <is>
          <t>NICE:I96804</t>
        </is>
      </c>
      <c r="B958" t="inlineStr">
        <is>
          <t>한국후지필름일렉트로닉머티리얼즈</t>
        </is>
      </c>
      <c r="C958" t="inlineStr">
        <is>
          <t>코바야시시게키</t>
        </is>
      </c>
      <c r="D958" t="inlineStr">
        <is>
          <t>041-412-7770</t>
        </is>
      </c>
      <c r="E958" t="inlineStr">
        <is>
          <t>041-412-7797</t>
        </is>
      </c>
      <c r="F958" s="3">
        <f>HYPERLINK("https://www.fujifilm.com/kr/ko", "https://www.fujifilm.com/kr/ko")</f>
        <v/>
      </c>
      <c r="G958" t="inlineStr">
        <is>
          <t>3128636050</t>
        </is>
      </c>
      <c r="H958" t="inlineStr">
        <is>
          <t>1615110138242</t>
        </is>
      </c>
      <c r="I958" t="inlineStr">
        <is>
          <t>대상아님</t>
        </is>
      </c>
      <c r="J958" t="inlineStr">
        <is>
          <t>일반법인</t>
        </is>
      </c>
      <c r="K958" t="inlineStr">
        <is>
          <t>중소기업</t>
        </is>
      </c>
      <c r="L958" t="inlineStr">
        <is>
          <t>외부감사대상</t>
        </is>
      </c>
      <c r="M958" s="6" t="inlineStr">
        <is>
          <t>2012-02-14</t>
        </is>
      </c>
      <c r="N958" t="inlineStr">
        <is>
          <t>KRI:10C2049900</t>
        </is>
      </c>
      <c r="O958" t="inlineStr">
        <is>
          <t>그 외 기타 분류 안된 화학제품 제조업</t>
        </is>
      </c>
      <c r="P958" t="inlineStr">
        <is>
          <t>반도체,디스플레이전자재료(IC제조용약품,현상액) 제조,판매</t>
        </is>
      </c>
      <c r="Q958" t="inlineStr">
        <is>
          <t>충남 천안시 서북구 업성동 624-3번지</t>
        </is>
      </c>
      <c r="R958" t="inlineStr">
        <is>
          <t>충남 천안시 서북구 2공단3로 79</t>
        </is>
      </c>
    </row>
    <row r="959">
      <c r="A959" t="inlineStr">
        <is>
          <t>NICE:I96808</t>
        </is>
      </c>
      <c r="B959" t="inlineStr">
        <is>
          <t>코크렙청진18호위탁관리부동산투자회사</t>
        </is>
      </c>
      <c r="C959" t="inlineStr">
        <is>
          <t>최동현</t>
        </is>
      </c>
      <c r="D959" t="inlineStr">
        <is>
          <t>02-787-0065</t>
        </is>
      </c>
      <c r="E959" t="inlineStr">
        <is>
          <t>02-088-6622</t>
        </is>
      </c>
      <c r="G959" t="inlineStr">
        <is>
          <t>2208827426</t>
        </is>
      </c>
      <c r="H959" t="inlineStr">
        <is>
          <t>1101114725515</t>
        </is>
      </c>
      <c r="I959" t="inlineStr">
        <is>
          <t>대상아님</t>
        </is>
      </c>
      <c r="J959" t="inlineStr">
        <is>
          <t>일반법인</t>
        </is>
      </c>
      <c r="K959" t="inlineStr">
        <is>
          <t>중소기업</t>
        </is>
      </c>
      <c r="L959" t="inlineStr">
        <is>
          <t>외부감사대상</t>
        </is>
      </c>
      <c r="M959" s="6" t="inlineStr">
        <is>
          <t>2011-11-09</t>
        </is>
      </c>
      <c r="N959" t="inlineStr">
        <is>
          <t>KRI:10L6811200</t>
        </is>
      </c>
      <c r="O959" t="inlineStr">
        <is>
          <t>비주거용 건물 임대업</t>
        </is>
      </c>
      <c r="P959" t="inlineStr">
        <is>
          <t>부동산 임대,취득,관리,개량,처분,개발</t>
        </is>
      </c>
      <c r="Q959" t="inlineStr">
        <is>
          <t>서울 강남구 삼성동 144-17번지 골든타워 (주)코람코자산신탁 내</t>
        </is>
      </c>
      <c r="R959" t="inlineStr">
        <is>
          <t>서울 강남구 삼성로 511, (주)코람코자산신탁 내 (삼성동,골든타워)</t>
        </is>
      </c>
    </row>
    <row r="960">
      <c r="A960" t="inlineStr">
        <is>
          <t>NICE:I96813</t>
        </is>
      </c>
      <c r="B960" t="inlineStr">
        <is>
          <t>코크렙청진19호위탁관리부동산투자회사</t>
        </is>
      </c>
      <c r="C960" t="inlineStr">
        <is>
          <t>최동현</t>
        </is>
      </c>
      <c r="D960" t="inlineStr">
        <is>
          <t>02-787-0000</t>
        </is>
      </c>
      <c r="E960" t="inlineStr">
        <is>
          <t>02-2088-6622</t>
        </is>
      </c>
      <c r="G960" t="inlineStr">
        <is>
          <t>2208827431</t>
        </is>
      </c>
      <c r="H960" t="inlineStr">
        <is>
          <t>1101114725565</t>
        </is>
      </c>
      <c r="I960" t="inlineStr">
        <is>
          <t>대상아님</t>
        </is>
      </c>
      <c r="J960" t="inlineStr">
        <is>
          <t>일반법인</t>
        </is>
      </c>
      <c r="K960" t="inlineStr">
        <is>
          <t>중소기업</t>
        </is>
      </c>
      <c r="L960" t="inlineStr">
        <is>
          <t>외부감사대상</t>
        </is>
      </c>
      <c r="M960" s="6" t="inlineStr">
        <is>
          <t>2011-11-09</t>
        </is>
      </c>
      <c r="N960" t="inlineStr">
        <is>
          <t>KRI:10L6811200</t>
        </is>
      </c>
      <c r="O960" t="inlineStr">
        <is>
          <t>비주거용 건물 임대업</t>
        </is>
      </c>
      <c r="P960" t="inlineStr">
        <is>
          <t>부동산 임대,관리,취득,개량,처분,개발</t>
        </is>
      </c>
      <c r="Q960" t="inlineStr">
        <is>
          <t>서울 강남구 삼성동 144-17번지 골든타워 (주)코람코자산신탁 내</t>
        </is>
      </c>
      <c r="R960" t="inlineStr">
        <is>
          <t>서울 강남구 삼성로 511, (주)코람코자산신탁 내 (삼성동,골든타워)</t>
        </is>
      </c>
    </row>
    <row r="961" ht="19.2" customHeight="1" s="1">
      <c r="A961" t="inlineStr">
        <is>
          <t>NICE:I99199</t>
        </is>
      </c>
      <c r="B961" t="inlineStr">
        <is>
          <t>한독테바</t>
        </is>
      </c>
      <c r="C961" t="inlineStr">
        <is>
          <t>디미트리오스마가리티스</t>
        </is>
      </c>
      <c r="D961" t="inlineStr">
        <is>
          <t>02-527-5501</t>
        </is>
      </c>
      <c r="E961" t="inlineStr">
        <is>
          <t>02-527-5510</t>
        </is>
      </c>
      <c r="F961" s="3">
        <f>HYPERLINK("http://www.teva-handok.co.kr", "http://www.teva-handok.co.kr")</f>
        <v/>
      </c>
      <c r="G961" t="inlineStr">
        <is>
          <t>2208853109</t>
        </is>
      </c>
      <c r="H961" t="inlineStr">
        <is>
          <t>1101115072733</t>
        </is>
      </c>
      <c r="I961" t="inlineStr">
        <is>
          <t>대상아님</t>
        </is>
      </c>
      <c r="J961" t="inlineStr">
        <is>
          <t>일반법인</t>
        </is>
      </c>
      <c r="K961" t="inlineStr">
        <is>
          <t>중소기업</t>
        </is>
      </c>
      <c r="L961" t="inlineStr">
        <is>
          <t>외부감사대상</t>
        </is>
      </c>
      <c r="M961" s="6" t="inlineStr">
        <is>
          <t>2013-02-21</t>
        </is>
      </c>
      <c r="N961" t="inlineStr">
        <is>
          <t>KRI:10G4644100</t>
        </is>
      </c>
      <c r="O961" t="inlineStr">
        <is>
          <t>의약품 도매업</t>
        </is>
      </c>
      <c r="P961" t="inlineStr">
        <is>
          <t>의약품 도매</t>
        </is>
      </c>
      <c r="Q961" t="inlineStr">
        <is>
          <t>서울 강남구 역삼동 735번지</t>
        </is>
      </c>
      <c r="R961" t="inlineStr">
        <is>
          <t>서울 강남구 테헤란로 132</t>
        </is>
      </c>
    </row>
    <row r="962" ht="19.2" customHeight="1" s="1">
      <c r="A962" t="inlineStr">
        <is>
          <t>NICE:I99714</t>
        </is>
      </c>
      <c r="B962" t="inlineStr">
        <is>
          <t>보령엘엔지터미널</t>
        </is>
      </c>
      <c r="C962" t="inlineStr">
        <is>
          <t>은종원</t>
        </is>
      </c>
      <c r="D962" t="inlineStr">
        <is>
          <t>041-939-9955</t>
        </is>
      </c>
      <c r="F962" s="3">
        <f>HYPERLINK("http://lng-tml.com", "http://lng-tml.com")</f>
        <v/>
      </c>
      <c r="G962" t="inlineStr">
        <is>
          <t>3138127748</t>
        </is>
      </c>
      <c r="H962" t="inlineStr">
        <is>
          <t>1645110021527</t>
        </is>
      </c>
      <c r="I962" t="inlineStr">
        <is>
          <t>대상아님</t>
        </is>
      </c>
      <c r="J962" t="inlineStr">
        <is>
          <t>일반법인</t>
        </is>
      </c>
      <c r="K962" t="inlineStr">
        <is>
          <t>대기업</t>
        </is>
      </c>
      <c r="L962" t="inlineStr">
        <is>
          <t>외부감사대상</t>
        </is>
      </c>
      <c r="M962" s="6" t="inlineStr">
        <is>
          <t>2013-02-27</t>
        </is>
      </c>
      <c r="N962" t="inlineStr">
        <is>
          <t>KRI:10D3520000</t>
        </is>
      </c>
      <c r="O962" t="inlineStr">
        <is>
          <t>연료용 가스 제조 및 배관공급업</t>
        </is>
      </c>
      <c r="P962" t="inlineStr">
        <is>
          <t>가스 제조,공급/보관,창고업</t>
        </is>
      </c>
      <c r="Q962" t="inlineStr">
        <is>
          <t>충남 보령시 오천면 영보리 766번지</t>
        </is>
      </c>
      <c r="R962" t="inlineStr">
        <is>
          <t>충남 보령시 오천면 오천해안로 333</t>
        </is>
      </c>
    </row>
    <row r="963" ht="19.2" customHeight="1" s="1">
      <c r="A963" t="inlineStr">
        <is>
          <t>NICE:IC9508</t>
        </is>
      </c>
      <c r="B963" t="inlineStr">
        <is>
          <t>스타필드고양</t>
        </is>
      </c>
      <c r="C963" t="inlineStr">
        <is>
          <t>신동우</t>
        </is>
      </c>
      <c r="D963" t="inlineStr">
        <is>
          <t>02-6921-1645</t>
        </is>
      </c>
      <c r="E963" t="inlineStr">
        <is>
          <t>02-6921-1698</t>
        </is>
      </c>
      <c r="F963" s="3">
        <f>HYPERLINK("https://www.starfield.co.kr/goyang/main.do", "https://www.starfield.co.kr/goyang/main.do")</f>
        <v/>
      </c>
      <c r="G963" t="inlineStr">
        <is>
          <t>5578600548</t>
        </is>
      </c>
      <c r="H963" t="inlineStr">
        <is>
          <t>2850110340913</t>
        </is>
      </c>
      <c r="I963" t="inlineStr">
        <is>
          <t>대상아님</t>
        </is>
      </c>
      <c r="J963" t="inlineStr">
        <is>
          <t>일반법인</t>
        </is>
      </c>
      <c r="K963" t="inlineStr">
        <is>
          <t>대기업</t>
        </is>
      </c>
      <c r="L963" t="inlineStr">
        <is>
          <t>외부감사대상</t>
        </is>
      </c>
      <c r="M963" s="6" t="inlineStr">
        <is>
          <t>2016-12-01</t>
        </is>
      </c>
      <c r="N963" t="inlineStr">
        <is>
          <t>KRI:10L6811200</t>
        </is>
      </c>
      <c r="O963" t="inlineStr">
        <is>
          <t>비주거용 건물 임대업</t>
        </is>
      </c>
      <c r="P963" t="inlineStr">
        <is>
          <t>부동산 임대,투자</t>
        </is>
      </c>
      <c r="Q963" t="inlineStr">
        <is>
          <t>경기 고양시 덕양구 동산동 370번지</t>
        </is>
      </c>
      <c r="R963" t="inlineStr">
        <is>
          <t>경기 고양시 덕양구 고양대로 1955</t>
        </is>
      </c>
    </row>
    <row r="964" ht="19.2" customHeight="1" s="1">
      <c r="A964" t="inlineStr">
        <is>
          <t>NICE:IL6276</t>
        </is>
      </c>
      <c r="B964" t="inlineStr">
        <is>
          <t>솔라테크</t>
        </is>
      </c>
      <c r="C964" t="inlineStr">
        <is>
          <t>강일구/이석호</t>
        </is>
      </c>
      <c r="D964" t="inlineStr">
        <is>
          <t>031-358-4743</t>
        </is>
      </c>
      <c r="E964" t="inlineStr">
        <is>
          <t>031-354-0298</t>
        </is>
      </c>
      <c r="F964" s="3">
        <f>HYPERLINK("http://www.solarteq.co.kr", "http://www.solarteq.co.kr")</f>
        <v/>
      </c>
      <c r="G964" t="inlineStr">
        <is>
          <t>7938700520</t>
        </is>
      </c>
      <c r="H964" t="inlineStr">
        <is>
          <t>1348110391772</t>
        </is>
      </c>
      <c r="I964" t="inlineStr">
        <is>
          <t>대상아님</t>
        </is>
      </c>
      <c r="J964" t="inlineStr">
        <is>
          <t>일반법인</t>
        </is>
      </c>
      <c r="K964" t="inlineStr">
        <is>
          <t>중소기업</t>
        </is>
      </c>
      <c r="L964" t="inlineStr">
        <is>
          <t>외부감사대상</t>
        </is>
      </c>
      <c r="M964" s="6" t="inlineStr">
        <is>
          <t>2016-12-15</t>
        </is>
      </c>
      <c r="N964" t="inlineStr">
        <is>
          <t>KRI:10C2511300</t>
        </is>
      </c>
      <c r="O964" t="inlineStr">
        <is>
          <t>육상 금속 골조 구조재 제조업</t>
        </is>
      </c>
      <c r="P964" t="inlineStr">
        <is>
          <t>태양광구조물,농자재,풍력,수력,태양광발전장치,케이블트레이 제조/신재생에너지태양광설비설치공사</t>
        </is>
      </c>
      <c r="Q964" t="inlineStr">
        <is>
          <t>경기 화성시 만세구 우정읍 주곡리 37-9번지</t>
        </is>
      </c>
      <c r="R964" t="inlineStr">
        <is>
          <t>경기 화성시 만세구 우정읍 버들로 985-16</t>
        </is>
      </c>
    </row>
    <row r="965" ht="19.2" customHeight="1" s="1">
      <c r="A965" t="inlineStr">
        <is>
          <t>NICE:IL9294</t>
        </is>
      </c>
      <c r="B965" t="inlineStr">
        <is>
          <t>씨앤디플래닝</t>
        </is>
      </c>
      <c r="C965" t="inlineStr">
        <is>
          <t>조세윤</t>
        </is>
      </c>
      <c r="D965" t="inlineStr">
        <is>
          <t>02-588-4858</t>
        </is>
      </c>
      <c r="F965" s="3">
        <f>HYPERLINK("http://www.cndplan.co.kr", "http://www.cndplan.co.kr")</f>
        <v/>
      </c>
      <c r="G965" t="inlineStr">
        <is>
          <t>4858100573</t>
        </is>
      </c>
      <c r="H965" t="inlineStr">
        <is>
          <t>1101116266111</t>
        </is>
      </c>
      <c r="I965" t="inlineStr">
        <is>
          <t>대상아님</t>
        </is>
      </c>
      <c r="J965" t="inlineStr">
        <is>
          <t>일반법인</t>
        </is>
      </c>
      <c r="K965" t="inlineStr">
        <is>
          <t>중소기업</t>
        </is>
      </c>
      <c r="L965" t="inlineStr">
        <is>
          <t>외부감사대상</t>
        </is>
      </c>
      <c r="M965" s="6" t="inlineStr">
        <is>
          <t>2016-12-21</t>
        </is>
      </c>
      <c r="N965" t="inlineStr">
        <is>
          <t>KRI:10L6822100</t>
        </is>
      </c>
      <c r="O965" t="inlineStr">
        <is>
          <t>부동산 중개 및 대리업</t>
        </is>
      </c>
      <c r="P965" t="inlineStr">
        <is>
          <t>부동산 분양대행,컨설팅,마케팅/건축공사,주택공사/광고 대행</t>
        </is>
      </c>
      <c r="Q965" t="inlineStr">
        <is>
          <t>서울 송파구 문정동 642번지 송파테라타워2 제비동 314호,315호</t>
        </is>
      </c>
      <c r="R965" t="inlineStr">
        <is>
          <t>서울 송파구 송파대로 201, 제비동 314호,315호 (문정동,송파테라타워2)</t>
        </is>
      </c>
    </row>
    <row r="966" ht="19.2" customHeight="1" s="1">
      <c r="A966" t="inlineStr">
        <is>
          <t>NICE:IM3415</t>
        </is>
      </c>
      <c r="B966" t="inlineStr">
        <is>
          <t>한국도심공항</t>
        </is>
      </c>
      <c r="C966" t="inlineStr">
        <is>
          <t>김고현</t>
        </is>
      </c>
      <c r="D966" t="inlineStr">
        <is>
          <t>02-551-0581</t>
        </is>
      </c>
      <c r="E966" t="inlineStr">
        <is>
          <t>02-551-0008</t>
        </is>
      </c>
      <c r="F966" s="3">
        <f>HYPERLINK("http://www.calt.co.kr", "http://www.calt.co.kr")</f>
        <v/>
      </c>
      <c r="G966" t="inlineStr">
        <is>
          <t>3678100654</t>
        </is>
      </c>
      <c r="H966" t="inlineStr">
        <is>
          <t>1101116277655</t>
        </is>
      </c>
      <c r="I966" t="inlineStr">
        <is>
          <t>대상아님</t>
        </is>
      </c>
      <c r="J966" t="inlineStr">
        <is>
          <t>일반법인</t>
        </is>
      </c>
      <c r="K966" t="inlineStr">
        <is>
          <t>중견기업</t>
        </is>
      </c>
      <c r="L966" t="inlineStr">
        <is>
          <t>외부감사대상</t>
        </is>
      </c>
      <c r="M966" s="6" t="inlineStr">
        <is>
          <t>2017-01-02</t>
        </is>
      </c>
      <c r="N966" t="inlineStr">
        <is>
          <t>KRI:10H5293900</t>
        </is>
      </c>
      <c r="O966" t="inlineStr">
        <is>
          <t>기타 항공 운송지원 서비스업</t>
        </is>
      </c>
      <c r="P966" t="inlineStr">
        <is>
          <t>항공 운송지원</t>
        </is>
      </c>
      <c r="Q966" t="inlineStr">
        <is>
          <t>서울 강남구 삼성동 159-6번지</t>
        </is>
      </c>
      <c r="R966" t="inlineStr">
        <is>
          <t>서울 강남구 테헤란로87길 22</t>
        </is>
      </c>
    </row>
    <row r="967">
      <c r="A967" t="inlineStr">
        <is>
          <t>NICE:IM9455</t>
        </is>
      </c>
      <c r="B967" t="inlineStr">
        <is>
          <t>비씨월드헬스케어</t>
        </is>
      </c>
      <c r="C967" t="inlineStr">
        <is>
          <t>홍성한</t>
        </is>
      </c>
      <c r="G967" t="inlineStr">
        <is>
          <t>1808600635</t>
        </is>
      </c>
      <c r="H967" t="inlineStr">
        <is>
          <t>1412110087647</t>
        </is>
      </c>
      <c r="I967" t="inlineStr">
        <is>
          <t>대상아님</t>
        </is>
      </c>
      <c r="J967" t="inlineStr">
        <is>
          <t>일반법인</t>
        </is>
      </c>
      <c r="K967" t="inlineStr">
        <is>
          <t>중소기업</t>
        </is>
      </c>
      <c r="L967" t="inlineStr">
        <is>
          <t>외부감사대상</t>
        </is>
      </c>
      <c r="M967" s="6" t="inlineStr">
        <is>
          <t>2017-01-23</t>
        </is>
      </c>
      <c r="N967" t="inlineStr">
        <is>
          <t>KRI:10C2121000</t>
        </is>
      </c>
      <c r="O967" t="inlineStr">
        <is>
          <t>완제 의약품 제조업</t>
        </is>
      </c>
      <c r="P967" t="inlineStr">
        <is>
          <t>의약품 제조,도소매</t>
        </is>
      </c>
    </row>
    <row r="968" ht="19.2" customHeight="1" s="1">
      <c r="A968" t="inlineStr">
        <is>
          <t>NICE:IN1659</t>
        </is>
      </c>
      <c r="B968" t="inlineStr">
        <is>
          <t>티엠지종합엔지니어링건축사사무소</t>
        </is>
      </c>
      <c r="C968" t="inlineStr">
        <is>
          <t>류정우/정민영</t>
        </is>
      </c>
      <c r="D968" t="inlineStr">
        <is>
          <t>031-391-9600</t>
        </is>
      </c>
      <c r="E968" t="inlineStr">
        <is>
          <t>031-391-9601</t>
        </is>
      </c>
      <c r="F968" s="3">
        <f>HYPERLINK("http://www.tmg.kr", "http://www.tmg.kr")</f>
        <v/>
      </c>
      <c r="G968" t="inlineStr">
        <is>
          <t>1978800660</t>
        </is>
      </c>
      <c r="H968" t="inlineStr">
        <is>
          <t>1341110460456</t>
        </is>
      </c>
      <c r="I968" t="inlineStr">
        <is>
          <t>대상아님</t>
        </is>
      </c>
      <c r="J968" t="inlineStr">
        <is>
          <t>일반법인</t>
        </is>
      </c>
      <c r="K968" t="inlineStr">
        <is>
          <t>중소기업</t>
        </is>
      </c>
      <c r="L968" t="inlineStr">
        <is>
          <t>외부감사비대상</t>
        </is>
      </c>
      <c r="M968" s="6" t="inlineStr">
        <is>
          <t>2017-02-01</t>
        </is>
      </c>
      <c r="N968" t="inlineStr">
        <is>
          <t>KRI:10M7212100</t>
        </is>
      </c>
      <c r="O968" t="inlineStr">
        <is>
          <t>건물 및 토목 엔지니어링 서비스업</t>
        </is>
      </c>
      <c r="P968" t="inlineStr">
        <is>
          <t>토목엔지니어링,지질조사,지질탐사,건축설계/고장력커플러 제조</t>
        </is>
      </c>
      <c r="Q968" t="inlineStr">
        <is>
          <t>경기 안양시 동안구 호계동 555-2번지 금정역2차에스케이브이1타워 1609호, 1610호, 1611호, 1612호, 1613호, 1614호, 1615호, 1618호</t>
        </is>
      </c>
      <c r="R968" t="inlineStr">
        <is>
          <t>경기 안양시 동안구 엘에스로 136, 1609호, 1610호, 1611호, 1612호, 1613호, 1614호, 1615호, 1618호  (호계동,금정역2차에스케이브이1타</t>
        </is>
      </c>
    </row>
    <row r="969">
      <c r="A969" t="inlineStr">
        <is>
          <t>NICE:IN3125</t>
        </is>
      </c>
      <c r="B969" t="inlineStr">
        <is>
          <t>베리굿타일앤스톤</t>
        </is>
      </c>
      <c r="C969" t="inlineStr">
        <is>
          <t>성승현</t>
        </is>
      </c>
      <c r="D969" t="inlineStr">
        <is>
          <t>070-7430-8189</t>
        </is>
      </c>
      <c r="E969" t="inlineStr">
        <is>
          <t>070-7469-8189</t>
        </is>
      </c>
      <c r="G969" t="inlineStr">
        <is>
          <t>3358100623</t>
        </is>
      </c>
      <c r="H969" t="inlineStr">
        <is>
          <t>1101116307501</t>
        </is>
      </c>
      <c r="I969" t="inlineStr">
        <is>
          <t>대상아님</t>
        </is>
      </c>
      <c r="J969" t="inlineStr">
        <is>
          <t>일반법인</t>
        </is>
      </c>
      <c r="K969" t="inlineStr">
        <is>
          <t>중소기업</t>
        </is>
      </c>
      <c r="L969" t="inlineStr">
        <is>
          <t>외부감사대상</t>
        </is>
      </c>
      <c r="M969" s="6" t="inlineStr">
        <is>
          <t>2017-02-03</t>
        </is>
      </c>
      <c r="N969" t="inlineStr">
        <is>
          <t>KRI:10G4669900</t>
        </is>
      </c>
      <c r="O969" t="inlineStr">
        <is>
          <t>그 외 기타 건축자재 도매업</t>
        </is>
      </c>
      <c r="P969" t="inlineStr">
        <is>
          <t>건축자재,염전바닥재타일 도소매,무역</t>
        </is>
      </c>
      <c r="Q969" t="inlineStr">
        <is>
          <t>서울 강남구 논현동 151-10번지 1층, 2층</t>
        </is>
      </c>
      <c r="R969" t="inlineStr">
        <is>
          <t>서울 강남구 논현로123길 13, 1층, 2층</t>
        </is>
      </c>
    </row>
    <row r="970">
      <c r="A970" t="inlineStr">
        <is>
          <t>NICE:IO5208</t>
        </is>
      </c>
      <c r="B970" t="inlineStr">
        <is>
          <t>유에이치씨</t>
        </is>
      </c>
      <c r="C970" t="inlineStr">
        <is>
          <t>박성재</t>
        </is>
      </c>
      <c r="D970" t="inlineStr">
        <is>
          <t>070-4943-0548</t>
        </is>
      </c>
      <c r="E970" t="inlineStr">
        <is>
          <t>02-566-0595</t>
        </is>
      </c>
      <c r="G970" t="inlineStr">
        <is>
          <t>1368600642</t>
        </is>
      </c>
      <c r="H970" t="inlineStr">
        <is>
          <t>1101116343547</t>
        </is>
      </c>
      <c r="I970" t="inlineStr">
        <is>
          <t>대상아님</t>
        </is>
      </c>
      <c r="J970" t="inlineStr">
        <is>
          <t>일반법인</t>
        </is>
      </c>
      <c r="K970" t="inlineStr">
        <is>
          <t>중소기업</t>
        </is>
      </c>
      <c r="L970" t="inlineStr">
        <is>
          <t>외부감사대상</t>
        </is>
      </c>
      <c r="M970" s="6" t="inlineStr">
        <is>
          <t>2017-03-13</t>
        </is>
      </c>
      <c r="N970" t="inlineStr">
        <is>
          <t>KRI:10M7153100</t>
        </is>
      </c>
      <c r="O970" t="inlineStr">
        <is>
          <t>경영 컨설팅업</t>
        </is>
      </c>
      <c r="P970" t="inlineStr">
        <is>
          <t>프랜차이즈/인테리어공사,컨설팅공사/화장품,방향제 도소매/부동산 임대,전대,관리,위탁운영,매매</t>
        </is>
      </c>
      <c r="Q970" t="inlineStr">
        <is>
          <t>서울 중구 충무로2가 62-6번지 국도빌딩</t>
        </is>
      </c>
      <c r="R970" t="inlineStr">
        <is>
          <t>서울 중구 명동8가길 42-1 (충무로2가,국도빌딩)</t>
        </is>
      </c>
    </row>
    <row r="971" ht="19.2" customHeight="1" s="1">
      <c r="A971" t="inlineStr">
        <is>
          <t>NICE:IO7240</t>
        </is>
      </c>
      <c r="B971" t="inlineStr">
        <is>
          <t>에스제이머티리얼즈</t>
        </is>
      </c>
      <c r="C971" t="inlineStr">
        <is>
          <t>표지웅/최재호</t>
        </is>
      </c>
      <c r="D971" t="inlineStr">
        <is>
          <t>02-588-9993</t>
        </is>
      </c>
      <c r="E971" t="inlineStr">
        <is>
          <t>02-588-9996</t>
        </is>
      </c>
      <c r="F971" s="3">
        <f>HYPERLINK("http://www.sjmtrs.com", "http://www.sjmtrs.com")</f>
        <v/>
      </c>
      <c r="G971" t="inlineStr">
        <is>
          <t>3078600716</t>
        </is>
      </c>
      <c r="H971" t="inlineStr">
        <is>
          <t>1101116350047</t>
        </is>
      </c>
      <c r="I971" t="inlineStr">
        <is>
          <t>대상아님</t>
        </is>
      </c>
      <c r="J971" t="inlineStr">
        <is>
          <t>일반법인</t>
        </is>
      </c>
      <c r="K971" t="inlineStr">
        <is>
          <t>중소기업</t>
        </is>
      </c>
      <c r="L971" t="inlineStr">
        <is>
          <t>외부감사대상</t>
        </is>
      </c>
      <c r="M971" s="6" t="inlineStr">
        <is>
          <t>2017-03-20</t>
        </is>
      </c>
      <c r="N971" t="inlineStr">
        <is>
          <t>KRI:10C1922900</t>
        </is>
      </c>
      <c r="O971" t="inlineStr">
        <is>
          <t>기타 석유정제물 재처리업</t>
        </is>
      </c>
      <c r="P971" t="inlineStr">
        <is>
          <t>석유정제물 재처리</t>
        </is>
      </c>
      <c r="Q971" t="inlineStr">
        <is>
          <t>서울 서초구 서초동 1629-3번지</t>
        </is>
      </c>
      <c r="R971" t="inlineStr">
        <is>
          <t>서울 서초구 사임당로 86</t>
        </is>
      </c>
    </row>
    <row r="972">
      <c r="A972" t="inlineStr">
        <is>
          <t>NICE:IO7740</t>
        </is>
      </c>
      <c r="B972" t="inlineStr">
        <is>
          <t>지디씨</t>
        </is>
      </c>
      <c r="C972" t="inlineStr">
        <is>
          <t>박근호</t>
        </is>
      </c>
      <c r="D972" t="inlineStr">
        <is>
          <t>031-429-5057</t>
        </is>
      </c>
      <c r="E972" t="inlineStr">
        <is>
          <t>031-8084-9874</t>
        </is>
      </c>
      <c r="G972" t="inlineStr">
        <is>
          <t>4418100699</t>
        </is>
      </c>
      <c r="H972" t="inlineStr">
        <is>
          <t>1341110464268</t>
        </is>
      </c>
      <c r="I972" t="inlineStr">
        <is>
          <t>대상아님</t>
        </is>
      </c>
      <c r="J972" t="inlineStr">
        <is>
          <t>일반법인</t>
        </is>
      </c>
      <c r="K972" t="inlineStr">
        <is>
          <t>중소기업</t>
        </is>
      </c>
      <c r="L972" t="inlineStr">
        <is>
          <t>외부감사비대상</t>
        </is>
      </c>
      <c r="M972" s="6" t="inlineStr">
        <is>
          <t>2017-03-23</t>
        </is>
      </c>
      <c r="N972" t="inlineStr">
        <is>
          <t>KRI:10G4521200</t>
        </is>
      </c>
      <c r="O972" t="inlineStr">
        <is>
          <t>자동차용 전용 신품 부품 판매업</t>
        </is>
      </c>
      <c r="P972" t="inlineStr">
        <is>
          <t>자동차부품,전자부품 도소매,제조,무역,통신 판매/부동산 임대/자동차용전장부품소프트웨어 개발,공급</t>
        </is>
      </c>
      <c r="Q972" t="inlineStr">
        <is>
          <t>경기 안양시 동안구 관양동 922번지 평촌역하이필드지식산업센터 에이 16층 1606호, 1607호, 1608호</t>
        </is>
      </c>
      <c r="R972" t="inlineStr">
        <is>
          <t>경기 안양시 동안구 벌말로 66, 에이 16층 1606호, 1607호, 1608호 (관양동,평촌역하이필드지식산업센터)</t>
        </is>
      </c>
    </row>
    <row r="973" ht="19.2" customHeight="1" s="1">
      <c r="A973" t="inlineStr">
        <is>
          <t>NICE:IP0449</t>
        </is>
      </c>
      <c r="B973" t="inlineStr">
        <is>
          <t>하이네이처</t>
        </is>
      </c>
      <c r="C973" t="inlineStr">
        <is>
          <t>조인제</t>
        </is>
      </c>
      <c r="D973" t="inlineStr">
        <is>
          <t>070-8833-1884</t>
        </is>
      </c>
      <c r="E973" t="inlineStr">
        <is>
          <t>070-8995-1884</t>
        </is>
      </c>
      <c r="F973" s="3">
        <f>HYPERLINK("http://www.purito.com", "http://www.purito.com")</f>
        <v/>
      </c>
      <c r="G973" t="inlineStr">
        <is>
          <t>5078800644</t>
        </is>
      </c>
      <c r="H973" t="inlineStr">
        <is>
          <t>1201110869836</t>
        </is>
      </c>
      <c r="I973" t="inlineStr">
        <is>
          <t>대상아님</t>
        </is>
      </c>
      <c r="J973" t="inlineStr">
        <is>
          <t>일반법인</t>
        </is>
      </c>
      <c r="K973" t="inlineStr">
        <is>
          <t>중소기업</t>
        </is>
      </c>
      <c r="L973" t="inlineStr">
        <is>
          <t>외부감사대상</t>
        </is>
      </c>
      <c r="M973" s="6" t="inlineStr">
        <is>
          <t>2017-03-29</t>
        </is>
      </c>
      <c r="N973" t="inlineStr">
        <is>
          <t>KRI:10C2042300</t>
        </is>
      </c>
      <c r="O973" t="inlineStr">
        <is>
          <t>화장품 제조업</t>
        </is>
      </c>
      <c r="P973" t="inlineStr">
        <is>
          <t>화장품 제조,도소매/산업바이오 제조/상품종합 도소매,전자상거래/비주거용건물 임대</t>
        </is>
      </c>
      <c r="Q973" t="inlineStr">
        <is>
          <t>인천 연수구 송도동 172-1번지 송도테크노파크 아이티센터 에스동 2501호, 2502호, 2503호</t>
        </is>
      </c>
      <c r="R973" t="inlineStr">
        <is>
          <t>인천 연수구 송도과학로 32, 에스동 2501호, 2502호, 2503호 (송도동,송도테크노파크 아이티센터)</t>
        </is>
      </c>
    </row>
    <row r="974" ht="19.2" customHeight="1" s="1">
      <c r="A974" t="inlineStr">
        <is>
          <t>NICE:IP1826</t>
        </is>
      </c>
      <c r="B974" t="inlineStr">
        <is>
          <t>에스케이해운</t>
        </is>
      </c>
      <c r="C974" t="inlineStr">
        <is>
          <t>김성익</t>
        </is>
      </c>
      <c r="D974" t="inlineStr">
        <is>
          <t>051-605-0700</t>
        </is>
      </c>
      <c r="E974" t="inlineStr">
        <is>
          <t>051-605-0700</t>
        </is>
      </c>
      <c r="F974" s="3">
        <f>HYPERLINK("http://www.skshipping.co.kr", "http://www.skshipping.co.kr")</f>
        <v/>
      </c>
      <c r="G974" t="inlineStr">
        <is>
          <t>1718600761</t>
        </is>
      </c>
      <c r="H974" t="inlineStr">
        <is>
          <t>1101116364212</t>
        </is>
      </c>
      <c r="I974" t="inlineStr">
        <is>
          <t>대상아님</t>
        </is>
      </c>
      <c r="J974" t="inlineStr">
        <is>
          <t>일반법인</t>
        </is>
      </c>
      <c r="K974" t="inlineStr">
        <is>
          <t>중견기업</t>
        </is>
      </c>
      <c r="L974" t="inlineStr">
        <is>
          <t>외부감사대상</t>
        </is>
      </c>
      <c r="M974" s="6" t="inlineStr">
        <is>
          <t>2017-04-03</t>
        </is>
      </c>
      <c r="N974" t="inlineStr">
        <is>
          <t>KRI:10H5011200</t>
        </is>
      </c>
      <c r="O974" t="inlineStr">
        <is>
          <t>외항 화물 운송업</t>
        </is>
      </c>
      <c r="P974" t="inlineStr">
        <is>
          <t>원유 수송/부동산 임대</t>
        </is>
      </c>
      <c r="Q974" t="inlineStr">
        <is>
          <t>부산 동구 초량동 1193-1번지 흥국생명보험(주)부산사옥 9층</t>
        </is>
      </c>
      <c r="R974" t="inlineStr">
        <is>
          <t>부산 동구 중앙대로 244, 9층 (초량동,흥국생명보험(주)부산사옥)</t>
        </is>
      </c>
    </row>
    <row r="975">
      <c r="A975" t="inlineStr">
        <is>
          <t>NICE:IP3984</t>
        </is>
      </c>
      <c r="B975" t="inlineStr">
        <is>
          <t>더블에이치인터내셔널</t>
        </is>
      </c>
      <c r="C975" t="inlineStr">
        <is>
          <t>문병수/장인상</t>
        </is>
      </c>
      <c r="D975" t="inlineStr">
        <is>
          <t>02-6365-8022</t>
        </is>
      </c>
      <c r="E975" t="inlineStr">
        <is>
          <t>070-4789-4230</t>
        </is>
      </c>
      <c r="G975" t="inlineStr">
        <is>
          <t>7158700665</t>
        </is>
      </c>
      <c r="H975" t="inlineStr">
        <is>
          <t>1101116373213</t>
        </is>
      </c>
      <c r="I975" t="inlineStr">
        <is>
          <t>대상아님</t>
        </is>
      </c>
      <c r="J975" t="inlineStr">
        <is>
          <t>일반법인</t>
        </is>
      </c>
      <c r="K975" t="inlineStr">
        <is>
          <t>중소기업</t>
        </is>
      </c>
      <c r="L975" t="inlineStr">
        <is>
          <t>외부감사대상</t>
        </is>
      </c>
      <c r="M975" s="6" t="inlineStr">
        <is>
          <t>2017-04-12</t>
        </is>
      </c>
      <c r="N975" t="inlineStr">
        <is>
          <t>KRI:10G4659900</t>
        </is>
      </c>
      <c r="O975" t="inlineStr">
        <is>
          <t>그 외 기타 기계 및 장비 도매업</t>
        </is>
      </c>
      <c r="P975" t="inlineStr">
        <is>
          <t>발전기용 엔진부품 도소매,수출입</t>
        </is>
      </c>
      <c r="Q975" t="inlineStr">
        <is>
          <t>서울 영등포구 양평동5가 1-1번지 선유도역1차아이에스비즈타워 703호</t>
        </is>
      </c>
      <c r="R975" t="inlineStr">
        <is>
          <t>서울 영등포구 양평로21길 26, 703호 (양평동5가,선유도역1차아이에스비즈타워)</t>
        </is>
      </c>
    </row>
    <row r="976" ht="19.2" customHeight="1" s="1">
      <c r="A976" t="inlineStr">
        <is>
          <t>NICE:IP9389</t>
        </is>
      </c>
      <c r="B976" t="inlineStr">
        <is>
          <t>에이스바이옴</t>
        </is>
      </c>
      <c r="C976" t="inlineStr">
        <is>
          <t>김명희</t>
        </is>
      </c>
      <c r="D976" t="inlineStr">
        <is>
          <t>042-335-0623</t>
        </is>
      </c>
      <c r="E976" t="inlineStr">
        <is>
          <t>042-335-6022</t>
        </is>
      </c>
      <c r="F976" s="3">
        <f>HYPERLINK("http://www.acebiome.com", "http://www.acebiome.com")</f>
        <v/>
      </c>
      <c r="G976" t="inlineStr">
        <is>
          <t>2988700665</t>
        </is>
      </c>
      <c r="H976" t="inlineStr">
        <is>
          <t>1311110481257</t>
        </is>
      </c>
      <c r="I976" t="inlineStr">
        <is>
          <t>대상아님</t>
        </is>
      </c>
      <c r="J976" t="inlineStr">
        <is>
          <t>일반법인</t>
        </is>
      </c>
      <c r="K976" t="inlineStr">
        <is>
          <t>중견기업</t>
        </is>
      </c>
      <c r="L976" t="inlineStr">
        <is>
          <t>외부감사대상</t>
        </is>
      </c>
      <c r="M976" s="6" t="inlineStr">
        <is>
          <t>2017-04-28</t>
        </is>
      </c>
      <c r="N976" t="inlineStr">
        <is>
          <t>KRI:10C1079700</t>
        </is>
      </c>
      <c r="O976" t="inlineStr">
        <is>
          <t>건강기능식품 제조업</t>
        </is>
      </c>
      <c r="P976" t="inlineStr">
        <is>
          <t>건강기능식품 제조,도소매/연구개발용역</t>
        </is>
      </c>
      <c r="Q976" t="inlineStr">
        <is>
          <t>서울 강남구 삼성동 159-1번지 트레이드타워 4203호</t>
        </is>
      </c>
      <c r="R976" t="inlineStr">
        <is>
          <t>서울 강남구 영동대로 511, 4203호 (삼성동,트레이드타워)</t>
        </is>
      </c>
    </row>
    <row r="977" ht="19.2" customHeight="1" s="1">
      <c r="A977" t="inlineStr">
        <is>
          <t>NICE:IQ0260</t>
        </is>
      </c>
      <c r="B977" t="inlineStr">
        <is>
          <t>현성엠씨티</t>
        </is>
      </c>
      <c r="C977" t="inlineStr">
        <is>
          <t>구범수/임채윤</t>
        </is>
      </c>
      <c r="D977" t="inlineStr">
        <is>
          <t>055-832-3001</t>
        </is>
      </c>
      <c r="E977" t="inlineStr">
        <is>
          <t>055-832-3007</t>
        </is>
      </c>
      <c r="F977" s="3">
        <f>HYPERLINK("http://www.oceanvista.co.kr", "http://www.oceanvista.co.kr")</f>
        <v/>
      </c>
      <c r="G977" t="inlineStr">
        <is>
          <t>1908100734</t>
        </is>
      </c>
      <c r="H977" t="inlineStr">
        <is>
          <t>1801111093531</t>
        </is>
      </c>
      <c r="I977" t="inlineStr">
        <is>
          <t>대상아님</t>
        </is>
      </c>
      <c r="J977" t="inlineStr">
        <is>
          <t>일반법인</t>
        </is>
      </c>
      <c r="K977" t="inlineStr">
        <is>
          <t>중소기업</t>
        </is>
      </c>
      <c r="L977" t="inlineStr">
        <is>
          <t>외부감사대상</t>
        </is>
      </c>
      <c r="M977" s="6" t="inlineStr">
        <is>
          <t>2017-05-08</t>
        </is>
      </c>
      <c r="N977" t="inlineStr">
        <is>
          <t>KRI:10H5012200</t>
        </is>
      </c>
      <c r="O977" t="inlineStr">
        <is>
          <t>내항 화물 운송업</t>
        </is>
      </c>
      <c r="P977" t="inlineStr">
        <is>
          <t>내항 화물,여객 운송/수출입/커피 전문점</t>
        </is>
      </c>
      <c r="Q977" t="inlineStr">
        <is>
          <t>경남 사천시 향촌동 1287번지 삼천포신항여객터미널</t>
        </is>
      </c>
      <c r="R977" t="inlineStr">
        <is>
          <t>경남 사천시 신항만1길 76 (향촌동,삼천포신항여객터미널)</t>
        </is>
      </c>
    </row>
    <row r="978" ht="19.2" customHeight="1" s="1">
      <c r="A978" t="inlineStr">
        <is>
          <t>NICE:IQ0276</t>
        </is>
      </c>
      <c r="B978" t="inlineStr">
        <is>
          <t>카카오모빌리티</t>
        </is>
      </c>
      <c r="C978" t="inlineStr">
        <is>
          <t>류긍선</t>
        </is>
      </c>
      <c r="D978" t="inlineStr">
        <is>
          <t>1544-4625</t>
        </is>
      </c>
      <c r="F978" s="3">
        <f>HYPERLINK("http://www.kakaomobility.com/", "http://www.kakaomobility.com/")</f>
        <v/>
      </c>
      <c r="G978" t="inlineStr">
        <is>
          <t>1728600842</t>
        </is>
      </c>
      <c r="H978" t="inlineStr">
        <is>
          <t>1311110481819</t>
        </is>
      </c>
      <c r="I978" t="inlineStr">
        <is>
          <t>대상아님</t>
        </is>
      </c>
      <c r="J978" t="inlineStr">
        <is>
          <t>일반법인</t>
        </is>
      </c>
      <c r="K978" t="inlineStr">
        <is>
          <t>대기업</t>
        </is>
      </c>
      <c r="L978" t="inlineStr">
        <is>
          <t>외부감사대상</t>
        </is>
      </c>
      <c r="M978" s="6" t="inlineStr">
        <is>
          <t>2017-05-08</t>
        </is>
      </c>
      <c r="N978" t="inlineStr">
        <is>
          <t>KRI:10J6399100</t>
        </is>
      </c>
      <c r="O978" t="inlineStr">
        <is>
          <t>데이터베이스 및 온라인정보 제공업</t>
        </is>
      </c>
      <c r="P978" t="inlineStr">
        <is>
          <t>데이터베이스검색,개발,판매/위치기반,대리운전/주차장 운영</t>
        </is>
      </c>
      <c r="Q978" t="inlineStr">
        <is>
          <t>경기 성남시 분당구 백현동 537번지 알파돔타워 13층</t>
        </is>
      </c>
      <c r="R978" t="inlineStr">
        <is>
          <t>경기 성남시 분당구 판교역로 152, 13층 (백현동,알파돔타워)</t>
        </is>
      </c>
    </row>
    <row r="979">
      <c r="A979" t="inlineStr">
        <is>
          <t>NICE:IQ1746</t>
        </is>
      </c>
      <c r="B979" t="inlineStr">
        <is>
          <t>농업회사법인나래</t>
        </is>
      </c>
      <c r="C979" t="inlineStr">
        <is>
          <t>이수호</t>
        </is>
      </c>
      <c r="D979" t="inlineStr">
        <is>
          <t>043-857-6600</t>
        </is>
      </c>
      <c r="E979" t="inlineStr">
        <is>
          <t>043-857-6699</t>
        </is>
      </c>
      <c r="G979" t="inlineStr">
        <is>
          <t>2968600847</t>
        </is>
      </c>
      <c r="H979" t="inlineStr">
        <is>
          <t>1344110075837</t>
        </is>
      </c>
      <c r="I979" t="inlineStr">
        <is>
          <t>대상아님</t>
        </is>
      </c>
      <c r="J979" t="inlineStr">
        <is>
          <t>일반법인</t>
        </is>
      </c>
      <c r="K979" t="inlineStr">
        <is>
          <t>중소기업</t>
        </is>
      </c>
      <c r="L979" t="inlineStr">
        <is>
          <t>외부감사대상</t>
        </is>
      </c>
      <c r="M979" s="6" t="inlineStr">
        <is>
          <t>2017-05-10</t>
        </is>
      </c>
      <c r="N979" t="inlineStr">
        <is>
          <t>KRI:10A0123100</t>
        </is>
      </c>
      <c r="O979" t="inlineStr">
        <is>
          <t>양계업</t>
        </is>
      </c>
      <c r="P979" t="inlineStr">
        <is>
          <t>양계,가금류,조류 사육/동물용사료,조제식품 제조,축산물 가공(알)/사료 도소매</t>
        </is>
      </c>
      <c r="Q979" t="inlineStr">
        <is>
          <t>충북 충주시 대소원면 영평리 763번지</t>
        </is>
      </c>
      <c r="R979" t="inlineStr">
        <is>
          <t>충북 충주시 대소원면 메가폴리스3로 115</t>
        </is>
      </c>
    </row>
    <row r="980" ht="19.2" customHeight="1" s="1">
      <c r="A980" t="inlineStr">
        <is>
          <t>NICE:IQ3423</t>
        </is>
      </c>
      <c r="B980" t="inlineStr">
        <is>
          <t>브레인시티프로젝트금융투자</t>
        </is>
      </c>
      <c r="C980" t="inlineStr">
        <is>
          <t>김진형</t>
        </is>
      </c>
      <c r="D980" t="inlineStr">
        <is>
          <t>031-663-4503</t>
        </is>
      </c>
      <c r="F980" s="3">
        <f>HYPERLINK("http://www.jungheung.co.kr", "http://www.jungheung.co.kr")</f>
        <v/>
      </c>
      <c r="G980" t="inlineStr">
        <is>
          <t>7528700631</t>
        </is>
      </c>
      <c r="H980" t="inlineStr">
        <is>
          <t>1313110180938</t>
        </is>
      </c>
      <c r="I980" t="inlineStr">
        <is>
          <t>대상아님</t>
        </is>
      </c>
      <c r="J980" t="inlineStr">
        <is>
          <t>일반법인</t>
        </is>
      </c>
      <c r="K980" t="inlineStr">
        <is>
          <t>대기업</t>
        </is>
      </c>
      <c r="L980" t="inlineStr">
        <is>
          <t>외부감사대상</t>
        </is>
      </c>
      <c r="M980" s="6" t="inlineStr">
        <is>
          <t>2017-05-19</t>
        </is>
      </c>
      <c r="N980" t="inlineStr">
        <is>
          <t>KRI:10L6812100</t>
        </is>
      </c>
      <c r="O980" t="inlineStr">
        <is>
          <t>주거용 건물 개발 및 공급업</t>
        </is>
      </c>
      <c r="P980" t="inlineStr">
        <is>
          <t>단지개발,단지분양</t>
        </is>
      </c>
      <c r="Q980" t="inlineStr">
        <is>
          <t>경기 평택시 도일동 1165-4번지 301호</t>
        </is>
      </c>
      <c r="R980" t="inlineStr">
        <is>
          <t>경기 평택시 도일유통길 13-15, 301호</t>
        </is>
      </c>
    </row>
    <row r="981" ht="19.2" customHeight="1" s="1">
      <c r="A981" t="inlineStr">
        <is>
          <t>NICE:IQ7539</t>
        </is>
      </c>
      <c r="B981" t="inlineStr">
        <is>
          <t>경기이엔티</t>
        </is>
      </c>
      <c r="C981" t="inlineStr">
        <is>
          <t>이정환</t>
        </is>
      </c>
      <c r="D981" t="inlineStr">
        <is>
          <t>031-355-8060</t>
        </is>
      </c>
      <c r="E981" t="inlineStr">
        <is>
          <t>031-355-8062</t>
        </is>
      </c>
      <c r="F981" s="3">
        <f>HYPERLINK("http://www.wik.co.kr", "http://www.wik.co.kr")</f>
        <v/>
      </c>
      <c r="G981" t="inlineStr">
        <is>
          <t>4428700791</t>
        </is>
      </c>
      <c r="H981" t="inlineStr">
        <is>
          <t>1348110410647</t>
        </is>
      </c>
      <c r="I981" t="inlineStr">
        <is>
          <t>대상아님</t>
        </is>
      </c>
      <c r="J981" t="inlineStr">
        <is>
          <t>일반법인</t>
        </is>
      </c>
      <c r="K981" t="inlineStr">
        <is>
          <t>중소기업</t>
        </is>
      </c>
      <c r="L981" t="inlineStr">
        <is>
          <t>외부감사대상</t>
        </is>
      </c>
      <c r="M981" s="6" t="inlineStr">
        <is>
          <t>2017-06-01</t>
        </is>
      </c>
      <c r="N981" t="inlineStr">
        <is>
          <t>KRI:10E3823000</t>
        </is>
      </c>
      <c r="O981" t="inlineStr">
        <is>
          <t>건설 폐기물 처리업</t>
        </is>
      </c>
      <c r="P981" t="inlineStr">
        <is>
          <t>건설 폐기물 중간처리,수집운반/석면해체제거공사/골재가공 제조</t>
        </is>
      </c>
      <c r="Q981" t="inlineStr">
        <is>
          <t>경기 화성시 만세구 남양읍 신남리 595-4번지</t>
        </is>
      </c>
      <c r="R981" t="inlineStr">
        <is>
          <t>경기 화성시 만세구 남양읍 신남안길 251-95</t>
        </is>
      </c>
    </row>
    <row r="982" ht="19.2" customHeight="1" s="1">
      <c r="A982" t="inlineStr">
        <is>
          <t>NICE:IQ8231</t>
        </is>
      </c>
      <c r="B982" t="inlineStr">
        <is>
          <t>엔엑스쓰리게임즈</t>
        </is>
      </c>
      <c r="C982" t="inlineStr">
        <is>
          <t>최일돈/최재헌</t>
        </is>
      </c>
      <c r="D982" t="inlineStr">
        <is>
          <t>02-545-7595</t>
        </is>
      </c>
      <c r="E982" t="inlineStr">
        <is>
          <t>02-545-7596</t>
        </is>
      </c>
      <c r="F982" s="3">
        <f>HYPERLINK("http://www.nx3games.com/", "http://www.nx3games.com/")</f>
        <v/>
      </c>
      <c r="G982" t="inlineStr">
        <is>
          <t>7698700809</t>
        </is>
      </c>
      <c r="H982" t="inlineStr">
        <is>
          <t>1101116420949</t>
        </is>
      </c>
      <c r="I982" t="inlineStr">
        <is>
          <t>대상아님</t>
        </is>
      </c>
      <c r="J982" t="inlineStr">
        <is>
          <t>일반법인</t>
        </is>
      </c>
      <c r="K982" t="inlineStr">
        <is>
          <t>중소기업</t>
        </is>
      </c>
      <c r="L982" t="inlineStr">
        <is>
          <t>외부감사대상</t>
        </is>
      </c>
      <c r="M982" s="6" t="inlineStr">
        <is>
          <t>2017-06-05</t>
        </is>
      </c>
      <c r="N982" t="inlineStr">
        <is>
          <t>KRI:10J5821100</t>
        </is>
      </c>
      <c r="O982" t="inlineStr">
        <is>
          <t>유선 온라인 게임 소프트웨어 개발 및 공급업</t>
        </is>
      </c>
      <c r="P982" t="inlineStr">
        <is>
          <t>게임 소프트웨어 개발,공급</t>
        </is>
      </c>
      <c r="Q982" t="inlineStr">
        <is>
          <t>서울 강남구 대치동 943번지 루첸타워 2층, 3층</t>
        </is>
      </c>
      <c r="R982" t="inlineStr">
        <is>
          <t>서울 강남구 테헤란로 510, 2층, 3층 (대치동,루첸타워)</t>
        </is>
      </c>
    </row>
    <row r="983" ht="19.2" customHeight="1" s="1">
      <c r="A983" t="inlineStr">
        <is>
          <t>NICE:IQ8665</t>
        </is>
      </c>
      <c r="B983" t="inlineStr">
        <is>
          <t>성담솔트베이</t>
        </is>
      </c>
      <c r="C983" t="inlineStr">
        <is>
          <t>홍필선</t>
        </is>
      </c>
      <c r="D983" t="inlineStr">
        <is>
          <t>031-400-0022</t>
        </is>
      </c>
      <c r="E983" t="inlineStr">
        <is>
          <t>031-400-0025</t>
        </is>
      </c>
      <c r="F983" s="3">
        <f>HYPERLINK("http://www.saltbay.co.kr", "http://www.saltbay.co.kr")</f>
        <v/>
      </c>
      <c r="G983" t="inlineStr">
        <is>
          <t>5558600654</t>
        </is>
      </c>
      <c r="H983" t="inlineStr">
        <is>
          <t>1355110311733</t>
        </is>
      </c>
      <c r="I983" t="inlineStr">
        <is>
          <t>대상아님</t>
        </is>
      </c>
      <c r="J983" t="inlineStr">
        <is>
          <t>일반법인</t>
        </is>
      </c>
      <c r="K983" t="inlineStr">
        <is>
          <t>중견기업</t>
        </is>
      </c>
      <c r="L983" t="inlineStr">
        <is>
          <t>외부감사대상</t>
        </is>
      </c>
      <c r="M983" s="6" t="inlineStr">
        <is>
          <t>2017-06-02</t>
        </is>
      </c>
      <c r="N983" t="inlineStr">
        <is>
          <t>KRI:10R9112100</t>
        </is>
      </c>
      <c r="O983" t="inlineStr">
        <is>
          <t>골프장 운영업</t>
        </is>
      </c>
      <c r="P983" t="inlineStr">
        <is>
          <t>골프장 운영</t>
        </is>
      </c>
      <c r="Q983" t="inlineStr">
        <is>
          <t>경기 시흥시 장곡동 855번지</t>
        </is>
      </c>
      <c r="R983" t="inlineStr">
        <is>
          <t>경기 시흥시 마유로 987</t>
        </is>
      </c>
    </row>
    <row r="984" ht="19.2" customHeight="1" s="1">
      <c r="A984" t="inlineStr">
        <is>
          <t>NICE:IR7354</t>
        </is>
      </c>
      <c r="B984" t="inlineStr">
        <is>
          <t>한화파워</t>
        </is>
      </c>
      <c r="C984" t="inlineStr">
        <is>
          <t>라피발타</t>
        </is>
      </c>
      <c r="D984" t="inlineStr">
        <is>
          <t>070-7147-8000</t>
        </is>
      </c>
      <c r="E984" t="inlineStr">
        <is>
          <t>031-8018-3750</t>
        </is>
      </c>
      <c r="F984" s="3">
        <f>HYPERLINK("http://www.hanwhapowersystems.co.kr", "http://www.hanwhapowersystems.co.kr")</f>
        <v/>
      </c>
      <c r="G984" t="inlineStr">
        <is>
          <t>4778600771</t>
        </is>
      </c>
      <c r="H984" t="inlineStr">
        <is>
          <t>1942110273318</t>
        </is>
      </c>
      <c r="I984" t="inlineStr">
        <is>
          <t>대상아님</t>
        </is>
      </c>
      <c r="J984" t="inlineStr">
        <is>
          <t>일반법인</t>
        </is>
      </c>
      <c r="K984" t="inlineStr">
        <is>
          <t>대기업</t>
        </is>
      </c>
      <c r="L984" t="inlineStr">
        <is>
          <t>외부감사대상</t>
        </is>
      </c>
      <c r="M984" s="6" t="inlineStr">
        <is>
          <t>2017-07-03</t>
        </is>
      </c>
      <c r="N984" t="inlineStr">
        <is>
          <t>KRI:10C2913200</t>
        </is>
      </c>
      <c r="O984" t="inlineStr">
        <is>
          <t>기체 펌프 및 압축기 제조업</t>
        </is>
      </c>
      <c r="P984" t="inlineStr">
        <is>
          <t>압축기 제조</t>
        </is>
      </c>
      <c r="Q984" t="inlineStr">
        <is>
          <t>경남 창원시 성산구 성주동 28번지</t>
        </is>
      </c>
      <c r="R984" t="inlineStr">
        <is>
          <t>경남 창원시 성산구 창원대로 1204</t>
        </is>
      </c>
    </row>
    <row r="985">
      <c r="A985" t="inlineStr">
        <is>
          <t>NICE:IR8826</t>
        </is>
      </c>
      <c r="B985" t="inlineStr">
        <is>
          <t>농업회사법인동남농장</t>
        </is>
      </c>
      <c r="C985" t="inlineStr">
        <is>
          <t>김창윤</t>
        </is>
      </c>
      <c r="D985" t="inlineStr">
        <is>
          <t>051-717-2414</t>
        </is>
      </c>
      <c r="E985" t="inlineStr">
        <is>
          <t>051-717-2416</t>
        </is>
      </c>
      <c r="G985" t="inlineStr">
        <is>
          <t>3668100840</t>
        </is>
      </c>
      <c r="H985" t="inlineStr">
        <is>
          <t>1744110006959</t>
        </is>
      </c>
      <c r="I985" t="inlineStr">
        <is>
          <t>대상아님</t>
        </is>
      </c>
      <c r="J985" t="inlineStr">
        <is>
          <t>일반법인</t>
        </is>
      </c>
      <c r="K985" t="inlineStr">
        <is>
          <t>중소기업</t>
        </is>
      </c>
      <c r="L985" t="inlineStr">
        <is>
          <t>외부감사대상</t>
        </is>
      </c>
      <c r="M985" s="6" t="inlineStr">
        <is>
          <t>2017-07-06</t>
        </is>
      </c>
      <c r="N985" t="inlineStr">
        <is>
          <t>KRI:10A0129900</t>
        </is>
      </c>
      <c r="O985" t="inlineStr">
        <is>
          <t>그 외 기타 축산업</t>
        </is>
      </c>
      <c r="P985" t="inlineStr">
        <is>
          <t>가축 사육/축산물,사료,비료 도소매</t>
        </is>
      </c>
      <c r="Q985" t="inlineStr">
        <is>
          <t>경북 청송군 진보면 기곡리 387-1번지</t>
        </is>
      </c>
      <c r="R985" t="inlineStr">
        <is>
          <t>경북 청송군 진보면 기곡길 494-50</t>
        </is>
      </c>
    </row>
    <row r="986">
      <c r="A986" t="inlineStr">
        <is>
          <t>NICE:IS0151</t>
        </is>
      </c>
      <c r="B986" t="inlineStr">
        <is>
          <t>서현메탈</t>
        </is>
      </c>
      <c r="C986" t="inlineStr">
        <is>
          <t>김은혜</t>
        </is>
      </c>
      <c r="D986" t="inlineStr">
        <is>
          <t>02-552-7750</t>
        </is>
      </c>
      <c r="E986" t="inlineStr">
        <is>
          <t>02-551-7749</t>
        </is>
      </c>
      <c r="G986" t="inlineStr">
        <is>
          <t>6908700634</t>
        </is>
      </c>
      <c r="H986" t="inlineStr">
        <is>
          <t>1101116454047</t>
        </is>
      </c>
      <c r="I986" t="inlineStr">
        <is>
          <t>대상아님</t>
        </is>
      </c>
      <c r="J986" t="inlineStr">
        <is>
          <t>일반법인</t>
        </is>
      </c>
      <c r="K986" t="inlineStr">
        <is>
          <t>중소기업</t>
        </is>
      </c>
      <c r="L986" t="inlineStr">
        <is>
          <t>외부감사대상</t>
        </is>
      </c>
      <c r="M986" s="6" t="inlineStr">
        <is>
          <t>2017-07-06</t>
        </is>
      </c>
      <c r="N986" t="inlineStr">
        <is>
          <t>KRI:10G4649200</t>
        </is>
      </c>
      <c r="O986" t="inlineStr">
        <is>
          <t>시계 및 귀금속제품 도매업</t>
        </is>
      </c>
      <c r="P986" t="inlineStr">
        <is>
          <t>시계,귀금속제품,악세사리,신구 도소매,수출입/부동산 임대</t>
        </is>
      </c>
      <c r="Q986" t="inlineStr">
        <is>
          <t>서울 강동구 명일동 328-2번지 301호</t>
        </is>
      </c>
      <c r="R986" t="inlineStr">
        <is>
          <t>서울 강동구 구천면로 438, 301호</t>
        </is>
      </c>
    </row>
    <row r="987">
      <c r="A987" t="inlineStr">
        <is>
          <t>NICE:IS4752</t>
        </is>
      </c>
      <c r="B987" t="inlineStr">
        <is>
          <t>화신이엔지</t>
        </is>
      </c>
      <c r="C987" t="inlineStr">
        <is>
          <t>조성권</t>
        </is>
      </c>
      <c r="D987" t="inlineStr">
        <is>
          <t>062-515-3505</t>
        </is>
      </c>
      <c r="E987" t="inlineStr">
        <is>
          <t>062-575-3505</t>
        </is>
      </c>
      <c r="G987" t="inlineStr">
        <is>
          <t>4778100873</t>
        </is>
      </c>
      <c r="H987" t="inlineStr">
        <is>
          <t>2001110576509</t>
        </is>
      </c>
      <c r="I987" t="inlineStr">
        <is>
          <t>대상아님</t>
        </is>
      </c>
      <c r="J987" t="inlineStr">
        <is>
          <t>일반법인</t>
        </is>
      </c>
      <c r="K987" t="inlineStr">
        <is>
          <t>중소기업</t>
        </is>
      </c>
      <c r="L987" t="inlineStr">
        <is>
          <t>외부감사대상</t>
        </is>
      </c>
      <c r="M987" s="6" t="inlineStr">
        <is>
          <t>2017-07-25</t>
        </is>
      </c>
      <c r="N987" t="inlineStr">
        <is>
          <t>KRI:10C2511900</t>
        </is>
      </c>
      <c r="O987" t="inlineStr">
        <is>
          <t>기타 구조용 금속제품 제조업</t>
        </is>
      </c>
      <c r="P987" t="inlineStr">
        <is>
          <t>태양광,철구조물 임가공,조형물,고압수배전반 제조/토목공사,일반건축공사,전기공사</t>
        </is>
      </c>
      <c r="Q987" t="inlineStr">
        <is>
          <t>광주 북구 동림동 917-10번지</t>
        </is>
      </c>
      <c r="R987" t="inlineStr">
        <is>
          <t>광주 북구 동운로32번길 24</t>
        </is>
      </c>
    </row>
    <row r="988" ht="19.2" customHeight="1" s="1">
      <c r="A988" t="inlineStr">
        <is>
          <t>NICE:IS7286</t>
        </is>
      </c>
      <c r="B988" t="inlineStr">
        <is>
          <t>와이엔케이바이오코스</t>
        </is>
      </c>
      <c r="C988" t="inlineStr">
        <is>
          <t>정소윤</t>
        </is>
      </c>
      <c r="D988" t="inlineStr">
        <is>
          <t>031-671-5277</t>
        </is>
      </c>
      <c r="E988" t="inlineStr">
        <is>
          <t>031-671-2799</t>
        </is>
      </c>
      <c r="F988" s="3">
        <f>HYPERLINK("http://www.ynkbc.com", "http://www.ynkbc.com")</f>
        <v/>
      </c>
      <c r="G988" t="inlineStr">
        <is>
          <t>7048100800</t>
        </is>
      </c>
      <c r="H988" t="inlineStr">
        <is>
          <t>1101116471744</t>
        </is>
      </c>
      <c r="I988" t="inlineStr">
        <is>
          <t>대상아님</t>
        </is>
      </c>
      <c r="J988" t="inlineStr">
        <is>
          <t>일반법인</t>
        </is>
      </c>
      <c r="K988" t="inlineStr">
        <is>
          <t>중소기업</t>
        </is>
      </c>
      <c r="L988" t="inlineStr">
        <is>
          <t>외부감사대상</t>
        </is>
      </c>
      <c r="M988" s="6" t="inlineStr">
        <is>
          <t>2017-07-26</t>
        </is>
      </c>
      <c r="N988" t="inlineStr">
        <is>
          <t>KRI:10C2130000</t>
        </is>
      </c>
      <c r="O988" t="inlineStr">
        <is>
          <t>의료용품 및 기타 의약 관련제품 제조업</t>
        </is>
      </c>
      <c r="P988" t="inlineStr">
        <is>
          <t>의료용품,의약관련제품 제조/화장품,의약외품 도소매,통신판매/비주거용건물 임대(자기땅)</t>
        </is>
      </c>
      <c r="Q988" t="inlineStr">
        <is>
          <t>경기 안성시 서운면 신능리 223-2번지</t>
        </is>
      </c>
      <c r="R988" t="inlineStr">
        <is>
          <t>경기 안성시 서운면 제3공단3길 40</t>
        </is>
      </c>
    </row>
    <row r="989" ht="19.2" customHeight="1" s="1">
      <c r="A989" t="inlineStr">
        <is>
          <t>NICE:IS8616</t>
        </is>
      </c>
      <c r="B989" t="inlineStr">
        <is>
          <t>호법포레</t>
        </is>
      </c>
      <c r="C989" t="inlineStr">
        <is>
          <t>김한룡</t>
        </is>
      </c>
      <c r="D989" t="inlineStr">
        <is>
          <t>031-730-8600</t>
        </is>
      </c>
      <c r="E989" t="inlineStr">
        <is>
          <t>031-730-8639</t>
        </is>
      </c>
      <c r="F989" s="3">
        <f>HYPERLINK("http://www.thecrosbygc.co.kr", "http://www.thecrosbygc.co.kr")</f>
        <v/>
      </c>
      <c r="G989" t="inlineStr">
        <is>
          <t>5678700805</t>
        </is>
      </c>
      <c r="H989" t="inlineStr">
        <is>
          <t>1344110077164</t>
        </is>
      </c>
      <c r="I989" t="inlineStr">
        <is>
          <t>대상아님</t>
        </is>
      </c>
      <c r="J989" t="inlineStr">
        <is>
          <t>일반법인</t>
        </is>
      </c>
      <c r="K989" t="inlineStr">
        <is>
          <t>중견기업</t>
        </is>
      </c>
      <c r="L989" t="inlineStr">
        <is>
          <t>외부감사대상</t>
        </is>
      </c>
      <c r="M989" s="6" t="inlineStr">
        <is>
          <t>2017-08-04</t>
        </is>
      </c>
      <c r="N989" t="inlineStr">
        <is>
          <t>KRI:10R9112100</t>
        </is>
      </c>
      <c r="O989" t="inlineStr">
        <is>
          <t>골프장 운영업</t>
        </is>
      </c>
      <c r="P989" t="inlineStr">
        <is>
          <t>골프장 운영</t>
        </is>
      </c>
      <c r="Q989" t="inlineStr">
        <is>
          <t>경기 이천시 호법면 단천리 63-1번지</t>
        </is>
      </c>
      <c r="R989" t="inlineStr">
        <is>
          <t>경기 이천시 호법면 중부대로798번길 177</t>
        </is>
      </c>
    </row>
    <row r="990">
      <c r="A990" t="inlineStr">
        <is>
          <t>NICE:IS8972</t>
        </is>
      </c>
      <c r="B990" t="inlineStr">
        <is>
          <t>제이엔텍</t>
        </is>
      </c>
      <c r="C990" t="inlineStr">
        <is>
          <t>최동찬</t>
        </is>
      </c>
      <c r="D990" t="inlineStr">
        <is>
          <t>041-357-0802</t>
        </is>
      </c>
      <c r="E990" t="inlineStr">
        <is>
          <t>041-357-0804</t>
        </is>
      </c>
      <c r="G990" t="inlineStr">
        <is>
          <t>3988800735</t>
        </is>
      </c>
      <c r="H990" t="inlineStr">
        <is>
          <t>1650110059527</t>
        </is>
      </c>
      <c r="I990" t="inlineStr">
        <is>
          <t>대상아님</t>
        </is>
      </c>
      <c r="J990" t="inlineStr">
        <is>
          <t>일반법인</t>
        </is>
      </c>
      <c r="K990" t="inlineStr">
        <is>
          <t>중소기업</t>
        </is>
      </c>
      <c r="L990" t="inlineStr">
        <is>
          <t>외부감사대상</t>
        </is>
      </c>
      <c r="M990" s="6" t="inlineStr">
        <is>
          <t>2017-08-01</t>
        </is>
      </c>
      <c r="N990" t="inlineStr">
        <is>
          <t>KRI:10E3821000</t>
        </is>
      </c>
      <c r="O990" t="inlineStr">
        <is>
          <t>지정 외 폐기물 처리업</t>
        </is>
      </c>
      <c r="P990" t="inlineStr">
        <is>
          <t>지정폐기물,건설폐기물,사업장폐기물 수집,운반,처리,토양오염 정화,하수,폐수,폐기물중간 처리</t>
        </is>
      </c>
      <c r="Q990" t="inlineStr">
        <is>
          <t>충남 당진시 송산면 동곡리 492번지</t>
        </is>
      </c>
      <c r="R990" t="inlineStr">
        <is>
          <t>충남 당진시 송산면 가곡로 250</t>
        </is>
      </c>
    </row>
    <row r="991">
      <c r="A991" t="inlineStr">
        <is>
          <t>NICE:IT8351</t>
        </is>
      </c>
      <c r="B991" t="inlineStr">
        <is>
          <t>태성</t>
        </is>
      </c>
      <c r="C991" t="inlineStr">
        <is>
          <t>김경식</t>
        </is>
      </c>
      <c r="D991" t="inlineStr">
        <is>
          <t>031-298-7652</t>
        </is>
      </c>
      <c r="E991" t="inlineStr">
        <is>
          <t>031-298-7653</t>
        </is>
      </c>
      <c r="G991" t="inlineStr">
        <is>
          <t>3478800891</t>
        </is>
      </c>
      <c r="H991" t="inlineStr">
        <is>
          <t>1358110324409</t>
        </is>
      </c>
      <c r="I991" t="inlineStr">
        <is>
          <t>대상아님</t>
        </is>
      </c>
      <c r="J991" t="inlineStr">
        <is>
          <t>일반법인</t>
        </is>
      </c>
      <c r="K991" t="inlineStr">
        <is>
          <t>중소기업</t>
        </is>
      </c>
      <c r="L991" t="inlineStr">
        <is>
          <t>외부감사대상</t>
        </is>
      </c>
      <c r="M991" s="6" t="inlineStr">
        <is>
          <t>2017-09-04</t>
        </is>
      </c>
      <c r="N991" t="inlineStr">
        <is>
          <t>KRI:10G4632900</t>
        </is>
      </c>
      <c r="O991" t="inlineStr">
        <is>
          <t>기타 가공식품 도매업</t>
        </is>
      </c>
      <c r="P991" t="inlineStr">
        <is>
          <t>식품,식품첨가물,화장품원료</t>
        </is>
      </c>
      <c r="Q991" t="inlineStr">
        <is>
          <t>경기 수원시 권선구 고색동 86-3번지 태성빌딩 2층</t>
        </is>
      </c>
      <c r="R991" t="inlineStr">
        <is>
          <t>경기 수원시 권선구 고색로66번길 29, 2층 (고색동,태성빌딩)</t>
        </is>
      </c>
    </row>
    <row r="992" ht="19.2" customHeight="1" s="1">
      <c r="A992" t="inlineStr">
        <is>
          <t>NICE:IU2536</t>
        </is>
      </c>
      <c r="B992" t="inlineStr">
        <is>
          <t>진이어스</t>
        </is>
      </c>
      <c r="C992" t="inlineStr">
        <is>
          <t>송태훈</t>
        </is>
      </c>
      <c r="D992" t="inlineStr">
        <is>
          <t>070-4241-6697</t>
        </is>
      </c>
      <c r="E992" t="inlineStr">
        <is>
          <t>070-8230-0753</t>
        </is>
      </c>
      <c r="F992" s="3">
        <f>HYPERLINK("http://www.geni-us.co.kr/", "http://www.geni-us.co.kr/")</f>
        <v/>
      </c>
      <c r="G992" t="inlineStr">
        <is>
          <t>8328700811</t>
        </is>
      </c>
      <c r="H992" t="inlineStr">
        <is>
          <t>1101116515930</t>
        </is>
      </c>
      <c r="I992" t="inlineStr">
        <is>
          <t>대상아님</t>
        </is>
      </c>
      <c r="J992" t="inlineStr">
        <is>
          <t>일반법인</t>
        </is>
      </c>
      <c r="K992" t="inlineStr">
        <is>
          <t>중소기업</t>
        </is>
      </c>
      <c r="L992" t="inlineStr">
        <is>
          <t>외부감사대상</t>
        </is>
      </c>
      <c r="M992" s="6" t="inlineStr">
        <is>
          <t>2017-09-13</t>
        </is>
      </c>
      <c r="N992" t="inlineStr">
        <is>
          <t>KRI:10M7131000</t>
        </is>
      </c>
      <c r="O992" t="inlineStr">
        <is>
          <t>광고 대행업</t>
        </is>
      </c>
      <c r="P992" t="inlineStr">
        <is>
          <t>광고 대행,광고물 작성/의약품,의료기기,용품,화장품,미용제품 도소매,통신 판매/컴퓨터시스템 포털,인터넷정보매개,구축 관리,교육 지원</t>
        </is>
      </c>
      <c r="Q992" t="inlineStr">
        <is>
          <t>서울 서초구 서초동 1309-6번지 서호빌딩 12층 ,13층</t>
        </is>
      </c>
      <c r="R992" t="inlineStr">
        <is>
          <t>서울 서초구 강남대로69길 10, 12층 ,13층 (서초동,서호빌딩)</t>
        </is>
      </c>
    </row>
    <row r="993">
      <c r="A993" t="inlineStr">
        <is>
          <t>NICE:IV1378</t>
        </is>
      </c>
      <c r="B993" t="inlineStr">
        <is>
          <t>천호엔지니어링</t>
        </is>
      </c>
      <c r="C993" t="inlineStr">
        <is>
          <t>이제태</t>
        </is>
      </c>
      <c r="D993" t="inlineStr">
        <is>
          <t>070-7510-5825</t>
        </is>
      </c>
      <c r="E993" t="inlineStr">
        <is>
          <t>070-7547-5826</t>
        </is>
      </c>
      <c r="G993" t="inlineStr">
        <is>
          <t>6418100848</t>
        </is>
      </c>
      <c r="H993" t="inlineStr">
        <is>
          <t>1101116538437</t>
        </is>
      </c>
      <c r="I993" t="inlineStr">
        <is>
          <t>대상아님</t>
        </is>
      </c>
      <c r="J993" t="inlineStr">
        <is>
          <t>일반법인</t>
        </is>
      </c>
      <c r="K993" t="inlineStr">
        <is>
          <t>중소기업</t>
        </is>
      </c>
      <c r="L993" t="inlineStr">
        <is>
          <t>외부감사비대상</t>
        </is>
      </c>
      <c r="M993" s="6" t="inlineStr">
        <is>
          <t>2017-10-16</t>
        </is>
      </c>
      <c r="N993" t="inlineStr">
        <is>
          <t>KRI:10F4211000</t>
        </is>
      </c>
      <c r="O993" t="inlineStr">
        <is>
          <t>건물 및 구축물 해체 공사업</t>
        </is>
      </c>
      <c r="P993" t="inlineStr">
        <is>
          <t>비계구조물해체공사,석면해체제거/건설장비 임대</t>
        </is>
      </c>
      <c r="Q993" t="inlineStr">
        <is>
          <t>서울 서초구 방배동 895-1번지 양지빌딩2 2층</t>
        </is>
      </c>
      <c r="R993" t="inlineStr">
        <is>
          <t>서울 서초구 서초대로 118, 2층 (방배동,양지빌딩2)</t>
        </is>
      </c>
    </row>
    <row r="994">
      <c r="A994" t="inlineStr">
        <is>
          <t>NICE:IV2104</t>
        </is>
      </c>
      <c r="B994" t="inlineStr">
        <is>
          <t>뮤카</t>
        </is>
      </c>
      <c r="C994" t="inlineStr">
        <is>
          <t>김건식</t>
        </is>
      </c>
      <c r="D994" t="inlineStr">
        <is>
          <t>02-784-3999</t>
        </is>
      </c>
      <c r="E994" t="inlineStr">
        <is>
          <t>02-784-7041</t>
        </is>
      </c>
      <c r="G994" t="inlineStr">
        <is>
          <t>2618800883</t>
        </is>
      </c>
      <c r="H994" t="inlineStr">
        <is>
          <t>1101116540953</t>
        </is>
      </c>
      <c r="I994" t="inlineStr">
        <is>
          <t>대상아님</t>
        </is>
      </c>
      <c r="J994" t="inlineStr">
        <is>
          <t>일반법인</t>
        </is>
      </c>
      <c r="K994" t="inlineStr">
        <is>
          <t>중소기업</t>
        </is>
      </c>
      <c r="L994" t="inlineStr">
        <is>
          <t>외부감사대상</t>
        </is>
      </c>
      <c r="M994" s="6" t="inlineStr">
        <is>
          <t>2017-10-18</t>
        </is>
      </c>
      <c r="N994" t="inlineStr">
        <is>
          <t>KRI:10G4512000</t>
        </is>
      </c>
      <c r="O994" t="inlineStr">
        <is>
          <t>중고 자동차 판매업</t>
        </is>
      </c>
      <c r="P994" t="inlineStr">
        <is>
          <t>중고자동차 중개알선,판매</t>
        </is>
      </c>
      <c r="Q994" t="inlineStr">
        <is>
          <t>서울 강서구 가양동 50-5번지 서서울모터리움 903호</t>
        </is>
      </c>
      <c r="R994" t="inlineStr">
        <is>
          <t>서울 강서구 양천로53길 30, 903호 (가양동,서서울모터리움)</t>
        </is>
      </c>
    </row>
    <row r="995">
      <c r="A995" t="inlineStr">
        <is>
          <t>NICE:IV3329</t>
        </is>
      </c>
      <c r="B995" t="inlineStr">
        <is>
          <t>고흥신에너지</t>
        </is>
      </c>
      <c r="C995" t="inlineStr">
        <is>
          <t>손홍철/한민수</t>
        </is>
      </c>
      <c r="D995" t="inlineStr">
        <is>
          <t>061-835-0107</t>
        </is>
      </c>
      <c r="E995" t="inlineStr">
        <is>
          <t>061-835-0108</t>
        </is>
      </c>
      <c r="G995" t="inlineStr">
        <is>
          <t>6818100851</t>
        </is>
      </c>
      <c r="H995" t="inlineStr">
        <is>
          <t>2049110015953</t>
        </is>
      </c>
      <c r="I995" t="inlineStr">
        <is>
          <t>대상아님</t>
        </is>
      </c>
      <c r="J995" t="inlineStr">
        <is>
          <t>일반법인</t>
        </is>
      </c>
      <c r="K995" t="inlineStr">
        <is>
          <t>중견기업</t>
        </is>
      </c>
      <c r="L995" t="inlineStr">
        <is>
          <t>외부감사대상</t>
        </is>
      </c>
      <c r="M995" s="6" t="inlineStr">
        <is>
          <t>2017-10-24</t>
        </is>
      </c>
      <c r="N995" t="inlineStr">
        <is>
          <t>KRI:10D3511400</t>
        </is>
      </c>
      <c r="O995" t="inlineStr">
        <is>
          <t>태양력 발전업</t>
        </is>
      </c>
      <c r="P995" t="inlineStr">
        <is>
          <t>신재생에너지,태양광 발전</t>
        </is>
      </c>
      <c r="Q995" t="inlineStr">
        <is>
          <t>전남 고흥군 포두면 송산리 1641-1번지</t>
        </is>
      </c>
      <c r="R995" t="inlineStr">
        <is>
          <t>전남 고흥군 포두면 팔영로 431</t>
        </is>
      </c>
    </row>
    <row r="996" ht="19.2" customHeight="1" s="1">
      <c r="A996" t="inlineStr">
        <is>
          <t>NICE:IX4456</t>
        </is>
      </c>
      <c r="B996" t="inlineStr">
        <is>
          <t>준성홀딩스</t>
        </is>
      </c>
      <c r="C996" t="inlineStr">
        <is>
          <t>박성식</t>
        </is>
      </c>
      <c r="D996" t="inlineStr">
        <is>
          <t>02-404-1915</t>
        </is>
      </c>
      <c r="E996" t="inlineStr">
        <is>
          <t>02-404-1915</t>
        </is>
      </c>
      <c r="F996" s="3">
        <f>HYPERLINK("https://jsyp.co.kr/", "https://jsyp.co.kr/")</f>
        <v/>
      </c>
      <c r="G996" t="inlineStr">
        <is>
          <t>4758100969</t>
        </is>
      </c>
      <c r="H996" t="inlineStr">
        <is>
          <t>1342110197669</t>
        </is>
      </c>
      <c r="I996" t="inlineStr">
        <is>
          <t>대상아님</t>
        </is>
      </c>
      <c r="J996" t="inlineStr">
        <is>
          <t>일반법인</t>
        </is>
      </c>
      <c r="K996" t="inlineStr">
        <is>
          <t>중소기업</t>
        </is>
      </c>
      <c r="L996" t="inlineStr">
        <is>
          <t>외부감사대상</t>
        </is>
      </c>
      <c r="M996" s="6" t="inlineStr">
        <is>
          <t>2017-12-21</t>
        </is>
      </c>
      <c r="N996" t="inlineStr">
        <is>
          <t>KRI:10G4644100</t>
        </is>
      </c>
      <c r="O996" t="inlineStr">
        <is>
          <t>의약품 도매업</t>
        </is>
      </c>
      <c r="P996" t="inlineStr">
        <is>
          <t>의약품,화장품 도소매,상품 대리판매/소프트웨어 개발,학술,연구용역</t>
        </is>
      </c>
      <c r="Q996" t="inlineStr">
        <is>
          <t>서울 송파구 오금동 145-4번지</t>
        </is>
      </c>
      <c r="R996" t="inlineStr">
        <is>
          <t>서울 송파구 문정로 233</t>
        </is>
      </c>
    </row>
    <row r="997" ht="19.2" customHeight="1" s="1">
      <c r="A997" t="inlineStr">
        <is>
          <t>NICE:IX7720</t>
        </is>
      </c>
      <c r="B997" t="inlineStr">
        <is>
          <t>동아</t>
        </is>
      </c>
      <c r="C997" t="inlineStr">
        <is>
          <t>도성득</t>
        </is>
      </c>
      <c r="D997" t="inlineStr">
        <is>
          <t>055-273-2111</t>
        </is>
      </c>
      <c r="E997" t="inlineStr">
        <is>
          <t>055-273-2115</t>
        </is>
      </c>
      <c r="F997" s="3">
        <f>HYPERLINK("http://www.dongahbolt.co.kr", "http://www.dongahbolt.co.kr")</f>
        <v/>
      </c>
      <c r="G997" t="inlineStr">
        <is>
          <t>1668601069</t>
        </is>
      </c>
      <c r="H997" t="inlineStr">
        <is>
          <t>1942110280298</t>
        </is>
      </c>
      <c r="I997" t="inlineStr">
        <is>
          <t>대상아님</t>
        </is>
      </c>
      <c r="J997" t="inlineStr">
        <is>
          <t>일반법인</t>
        </is>
      </c>
      <c r="K997" t="inlineStr">
        <is>
          <t>중견기업</t>
        </is>
      </c>
      <c r="L997" t="inlineStr">
        <is>
          <t>외부감사대상</t>
        </is>
      </c>
      <c r="M997" s="6" t="inlineStr">
        <is>
          <t>2018-01-02</t>
        </is>
      </c>
      <c r="N997" t="inlineStr">
        <is>
          <t>KRI:10C2594100</t>
        </is>
      </c>
      <c r="O997" t="inlineStr">
        <is>
          <t>볼트 및 너트류 제조업</t>
        </is>
      </c>
      <c r="P997" t="inlineStr">
        <is>
          <t>볼트,너트,금속소재열처리 제조/부동산 임대</t>
        </is>
      </c>
      <c r="Q997" t="inlineStr">
        <is>
          <t>경남 창원시 성산구 대원동 91번지</t>
        </is>
      </c>
      <c r="R997" t="inlineStr">
        <is>
          <t>경남 창원시 성산구 남면로113번길 20</t>
        </is>
      </c>
    </row>
    <row r="998" ht="19.2" customHeight="1" s="1">
      <c r="A998" t="inlineStr">
        <is>
          <t>NICE:IX8033</t>
        </is>
      </c>
      <c r="B998" t="inlineStr">
        <is>
          <t>골프존카운티</t>
        </is>
      </c>
      <c r="C998" t="inlineStr">
        <is>
          <t>서상현</t>
        </is>
      </c>
      <c r="D998" t="inlineStr">
        <is>
          <t>070-4863-5160</t>
        </is>
      </c>
      <c r="E998" t="inlineStr">
        <is>
          <t>070-4324-1611</t>
        </is>
      </c>
      <c r="F998" s="3">
        <f>HYPERLINK("http://www.golfzoncounty.com/", "http://www.golfzoncounty.com/")</f>
        <v/>
      </c>
      <c r="G998" t="inlineStr">
        <is>
          <t>5308701006</t>
        </is>
      </c>
      <c r="H998" t="inlineStr">
        <is>
          <t>1101116615748</t>
        </is>
      </c>
      <c r="I998" t="inlineStr">
        <is>
          <t>대상아님</t>
        </is>
      </c>
      <c r="J998" t="inlineStr">
        <is>
          <t>일반법인</t>
        </is>
      </c>
      <c r="K998" t="inlineStr">
        <is>
          <t>중견기업</t>
        </is>
      </c>
      <c r="L998" t="inlineStr">
        <is>
          <t>외부감사대상</t>
        </is>
      </c>
      <c r="M998" s="6" t="inlineStr">
        <is>
          <t>2018-01-02</t>
        </is>
      </c>
      <c r="N998" t="inlineStr">
        <is>
          <t>KRI:10R9112100</t>
        </is>
      </c>
      <c r="O998" t="inlineStr">
        <is>
          <t>골프장 운영업</t>
        </is>
      </c>
      <c r="P998" t="inlineStr">
        <is>
          <t>골프장 운영/컴퓨터,주변장치,소프트웨어,골프용품 도소매,수출입,전자상거래/일반여행,골프 컨설팅,광고대행/부동산 개발</t>
        </is>
      </c>
      <c r="Q998" t="inlineStr">
        <is>
          <t>대전 유성구 도룡동 4-20번지 6층</t>
        </is>
      </c>
      <c r="R998" t="inlineStr">
        <is>
          <t>대전 유성구 엑스포로97번길 40, 6층</t>
        </is>
      </c>
    </row>
    <row r="999">
      <c r="A999" t="inlineStr">
        <is>
          <t>NICE:IY4648</t>
        </is>
      </c>
      <c r="B999" t="inlineStr">
        <is>
          <t>유토개발2차</t>
        </is>
      </c>
      <c r="C999" t="inlineStr">
        <is>
          <t>김성훈</t>
        </is>
      </c>
      <c r="D999" t="inlineStr">
        <is>
          <t>042-824-1847</t>
        </is>
      </c>
      <c r="E999" t="inlineStr">
        <is>
          <t>042-824-1849</t>
        </is>
      </c>
      <c r="G999" t="inlineStr">
        <is>
          <t>7108601089</t>
        </is>
      </c>
      <c r="H999" t="inlineStr">
        <is>
          <t>1601110474918</t>
        </is>
      </c>
      <c r="I999" t="inlineStr">
        <is>
          <t>대상아님</t>
        </is>
      </c>
      <c r="J999" t="inlineStr">
        <is>
          <t>일반법인</t>
        </is>
      </c>
      <c r="K999" t="inlineStr">
        <is>
          <t>중소기업</t>
        </is>
      </c>
      <c r="L999" t="inlineStr">
        <is>
          <t>외부감사대상</t>
        </is>
      </c>
      <c r="M999" s="6" t="inlineStr">
        <is>
          <t>2018-01-18</t>
        </is>
      </c>
      <c r="N999" t="inlineStr">
        <is>
          <t>KRI:10L6812100</t>
        </is>
      </c>
      <c r="O999" t="inlineStr">
        <is>
          <t>주거용 건물 개발 및 공급업</t>
        </is>
      </c>
      <c r="P999" t="inlineStr">
        <is>
          <t>공동주택,근린생활시설 신축,분양</t>
        </is>
      </c>
      <c r="Q999" t="inlineStr">
        <is>
          <t>대전 유성구 봉명동 611-5번지 가은빌딩 402호</t>
        </is>
      </c>
      <c r="R999" t="inlineStr">
        <is>
          <t>대전 유성구 문화원로 95, 402호 (봉명동,가은빌딩)</t>
        </is>
      </c>
    </row>
    <row r="1000" ht="19.2" customHeight="1" s="1">
      <c r="A1000" t="inlineStr">
        <is>
          <t>NICE:IZ1002</t>
        </is>
      </c>
      <c r="B1000" t="inlineStr">
        <is>
          <t>라카코스메틱스</t>
        </is>
      </c>
      <c r="C1000" t="inlineStr">
        <is>
          <t>이지철</t>
        </is>
      </c>
      <c r="D1000" t="inlineStr">
        <is>
          <t>02-1588-8143</t>
        </is>
      </c>
      <c r="E1000" t="inlineStr">
        <is>
          <t>02-474-2653</t>
        </is>
      </c>
      <c r="F1000" s="3">
        <f>HYPERLINK("http://laka.co.kr", "http://laka.co.kr")</f>
        <v/>
      </c>
      <c r="G1000" t="inlineStr">
        <is>
          <t>7638700999</t>
        </is>
      </c>
      <c r="H1000" t="inlineStr">
        <is>
          <t>1357110126451</t>
        </is>
      </c>
      <c r="I1000" t="inlineStr">
        <is>
          <t>대상아님</t>
        </is>
      </c>
      <c r="J1000" t="inlineStr">
        <is>
          <t>일반법인</t>
        </is>
      </c>
      <c r="K1000" t="inlineStr">
        <is>
          <t>중소기업</t>
        </is>
      </c>
      <c r="L1000" t="inlineStr">
        <is>
          <t>외부감사대상</t>
        </is>
      </c>
      <c r="M1000" s="6" t="inlineStr">
        <is>
          <t>2018-02-02</t>
        </is>
      </c>
      <c r="N1000" t="inlineStr">
        <is>
          <t>KRI:10C2042300</t>
        </is>
      </c>
      <c r="O1000" t="inlineStr">
        <is>
          <t>화장품 제조업</t>
        </is>
      </c>
      <c r="P1000" t="inlineStr">
        <is>
          <t>화장품 제조,도소매/방향제 소매/전자상거래</t>
        </is>
      </c>
      <c r="Q1000" t="inlineStr">
        <is>
          <t>서울 마포구 서교동 373-8번지 유남빌딩 7층</t>
        </is>
      </c>
      <c r="R1000" t="inlineStr">
        <is>
          <t>서울 마포구 양화로 92, 7층 (서교동,유남빌딩)</t>
        </is>
      </c>
    </row>
    <row r="1001" ht="19.2" customHeight="1" s="1">
      <c r="A1001" t="inlineStr">
        <is>
          <t>NICE:IZ1715</t>
        </is>
      </c>
      <c r="B1001" t="inlineStr">
        <is>
          <t>삼일아스콘</t>
        </is>
      </c>
      <c r="C1001" t="inlineStr">
        <is>
          <t>조석민</t>
        </is>
      </c>
      <c r="D1001" t="inlineStr">
        <is>
          <t>031-326-6331</t>
        </is>
      </c>
      <c r="E1001" t="inlineStr">
        <is>
          <t>031-339-8295</t>
        </is>
      </c>
      <c r="F1001" s="3">
        <f>HYPERLINK("http://www.esamil.com", "http://www.esamil.com")</f>
        <v/>
      </c>
      <c r="G1001" t="inlineStr">
        <is>
          <t>1318700926</t>
        </is>
      </c>
      <c r="H1001" t="inlineStr">
        <is>
          <t>1345110347771</t>
        </is>
      </c>
      <c r="I1001" t="inlineStr">
        <is>
          <t>대상아님</t>
        </is>
      </c>
      <c r="J1001" t="inlineStr">
        <is>
          <t>일반법인</t>
        </is>
      </c>
      <c r="K1001" t="inlineStr">
        <is>
          <t>중소기업</t>
        </is>
      </c>
      <c r="L1001" t="inlineStr">
        <is>
          <t>외부감사대상</t>
        </is>
      </c>
      <c r="M1001" s="6" t="inlineStr">
        <is>
          <t>2018-02-01</t>
        </is>
      </c>
      <c r="N1001" t="inlineStr">
        <is>
          <t>KRI:10C2399100</t>
        </is>
      </c>
      <c r="O1001" t="inlineStr">
        <is>
          <t>아스팔트 콘크리트 및 혼합제품 제조업</t>
        </is>
      </c>
      <c r="P1001" t="inlineStr">
        <is>
          <t>아스콘,재생아스콘 제조,도소매</t>
        </is>
      </c>
      <c r="Q1001" t="inlineStr">
        <is>
          <t>경기 용인시 처인구 이동읍 서리 740-2번지</t>
        </is>
      </c>
      <c r="R1001" t="inlineStr">
        <is>
          <t>경기 용인시 처인구 이동읍 백자로 73</t>
        </is>
      </c>
    </row>
    <row r="1002">
      <c r="A1002" t="inlineStr">
        <is>
          <t>NICE:IZ5015</t>
        </is>
      </c>
      <c r="B1002" t="inlineStr">
        <is>
          <t>영산인터네셔널</t>
        </is>
      </c>
      <c r="C1002" t="inlineStr">
        <is>
          <t>이승영</t>
        </is>
      </c>
      <c r="G1002" t="inlineStr">
        <is>
          <t>5348800893</t>
        </is>
      </c>
      <c r="H1002" t="inlineStr">
        <is>
          <t>1101116661444</t>
        </is>
      </c>
      <c r="I1002" t="inlineStr">
        <is>
          <t>대상아님</t>
        </is>
      </c>
      <c r="J1002" t="inlineStr">
        <is>
          <t>일반법인</t>
        </is>
      </c>
      <c r="K1002" t="inlineStr">
        <is>
          <t>중소기업</t>
        </is>
      </c>
      <c r="L1002" t="inlineStr">
        <is>
          <t>외부감사비대상</t>
        </is>
      </c>
      <c r="M1002" s="6" t="inlineStr">
        <is>
          <t>2018-02-14</t>
        </is>
      </c>
      <c r="N1002" t="inlineStr">
        <is>
          <t>KRI:10G4646400</t>
        </is>
      </c>
      <c r="O1002" t="inlineStr">
        <is>
          <t>운동 및 경기용품 도매업</t>
        </is>
      </c>
      <c r="P1002" t="inlineStr">
        <is>
          <t>스포츠용품,스포츠의류,스포츠용품,전자상거래업,체력 단련시설 운영업</t>
        </is>
      </c>
      <c r="Q1002" t="inlineStr">
        <is>
          <t>서울 강서구 가양동 449-21번지 한화비즈메트로2차 203호 , 204호</t>
        </is>
      </c>
      <c r="R1002" t="inlineStr">
        <is>
          <t>서울 강서구 양천로 551-24, 203호, 204호 (가양동,한화비즈메트로2차)</t>
        </is>
      </c>
    </row>
    <row r="1003" ht="19.2" customHeight="1" s="1">
      <c r="A1003" t="inlineStr">
        <is>
          <t>NICE:J00182</t>
        </is>
      </c>
      <c r="B1003" t="inlineStr">
        <is>
          <t>라인플러스</t>
        </is>
      </c>
      <c r="C1003" t="inlineStr">
        <is>
          <t>이은정</t>
        </is>
      </c>
      <c r="D1003" t="inlineStr">
        <is>
          <t>031-1544-9430</t>
        </is>
      </c>
      <c r="E1003" t="inlineStr">
        <is>
          <t>031-784-1000</t>
        </is>
      </c>
      <c r="F1003" s="3">
        <f>HYPERLINK("http://www.linepluscorp.com", "http://www.linepluscorp.com")</f>
        <v/>
      </c>
      <c r="G1003" t="inlineStr">
        <is>
          <t>1448110490</t>
        </is>
      </c>
      <c r="H1003" t="inlineStr">
        <is>
          <t>1311110336030</t>
        </is>
      </c>
      <c r="I1003" t="inlineStr">
        <is>
          <t>대상아님</t>
        </is>
      </c>
      <c r="J1003" t="inlineStr">
        <is>
          <t>일반법인</t>
        </is>
      </c>
      <c r="K1003" t="inlineStr">
        <is>
          <t>대기업</t>
        </is>
      </c>
      <c r="L1003" t="inlineStr">
        <is>
          <t>외부감사대상</t>
        </is>
      </c>
      <c r="M1003" s="6" t="inlineStr">
        <is>
          <t>2013-02-28</t>
        </is>
      </c>
      <c r="N1003" t="inlineStr">
        <is>
          <t>KRI:10J6312000</t>
        </is>
      </c>
      <c r="O1003" t="inlineStr">
        <is>
          <t>포털 및 기타 인터넷 정보매개 서비스업</t>
        </is>
      </c>
      <c r="P1003" t="inlineStr">
        <is>
          <t>모바일메신저,인터넷정보매개 제공</t>
        </is>
      </c>
      <c r="Q1003" t="inlineStr">
        <is>
          <t>경기 성남시 분당구 서현동 263번지 에이케이플라자 분당점 20층</t>
        </is>
      </c>
      <c r="R1003" t="inlineStr">
        <is>
          <t>경기 성남시 분당구 황새울로360번길 42, 20층 (서현동,에이케이플라자 분당점)</t>
        </is>
      </c>
    </row>
    <row r="1004">
      <c r="A1004" t="inlineStr">
        <is>
          <t>NICE:J00321</t>
        </is>
      </c>
      <c r="B1004" t="inlineStr">
        <is>
          <t>에피드게임즈</t>
        </is>
      </c>
      <c r="C1004" t="inlineStr">
        <is>
          <t>한정현</t>
        </is>
      </c>
      <c r="G1004" t="inlineStr">
        <is>
          <t>2208853701</t>
        </is>
      </c>
      <c r="H1004" t="inlineStr">
        <is>
          <t>1101115078509</t>
        </is>
      </c>
      <c r="I1004" t="inlineStr">
        <is>
          <t>대상아님</t>
        </is>
      </c>
      <c r="J1004" t="inlineStr">
        <is>
          <t>일반법인</t>
        </is>
      </c>
      <c r="K1004" t="inlineStr">
        <is>
          <t>중소기업</t>
        </is>
      </c>
      <c r="L1004" t="inlineStr">
        <is>
          <t>외부감사비대상</t>
        </is>
      </c>
      <c r="M1004" s="6" t="inlineStr">
        <is>
          <t>2013-02-28</t>
        </is>
      </c>
      <c r="N1004" t="inlineStr">
        <is>
          <t>KRI:10J5821900</t>
        </is>
      </c>
      <c r="O1004" t="inlineStr">
        <is>
          <t>기타 게임 소프트웨어 개발 및 공급업</t>
        </is>
      </c>
      <c r="P1004" t="inlineStr">
        <is>
          <t>게임소프트웨어개발　및　공급업,전자상거래 소매업,전자상거래 소매 중개업,피시(PC)방 관리 및 자문</t>
        </is>
      </c>
      <c r="Q1004" t="inlineStr">
        <is>
          <t>서울 강남구 논현동 50-1번지 이투데이빌딩 4층</t>
        </is>
      </c>
      <c r="R1004" t="inlineStr">
        <is>
          <t>서울 강남구 강남대로 556, 4층 (논현동,이투데이빌딩)</t>
        </is>
      </c>
    </row>
    <row r="1005" ht="19.2" customHeight="1" s="1">
      <c r="A1005" t="inlineStr">
        <is>
          <t>NICE:J01069</t>
        </is>
      </c>
      <c r="B1005" t="inlineStr">
        <is>
          <t>동아제약</t>
        </is>
      </c>
      <c r="C1005" t="inlineStr">
        <is>
          <t>백상환</t>
        </is>
      </c>
      <c r="D1005" t="inlineStr">
        <is>
          <t>02-920-8112</t>
        </is>
      </c>
      <c r="E1005" t="inlineStr">
        <is>
          <t>02-920-8038</t>
        </is>
      </c>
      <c r="F1005" s="3">
        <f>HYPERLINK("http://www.dapharm.com", "http://www.dapharm.com")</f>
        <v/>
      </c>
      <c r="G1005" t="inlineStr">
        <is>
          <t>2048640118</t>
        </is>
      </c>
      <c r="H1005" t="inlineStr">
        <is>
          <t>1101115079739</t>
        </is>
      </c>
      <c r="I1005" t="inlineStr">
        <is>
          <t>대상아님</t>
        </is>
      </c>
      <c r="J1005" t="inlineStr">
        <is>
          <t>일반법인</t>
        </is>
      </c>
      <c r="K1005" t="inlineStr">
        <is>
          <t>중견기업</t>
        </is>
      </c>
      <c r="L1005" t="inlineStr">
        <is>
          <t>외부감사대상</t>
        </is>
      </c>
      <c r="M1005" s="6" t="inlineStr">
        <is>
          <t>2013-03-04</t>
        </is>
      </c>
      <c r="N1005" t="inlineStr">
        <is>
          <t>KRI:10C2121000</t>
        </is>
      </c>
      <c r="O1005" t="inlineStr">
        <is>
          <t>완제 의약품 제조업</t>
        </is>
      </c>
      <c r="P1005" t="inlineStr">
        <is>
          <t>의약부외품,양약 제조,도소매/전자상거래</t>
        </is>
      </c>
      <c r="Q1005" t="inlineStr">
        <is>
          <t>서울 동대문구 용두동 249-1번지</t>
        </is>
      </c>
      <c r="R1005" t="inlineStr">
        <is>
          <t>서울 동대문구 천호대로 64</t>
        </is>
      </c>
    </row>
    <row r="1006" ht="19.2" customHeight="1" s="1">
      <c r="A1006" t="inlineStr">
        <is>
          <t>NICE:J03561</t>
        </is>
      </c>
      <c r="B1006" t="inlineStr">
        <is>
          <t>다미아니코리아</t>
        </is>
      </c>
      <c r="C1006" t="inlineStr">
        <is>
          <t>실비아마리아그라시다미아니</t>
        </is>
      </c>
      <c r="D1006" t="inlineStr">
        <is>
          <t>02-546-1924</t>
        </is>
      </c>
      <c r="E1006" t="inlineStr">
        <is>
          <t>02-542-1924</t>
        </is>
      </c>
      <c r="F1006" s="3">
        <f>HYPERLINK("http://www.damiani.com", "http://www.damiani.com")</f>
        <v/>
      </c>
      <c r="G1006" t="inlineStr">
        <is>
          <t>1078790880</t>
        </is>
      </c>
      <c r="H1006" t="inlineStr">
        <is>
          <t>1101115088087</t>
        </is>
      </c>
      <c r="I1006" t="inlineStr">
        <is>
          <t>대상아님</t>
        </is>
      </c>
      <c r="J1006" t="inlineStr">
        <is>
          <t>일반법인</t>
        </is>
      </c>
      <c r="K1006" t="inlineStr">
        <is>
          <t>중소기업</t>
        </is>
      </c>
      <c r="L1006" t="inlineStr">
        <is>
          <t>외부감사대상</t>
        </is>
      </c>
      <c r="M1006" s="6" t="inlineStr">
        <is>
          <t>2013-03-13</t>
        </is>
      </c>
      <c r="N1006" t="inlineStr">
        <is>
          <t>KRI:10G4649200</t>
        </is>
      </c>
      <c r="O1006" t="inlineStr">
        <is>
          <t>시계 및 귀금속제품 도매업</t>
        </is>
      </c>
      <c r="P1006" t="inlineStr">
        <is>
          <t>귀금속,액세서리 도소매,무역</t>
        </is>
      </c>
      <c r="Q1006" t="inlineStr">
        <is>
          <t>서울 강남구 청담동 118번지 3층, 4층</t>
        </is>
      </c>
      <c r="R1006" t="inlineStr">
        <is>
          <t>서울 강남구 압구정로 451, 3층, 4층</t>
        </is>
      </c>
    </row>
    <row r="1007">
      <c r="A1007" t="inlineStr">
        <is>
          <t>NICE:J04092</t>
        </is>
      </c>
      <c r="B1007" t="inlineStr">
        <is>
          <t>서도건설</t>
        </is>
      </c>
      <c r="C1007" t="inlineStr">
        <is>
          <t>전기홍</t>
        </is>
      </c>
      <c r="D1007" t="inlineStr">
        <is>
          <t>02-596-8838</t>
        </is>
      </c>
      <c r="E1007" t="inlineStr">
        <is>
          <t>02-596-8846</t>
        </is>
      </c>
      <c r="G1007" t="inlineStr">
        <is>
          <t>6108620281</t>
        </is>
      </c>
      <c r="H1007" t="inlineStr">
        <is>
          <t>2301110204998</t>
        </is>
      </c>
      <c r="I1007" t="inlineStr">
        <is>
          <t>대상아님</t>
        </is>
      </c>
      <c r="J1007" t="inlineStr">
        <is>
          <t>일반법인</t>
        </is>
      </c>
      <c r="K1007" t="inlineStr">
        <is>
          <t>중소기업</t>
        </is>
      </c>
      <c r="L1007" t="inlineStr">
        <is>
          <t>외부감사대상</t>
        </is>
      </c>
      <c r="M1007" s="6" t="inlineStr">
        <is>
          <t>2013-03-15</t>
        </is>
      </c>
      <c r="N1007" t="inlineStr">
        <is>
          <t>KRI:10F4111000</t>
        </is>
      </c>
      <c r="O1007" t="inlineStr">
        <is>
          <t>주거용 건물 건설업</t>
        </is>
      </c>
      <c r="P1007" t="inlineStr">
        <is>
          <t>건축공사,토목공사/목재 문,관련제품,플라스틱 창호 제조/비주거용 건물 임대/부동산개발,건설사업관리</t>
        </is>
      </c>
      <c r="Q1007" t="inlineStr">
        <is>
          <t>서울 성동구 성수동2가 269-63번지 성수에이원센터 6층 607호</t>
        </is>
      </c>
      <c r="R1007" t="inlineStr">
        <is>
          <t>서울 성동구 뚝섬로17가길 48, 6층 607호 (성수동2가,성수에이원센터)</t>
        </is>
      </c>
    </row>
    <row r="1008" ht="19.2" customHeight="1" s="1">
      <c r="A1008" t="inlineStr">
        <is>
          <t>NICE:J08669</t>
        </is>
      </c>
      <c r="B1008" t="inlineStr">
        <is>
          <t>스마트삼육</t>
        </is>
      </c>
      <c r="C1008" t="inlineStr">
        <is>
          <t>강철</t>
        </is>
      </c>
      <c r="D1008" t="inlineStr">
        <is>
          <t>02-521-2310</t>
        </is>
      </c>
      <c r="E1008" t="inlineStr">
        <is>
          <t>02-861-8449</t>
        </is>
      </c>
      <c r="F1008" s="3">
        <f>HYPERLINK("http://www.smart36.co.kr", "http://www.smart36.co.kr")</f>
        <v/>
      </c>
      <c r="G1008" t="inlineStr">
        <is>
          <t>1078792743</t>
        </is>
      </c>
      <c r="H1008" t="inlineStr">
        <is>
          <t>1101115102316</t>
        </is>
      </c>
      <c r="I1008" t="inlineStr">
        <is>
          <t>대상아님</t>
        </is>
      </c>
      <c r="J1008" t="inlineStr">
        <is>
          <t>일반법인</t>
        </is>
      </c>
      <c r="K1008" t="inlineStr">
        <is>
          <t>중소기업</t>
        </is>
      </c>
      <c r="L1008" t="inlineStr">
        <is>
          <t>외부감사대상</t>
        </is>
      </c>
      <c r="M1008" s="6" t="inlineStr">
        <is>
          <t>2013-04-01</t>
        </is>
      </c>
      <c r="N1008" t="inlineStr">
        <is>
          <t>KRI:10G4652100</t>
        </is>
      </c>
      <c r="O1008" t="inlineStr">
        <is>
          <t>가전제품 및 부품 도매업</t>
        </is>
      </c>
      <c r="P1008" t="inlineStr">
        <is>
          <t>전자제품,가정용품,생활용품,잡화 도소매,무역,전자상거래</t>
        </is>
      </c>
      <c r="Q1008" t="inlineStr">
        <is>
          <t>서울 금천구 가산동 60-3번지 대륭포스트타워5차 506호</t>
        </is>
      </c>
      <c r="R1008" t="inlineStr">
        <is>
          <t>서울 금천구 디지털로9길 68, 506호 (가산동,대륭포스트타워5차)</t>
        </is>
      </c>
    </row>
    <row r="1009">
      <c r="A1009" t="inlineStr">
        <is>
          <t>NICE:J09851</t>
        </is>
      </c>
      <c r="B1009" t="inlineStr">
        <is>
          <t>토와한국</t>
        </is>
      </c>
      <c r="C1009" t="inlineStr">
        <is>
          <t>한상윤</t>
        </is>
      </c>
      <c r="D1009" t="inlineStr">
        <is>
          <t>02-784-0256</t>
        </is>
      </c>
      <c r="E1009" t="inlineStr">
        <is>
          <t>02-784-0257</t>
        </is>
      </c>
      <c r="G1009" t="inlineStr">
        <is>
          <t>1078791666</t>
        </is>
      </c>
      <c r="H1009" t="inlineStr">
        <is>
          <t>1101115107655</t>
        </is>
      </c>
      <c r="I1009" t="inlineStr">
        <is>
          <t>대상아님</t>
        </is>
      </c>
      <c r="J1009" t="inlineStr">
        <is>
          <t>일반법인</t>
        </is>
      </c>
      <c r="K1009" t="inlineStr">
        <is>
          <t>중견기업</t>
        </is>
      </c>
      <c r="L1009" t="inlineStr">
        <is>
          <t>외부감사대상</t>
        </is>
      </c>
      <c r="M1009" s="6" t="inlineStr">
        <is>
          <t>2013-04-08</t>
        </is>
      </c>
      <c r="N1009" t="inlineStr">
        <is>
          <t>KRI:10C2929400</t>
        </is>
      </c>
      <c r="O1009" t="inlineStr">
        <is>
          <t>주형 및 금형 제조업</t>
        </is>
      </c>
      <c r="P1009" t="inlineStr">
        <is>
          <t>주형,기계장치 제조/무역대리</t>
        </is>
      </c>
      <c r="Q1009" t="inlineStr">
        <is>
          <t>서울 강남구 논현동 202-9번지 리체힐 신논현오피스텔 에이동 302호,301호</t>
        </is>
      </c>
      <c r="R1009" t="inlineStr">
        <is>
          <t>서울 강남구 봉은사로 123, 에이동 302호,301호 (논현동,리체힐 신논현오피스텔)</t>
        </is>
      </c>
    </row>
    <row r="1010" ht="19.2" customHeight="1" s="1">
      <c r="A1010" t="inlineStr">
        <is>
          <t>NICE:J13695</t>
        </is>
      </c>
      <c r="B1010" t="inlineStr">
        <is>
          <t>비바리퍼블리카</t>
        </is>
      </c>
      <c r="C1010" t="inlineStr">
        <is>
          <t>이승건</t>
        </is>
      </c>
      <c r="D1010" t="inlineStr">
        <is>
          <t>1599-4905</t>
        </is>
      </c>
      <c r="E1010" t="inlineStr">
        <is>
          <t>02-566-7016</t>
        </is>
      </c>
      <c r="F1010" s="3">
        <f>HYPERLINK("http://toss.im", "http://toss.im")</f>
        <v/>
      </c>
      <c r="G1010" t="inlineStr">
        <is>
          <t>1208801280</t>
        </is>
      </c>
      <c r="H1010" t="inlineStr">
        <is>
          <t>1101115119080</t>
        </is>
      </c>
      <c r="I1010" t="inlineStr">
        <is>
          <t>대상아님</t>
        </is>
      </c>
      <c r="J1010" t="inlineStr">
        <is>
          <t>일반법인</t>
        </is>
      </c>
      <c r="K1010" t="inlineStr">
        <is>
          <t>중견기업</t>
        </is>
      </c>
      <c r="L1010" t="inlineStr">
        <is>
          <t>외부감사대상</t>
        </is>
      </c>
      <c r="M1010" s="6" t="inlineStr">
        <is>
          <t>2013-04-23</t>
        </is>
      </c>
      <c r="N1010" t="inlineStr">
        <is>
          <t>KRI:10K6619900</t>
        </is>
      </c>
      <c r="O1010" t="inlineStr">
        <is>
          <t>그 외 기타 금융 지원 서비스업</t>
        </is>
      </c>
      <c r="P1010" t="inlineStr">
        <is>
          <t>간편송금,모바일금융서비스 어플리케이션 개발</t>
        </is>
      </c>
      <c r="Q1010" t="inlineStr">
        <is>
          <t>서울 강남구 역삼동 736-1번지 아크플레이스 4층 , 10층, 11층, 12층, 13층, 22층, 23층</t>
        </is>
      </c>
      <c r="R1010" t="inlineStr">
        <is>
          <t>서울 강남구 테헤란로 142, 4층, 10층, 11층, 12층, 13층, 22층, 23층 (역삼동,아크플레이스)</t>
        </is>
      </c>
    </row>
    <row r="1011">
      <c r="A1011" t="inlineStr">
        <is>
          <t>NICE:J14439</t>
        </is>
      </c>
      <c r="B1011" t="inlineStr">
        <is>
          <t>케이에이치아이</t>
        </is>
      </c>
      <c r="C1011" t="inlineStr">
        <is>
          <t>김광호</t>
        </is>
      </c>
      <c r="D1011" t="inlineStr">
        <is>
          <t>02-888-8907</t>
        </is>
      </c>
      <c r="E1011" t="inlineStr">
        <is>
          <t>02-831-1176</t>
        </is>
      </c>
      <c r="G1011" t="inlineStr">
        <is>
          <t>1078793081</t>
        </is>
      </c>
      <c r="H1011" t="inlineStr">
        <is>
          <t>1101115121811</t>
        </is>
      </c>
      <c r="I1011" t="inlineStr">
        <is>
          <t>대상아님</t>
        </is>
      </c>
      <c r="J1011" t="inlineStr">
        <is>
          <t>일반법인</t>
        </is>
      </c>
      <c r="K1011" t="inlineStr">
        <is>
          <t>중소기업</t>
        </is>
      </c>
      <c r="L1011" t="inlineStr">
        <is>
          <t>외부감사대상</t>
        </is>
      </c>
      <c r="M1011" s="6" t="inlineStr">
        <is>
          <t>2013-04-25</t>
        </is>
      </c>
      <c r="N1011" t="inlineStr">
        <is>
          <t>KRI:10G4610900</t>
        </is>
      </c>
      <c r="O1011" t="inlineStr">
        <is>
          <t>상품 종합 중개업</t>
        </is>
      </c>
      <c r="P1011" t="inlineStr">
        <is>
          <t>상품 중개,대리</t>
        </is>
      </c>
      <c r="Q1011" t="inlineStr">
        <is>
          <t>서울 마포구 공덕동 254-8번지 18층</t>
        </is>
      </c>
      <c r="R1011" t="inlineStr">
        <is>
          <t>서울 마포구 마포대로 130, 18층</t>
        </is>
      </c>
    </row>
    <row r="1012" ht="19.2" customHeight="1" s="1">
      <c r="A1012" t="inlineStr">
        <is>
          <t>NICE:J14591</t>
        </is>
      </c>
      <c r="B1012" t="inlineStr">
        <is>
          <t>농업협동조합중앙회</t>
        </is>
      </c>
      <c r="C1012" t="inlineStr">
        <is>
          <t>강호동</t>
        </is>
      </c>
      <c r="D1012" t="inlineStr">
        <is>
          <t>02-2080-5114</t>
        </is>
      </c>
      <c r="E1012" t="inlineStr">
        <is>
          <t>02-335-6686</t>
        </is>
      </c>
      <c r="F1012" s="3">
        <f>HYPERLINK("http://www.nonghyup.com", "http://www.nonghyup.com")</f>
        <v/>
      </c>
      <c r="G1012" t="inlineStr">
        <is>
          <t>1048207072</t>
        </is>
      </c>
      <c r="H1012" t="inlineStr">
        <is>
          <t>1101360027690</t>
        </is>
      </c>
      <c r="I1012" t="inlineStr">
        <is>
          <t>대상아님</t>
        </is>
      </c>
      <c r="J1012" t="inlineStr">
        <is>
          <t>비영리법인</t>
        </is>
      </c>
      <c r="K1012" t="inlineStr">
        <is>
          <t>대상아님</t>
        </is>
      </c>
      <c r="L1012" t="inlineStr">
        <is>
          <t>외부감사비대상</t>
        </is>
      </c>
      <c r="M1012" s="6" t="inlineStr">
        <is>
          <t>2000-07-01</t>
        </is>
      </c>
      <c r="N1012" t="inlineStr">
        <is>
          <t>KRI:10K6413100</t>
        </is>
      </c>
      <c r="O1012" t="inlineStr">
        <is>
          <t>신용조합</t>
        </is>
      </c>
      <c r="P1012" t="inlineStr">
        <is>
          <t>협동조합(금융)/김치 제조/과실,채소,축산 도소매/공제보험/부동산 임대</t>
        </is>
      </c>
      <c r="Q1012" t="inlineStr">
        <is>
          <t>서울 중구 충정로1가 75-1번지</t>
        </is>
      </c>
      <c r="R1012" t="inlineStr">
        <is>
          <t>서울 중구 새문안로 16</t>
        </is>
      </c>
    </row>
    <row r="1013">
      <c r="A1013" t="inlineStr">
        <is>
          <t>NICE:J24262</t>
        </is>
      </c>
      <c r="B1013" t="inlineStr">
        <is>
          <t>일신이엔씨</t>
        </is>
      </c>
      <c r="C1013" t="inlineStr">
        <is>
          <t>왕상준/이영기</t>
        </is>
      </c>
      <c r="D1013" t="inlineStr">
        <is>
          <t>032-420-0249</t>
        </is>
      </c>
      <c r="E1013" t="inlineStr">
        <is>
          <t>032-420-0251</t>
        </is>
      </c>
      <c r="G1013" t="inlineStr">
        <is>
          <t>1218626295</t>
        </is>
      </c>
      <c r="H1013" t="inlineStr">
        <is>
          <t>1201110662529</t>
        </is>
      </c>
      <c r="I1013" t="inlineStr">
        <is>
          <t>대상아님</t>
        </is>
      </c>
      <c r="J1013" t="inlineStr">
        <is>
          <t>일반법인</t>
        </is>
      </c>
      <c r="K1013" t="inlineStr">
        <is>
          <t>중소기업</t>
        </is>
      </c>
      <c r="L1013" t="inlineStr">
        <is>
          <t>외부감사대상</t>
        </is>
      </c>
      <c r="M1013" s="6" t="inlineStr">
        <is>
          <t>2013-06-05</t>
        </is>
      </c>
      <c r="N1013" t="inlineStr">
        <is>
          <t>KRI:10C1910200</t>
        </is>
      </c>
      <c r="O1013" t="inlineStr">
        <is>
          <t>연탄 및 기타 석탄 가공품 제조업</t>
        </is>
      </c>
      <c r="P1013" t="inlineStr">
        <is>
          <t>무연탄,가탄제,성형탄 제조,도매</t>
        </is>
      </c>
      <c r="Q1013" t="inlineStr">
        <is>
          <t>인천 미추홀구 주안동 989-1번지 르네상스타워 703호</t>
        </is>
      </c>
      <c r="R1013" t="inlineStr">
        <is>
          <t>인천 미추홀구 경원대로 869, 703호 (주안동,르네상스타워)</t>
        </is>
      </c>
    </row>
    <row r="1014" ht="19.2" customHeight="1" s="1">
      <c r="A1014" t="inlineStr">
        <is>
          <t>NICE:J27375</t>
        </is>
      </c>
      <c r="B1014" t="inlineStr">
        <is>
          <t>에스제이코리아산업</t>
        </is>
      </c>
      <c r="C1014" t="inlineStr">
        <is>
          <t>박현철</t>
        </is>
      </c>
      <c r="D1014" t="inlineStr">
        <is>
          <t>070-4187-2919</t>
        </is>
      </c>
      <c r="E1014" t="inlineStr">
        <is>
          <t>043-724-2919</t>
        </is>
      </c>
      <c r="F1014" s="3">
        <f>HYPERLINK("http://www.sjkorea07.com", "http://www.sjkorea07.com")</f>
        <v/>
      </c>
      <c r="G1014" t="inlineStr">
        <is>
          <t>1208799303</t>
        </is>
      </c>
      <c r="H1014" t="inlineStr">
        <is>
          <t>1101115154292</t>
        </is>
      </c>
      <c r="I1014" t="inlineStr">
        <is>
          <t>대상아님</t>
        </is>
      </c>
      <c r="J1014" t="inlineStr">
        <is>
          <t>일반법인</t>
        </is>
      </c>
      <c r="K1014" t="inlineStr">
        <is>
          <t>중소기업</t>
        </is>
      </c>
      <c r="L1014" t="inlineStr">
        <is>
          <t>외부감사대상</t>
        </is>
      </c>
      <c r="M1014" s="6" t="inlineStr">
        <is>
          <t>2013-06-10</t>
        </is>
      </c>
      <c r="N1014" t="inlineStr">
        <is>
          <t>KRI:10C2929900</t>
        </is>
      </c>
      <c r="O1014" t="inlineStr">
        <is>
          <t>그 외 기타 특수목적용 기계 제조업</t>
        </is>
      </c>
      <c r="P1014" t="inlineStr">
        <is>
          <t>기계(페기물,재활용처리,산업용),가공,재생플라스틱원료,전자부품스크랩 제조/무역/부동산임대/기계서비스</t>
        </is>
      </c>
      <c r="Q1014" t="inlineStr">
        <is>
          <t>충북 충주시 주덕읍 대곡리 67-19번지</t>
        </is>
      </c>
      <c r="R1014" t="inlineStr">
        <is>
          <t>충북 충주시 주덕읍 상전2길 15</t>
        </is>
      </c>
    </row>
    <row r="1015" ht="19.2" customHeight="1" s="1">
      <c r="A1015" t="inlineStr">
        <is>
          <t>NICE:J28231</t>
        </is>
      </c>
      <c r="B1015" t="inlineStr">
        <is>
          <t>시마즈한국진공기기</t>
        </is>
      </c>
      <c r="C1015" t="inlineStr">
        <is>
          <t>쓰나미마사카즈</t>
        </is>
      </c>
      <c r="D1015" t="inlineStr">
        <is>
          <t>031-283-0242</t>
        </is>
      </c>
      <c r="E1015" t="inlineStr">
        <is>
          <t>031-333-8857</t>
        </is>
      </c>
      <c r="F1015" s="3">
        <f>HYPERLINK("http://www.shimadzu.kr", "http://www.shimadzu.kr")</f>
        <v/>
      </c>
      <c r="G1015" t="inlineStr">
        <is>
          <t>1428139360</t>
        </is>
      </c>
      <c r="H1015" t="inlineStr">
        <is>
          <t>1345110175742</t>
        </is>
      </c>
      <c r="I1015" t="inlineStr">
        <is>
          <t>대상아님</t>
        </is>
      </c>
      <c r="J1015" t="inlineStr">
        <is>
          <t>일반법인</t>
        </is>
      </c>
      <c r="K1015" t="inlineStr">
        <is>
          <t>중견기업</t>
        </is>
      </c>
      <c r="L1015" t="inlineStr">
        <is>
          <t>외부감사대상</t>
        </is>
      </c>
      <c r="M1015" s="6" t="inlineStr">
        <is>
          <t>2011-08-11</t>
        </is>
      </c>
      <c r="N1015" t="inlineStr">
        <is>
          <t>KRI:10C2913200</t>
        </is>
      </c>
      <c r="O1015" t="inlineStr">
        <is>
          <t>기체 펌프 및 압축기 제조업</t>
        </is>
      </c>
      <c r="P1015" t="inlineStr">
        <is>
          <t>터보분자펌프,진공기기,유압기기 제조,도소매</t>
        </is>
      </c>
      <c r="Q1015" t="inlineStr">
        <is>
          <t>경기 용인시 처인구 이동읍 덕성리 1277번지</t>
        </is>
      </c>
      <c r="R1015" t="inlineStr">
        <is>
          <t>경기 용인시 처인구 이동읍 덕성산단1로 9</t>
        </is>
      </c>
    </row>
    <row r="1016" ht="19.2" customHeight="1" s="1">
      <c r="A1016" t="inlineStr">
        <is>
          <t>NICE:J29137</t>
        </is>
      </c>
      <c r="B1016" t="inlineStr">
        <is>
          <t>코히런트코리아</t>
        </is>
      </c>
      <c r="C1016" t="inlineStr">
        <is>
          <t>박기락</t>
        </is>
      </c>
      <c r="D1016" t="inlineStr">
        <is>
          <t>02-460-7900</t>
        </is>
      </c>
      <c r="E1016" t="inlineStr">
        <is>
          <t>02-460-7929</t>
        </is>
      </c>
      <c r="F1016" s="3">
        <f>HYPERLINK("https://www.coherent.com/ko", "https://www.coherent.com/ko")</f>
        <v/>
      </c>
      <c r="G1016" t="inlineStr">
        <is>
          <t>2068658079</t>
        </is>
      </c>
      <c r="H1016" t="inlineStr">
        <is>
          <t>1101140104535</t>
        </is>
      </c>
      <c r="I1016" t="inlineStr">
        <is>
          <t>대상아님</t>
        </is>
      </c>
      <c r="J1016" t="inlineStr">
        <is>
          <t>일반법인</t>
        </is>
      </c>
      <c r="K1016" t="inlineStr">
        <is>
          <t>중견기업</t>
        </is>
      </c>
      <c r="L1016" t="inlineStr">
        <is>
          <t>외부감사대상</t>
        </is>
      </c>
      <c r="M1016" s="6" t="inlineStr">
        <is>
          <t>2011-10-04</t>
        </is>
      </c>
      <c r="N1016" t="inlineStr">
        <is>
          <t>KRI:10G4653900</t>
        </is>
      </c>
      <c r="O1016" t="inlineStr">
        <is>
          <t>기타 산업용 기계 및 장비 도매업</t>
        </is>
      </c>
      <c r="P1016" t="inlineStr">
        <is>
          <t>산업용 기계,장비 도매</t>
        </is>
      </c>
      <c r="Q1016" t="inlineStr">
        <is>
          <t>서울 성동구 성수동2가 278-20번지 이글타운 5층</t>
        </is>
      </c>
      <c r="R1016" t="inlineStr">
        <is>
          <t>서울 성동구 광나루로6길 20, 5층 (성수동2가,이글타운)</t>
        </is>
      </c>
    </row>
    <row r="1017" ht="19.2" customHeight="1" s="1">
      <c r="A1017" t="inlineStr">
        <is>
          <t>NICE:J29758</t>
        </is>
      </c>
      <c r="B1017" t="inlineStr">
        <is>
          <t>명지피앤피</t>
        </is>
      </c>
      <c r="C1017" t="inlineStr">
        <is>
          <t>김성태</t>
        </is>
      </c>
      <c r="D1017" t="inlineStr">
        <is>
          <t>031-355-5811</t>
        </is>
      </c>
      <c r="E1017" t="inlineStr">
        <is>
          <t>031-355-5822</t>
        </is>
      </c>
      <c r="F1017" s="3">
        <f>HYPERLINK("http://www.mjpnp.com", "http://www.mjpnp.com")</f>
        <v/>
      </c>
      <c r="G1017" t="inlineStr">
        <is>
          <t>1248722223</t>
        </is>
      </c>
      <c r="H1017" t="inlineStr">
        <is>
          <t>1348110228719</t>
        </is>
      </c>
      <c r="I1017" t="inlineStr">
        <is>
          <t>대상아님</t>
        </is>
      </c>
      <c r="J1017" t="inlineStr">
        <is>
          <t>일반법인</t>
        </is>
      </c>
      <c r="K1017" t="inlineStr">
        <is>
          <t>중소기업</t>
        </is>
      </c>
      <c r="L1017" t="inlineStr">
        <is>
          <t>외부감사대상</t>
        </is>
      </c>
      <c r="M1017" s="6" t="inlineStr">
        <is>
          <t>2011-10-27</t>
        </is>
      </c>
      <c r="N1017" t="inlineStr">
        <is>
          <t>KRI:10C2221200</t>
        </is>
      </c>
      <c r="O1017" t="inlineStr">
        <is>
          <t>플라스틱 필름 제조업</t>
        </is>
      </c>
      <c r="P1017" t="inlineStr">
        <is>
          <t>연포장재 제조</t>
        </is>
      </c>
      <c r="Q1017" t="inlineStr">
        <is>
          <t>경기 화성시 만세구 팔탄면 서근리 1-88번지</t>
        </is>
      </c>
      <c r="R1017" t="inlineStr">
        <is>
          <t>경기 화성시 만세구 팔탄면 석포로 68-13</t>
        </is>
      </c>
    </row>
    <row r="1018" ht="19.2" customHeight="1" s="1">
      <c r="A1018" t="inlineStr">
        <is>
          <t>NICE:J32696</t>
        </is>
      </c>
      <c r="B1018" t="inlineStr">
        <is>
          <t>시큐레이어</t>
        </is>
      </c>
      <c r="C1018" t="inlineStr">
        <is>
          <t>전주호</t>
        </is>
      </c>
      <c r="D1018" t="inlineStr">
        <is>
          <t>070-4603-7320</t>
        </is>
      </c>
      <c r="E1018" t="inlineStr">
        <is>
          <t>02-499-7605</t>
        </is>
      </c>
      <c r="F1018" s="3">
        <f>HYPERLINK("http://www.seculayer.co.kr", "http://www.seculayer.co.kr")</f>
        <v/>
      </c>
      <c r="G1018" t="inlineStr">
        <is>
          <t>2148890415</t>
        </is>
      </c>
      <c r="H1018" t="inlineStr">
        <is>
          <t>1101114785915</t>
        </is>
      </c>
      <c r="I1018" t="inlineStr">
        <is>
          <t>대상아님</t>
        </is>
      </c>
      <c r="J1018" t="inlineStr">
        <is>
          <t>일반법인</t>
        </is>
      </c>
      <c r="K1018" t="inlineStr">
        <is>
          <t>중소기업</t>
        </is>
      </c>
      <c r="L1018" t="inlineStr">
        <is>
          <t>외부감사대상</t>
        </is>
      </c>
      <c r="M1018" s="6" t="inlineStr">
        <is>
          <t>2012-02-01</t>
        </is>
      </c>
      <c r="N1018" t="inlineStr">
        <is>
          <t>KRI:10J5822200</t>
        </is>
      </c>
      <c r="O1018" t="inlineStr">
        <is>
          <t>응용 소프트웨어 개발 및 공급업</t>
        </is>
      </c>
      <c r="P1018" t="inlineStr">
        <is>
          <t>소프트웨어 개발,공급/컴퓨터시스템 통합자문,구축,연구 개발/정보통신공사</t>
        </is>
      </c>
      <c r="Q1018" t="inlineStr">
        <is>
          <t>서울 성동구 성수동2가 308-4번지 서울숲코오롱디지털타워 1407호</t>
        </is>
      </c>
      <c r="R1018" t="inlineStr">
        <is>
          <t>서울 성동구 성수일로4길 25, 1407호 (성수동2가,서울숲코오롱디지털타워)</t>
        </is>
      </c>
    </row>
    <row r="1019" ht="19.2" customHeight="1" s="1">
      <c r="A1019" t="inlineStr">
        <is>
          <t>NICE:J33601</t>
        </is>
      </c>
      <c r="B1019" t="inlineStr">
        <is>
          <t>비이에프</t>
        </is>
      </c>
      <c r="C1019" t="inlineStr">
        <is>
          <t>이재승</t>
        </is>
      </c>
      <c r="D1019" t="inlineStr">
        <is>
          <t>041-546-0360</t>
        </is>
      </c>
      <c r="E1019" t="inlineStr">
        <is>
          <t>041-546-0370</t>
        </is>
      </c>
      <c r="F1019" s="3">
        <f>HYPERLINK("http://www.befasan.co.kr/", "http://www.befasan.co.kr/")</f>
        <v/>
      </c>
      <c r="G1019" t="inlineStr">
        <is>
          <t>4038166821</t>
        </is>
      </c>
      <c r="H1019" t="inlineStr">
        <is>
          <t>2149110037210</t>
        </is>
      </c>
      <c r="I1019" t="inlineStr">
        <is>
          <t>대상아님</t>
        </is>
      </c>
      <c r="J1019" t="inlineStr">
        <is>
          <t>일반법인</t>
        </is>
      </c>
      <c r="K1019" t="inlineStr">
        <is>
          <t>중소기업</t>
        </is>
      </c>
      <c r="L1019" t="inlineStr">
        <is>
          <t>외부감사대상</t>
        </is>
      </c>
      <c r="M1019" s="6" t="inlineStr">
        <is>
          <t>2012-02-22</t>
        </is>
      </c>
      <c r="N1019" t="inlineStr">
        <is>
          <t>KRI:10E3702200</t>
        </is>
      </c>
      <c r="O1019" t="inlineStr">
        <is>
          <t>축산 분뇨 처리업</t>
        </is>
      </c>
      <c r="P1019" t="inlineStr">
        <is>
          <t>축산분뇨처리/중축,화훼작물 재배/액비 생산,살포/(바이오,가축분뇨)에너지화사업</t>
        </is>
      </c>
      <c r="Q1019" t="inlineStr">
        <is>
          <t>충남 아산시 신창면 수장리 48-132번지</t>
        </is>
      </c>
      <c r="R1019" t="inlineStr">
        <is>
          <t>충남 아산시 신창면 환경공원로 190-26</t>
        </is>
      </c>
    </row>
    <row r="1020" ht="19.2" customHeight="1" s="1">
      <c r="A1020" t="inlineStr">
        <is>
          <t>NICE:J45852</t>
        </is>
      </c>
      <c r="B1020" t="inlineStr">
        <is>
          <t>디스코하이테크코리아</t>
        </is>
      </c>
      <c r="C1020" t="inlineStr">
        <is>
          <t>와타나베하야토/요시나가노보루</t>
        </is>
      </c>
      <c r="D1020" t="inlineStr">
        <is>
          <t>031-8038-8240</t>
        </is>
      </c>
      <c r="E1020" t="inlineStr">
        <is>
          <t>031-8038-8241</t>
        </is>
      </c>
      <c r="F1020" s="3">
        <f>HYPERLINK("http://www.disco.co.jp", "http://www.disco.co.jp")</f>
        <v/>
      </c>
      <c r="G1020" t="inlineStr">
        <is>
          <t>2648101505</t>
        </is>
      </c>
      <c r="H1020" t="inlineStr">
        <is>
          <t>1101114930312</t>
        </is>
      </c>
      <c r="I1020" t="inlineStr">
        <is>
          <t>대상아님</t>
        </is>
      </c>
      <c r="J1020" t="inlineStr">
        <is>
          <t>일반법인</t>
        </is>
      </c>
      <c r="K1020" t="inlineStr">
        <is>
          <t>중견기업</t>
        </is>
      </c>
      <c r="L1020" t="inlineStr">
        <is>
          <t>외부감사대상</t>
        </is>
      </c>
      <c r="M1020" s="6" t="inlineStr">
        <is>
          <t>2012-08-01</t>
        </is>
      </c>
      <c r="N1020" t="inlineStr">
        <is>
          <t>KRI:10G4659500</t>
        </is>
      </c>
      <c r="O1020" t="inlineStr">
        <is>
          <t>전기용 기계ㆍ장비 및 관련 기자재 도매업</t>
        </is>
      </c>
      <c r="P1020" t="inlineStr">
        <is>
          <t>반도체,전자부품,제조장치 도매</t>
        </is>
      </c>
      <c r="Q1020" t="inlineStr">
        <is>
          <t>경기 성남시 분당구 삼평동 612-2번지</t>
        </is>
      </c>
      <c r="R1020" t="inlineStr">
        <is>
          <t>경기 성남시 분당구 판교로255번길 28</t>
        </is>
      </c>
    </row>
    <row r="1021" ht="19.2" customHeight="1" s="1">
      <c r="A1021" t="inlineStr">
        <is>
          <t>NICE:J47936</t>
        </is>
      </c>
      <c r="B1021" t="inlineStr">
        <is>
          <t>케이디에스디앤티</t>
        </is>
      </c>
      <c r="C1021" t="inlineStr">
        <is>
          <t>김대중</t>
        </is>
      </c>
      <c r="D1021" t="inlineStr">
        <is>
          <t>02-2282-7100</t>
        </is>
      </c>
      <c r="E1021" t="inlineStr">
        <is>
          <t>02-2231-0614</t>
        </is>
      </c>
      <c r="F1021" s="3">
        <f>HYPERLINK("http://www.kdsdnt.com", "http://www.kdsdnt.com")</f>
        <v/>
      </c>
      <c r="G1021" t="inlineStr">
        <is>
          <t>2018630192</t>
        </is>
      </c>
      <c r="H1021" t="inlineStr">
        <is>
          <t>1101115004695</t>
        </is>
      </c>
      <c r="I1021" t="inlineStr">
        <is>
          <t>대상아님</t>
        </is>
      </c>
      <c r="J1021" t="inlineStr">
        <is>
          <t>일반법인</t>
        </is>
      </c>
      <c r="K1021" t="inlineStr">
        <is>
          <t>중소기업</t>
        </is>
      </c>
      <c r="L1021" t="inlineStr">
        <is>
          <t>외부감사대상</t>
        </is>
      </c>
      <c r="M1021" s="6" t="inlineStr">
        <is>
          <t>2012-11-19</t>
        </is>
      </c>
      <c r="N1021" t="inlineStr">
        <is>
          <t>KRI:10G4643300</t>
        </is>
      </c>
      <c r="O1021" t="inlineStr">
        <is>
          <t>생활용 유리ㆍ요업ㆍ목재ㆍ금속 제품 및 날붙이 도매업</t>
        </is>
      </c>
      <c r="P1021" t="inlineStr">
        <is>
          <t>주방용품,날붙이 도소매</t>
        </is>
      </c>
      <c r="Q1021" t="inlineStr">
        <is>
          <t>서울 중구 신당동 141-3번지</t>
        </is>
      </c>
      <c r="R1021" t="inlineStr">
        <is>
          <t>서울 중구 다산로44길 60</t>
        </is>
      </c>
    </row>
    <row r="1022">
      <c r="A1022" t="inlineStr">
        <is>
          <t>NICE:J58415</t>
        </is>
      </c>
      <c r="B1022" t="inlineStr">
        <is>
          <t>승덕수산영어조합법인</t>
        </is>
      </c>
      <c r="C1022" t="inlineStr">
        <is>
          <t>김종배</t>
        </is>
      </c>
      <c r="D1022" t="inlineStr">
        <is>
          <t>055-552-4449</t>
        </is>
      </c>
      <c r="G1022" t="inlineStr">
        <is>
          <t>6098609078</t>
        </is>
      </c>
      <c r="H1022" t="inlineStr">
        <is>
          <t>1941710001351</t>
        </is>
      </c>
      <c r="I1022" t="inlineStr">
        <is>
          <t>대상아님</t>
        </is>
      </c>
      <c r="J1022" t="inlineStr">
        <is>
          <t>일반법인</t>
        </is>
      </c>
      <c r="K1022" t="inlineStr">
        <is>
          <t>중소기업</t>
        </is>
      </c>
      <c r="L1022" t="inlineStr">
        <is>
          <t>외부감사비대상</t>
        </is>
      </c>
      <c r="M1022" s="6" t="inlineStr">
        <is>
          <t>2012-10-30</t>
        </is>
      </c>
      <c r="N1022" t="inlineStr">
        <is>
          <t>KRI:10C1022000</t>
        </is>
      </c>
      <c r="O1022" t="inlineStr">
        <is>
          <t>수산식물 가공 및 저장 처리업</t>
        </is>
      </c>
      <c r="P1022" t="inlineStr">
        <is>
          <t>해조류 가공 및 저장처리</t>
        </is>
      </c>
      <c r="Q1022" t="inlineStr">
        <is>
          <t>경남 창원시 진해구 청안동 443-1번지</t>
        </is>
      </c>
      <c r="R1022" t="inlineStr">
        <is>
          <t>경남 창원시 진해구 청안로170번길 31-36</t>
        </is>
      </c>
    </row>
    <row r="1023" ht="19.2" customHeight="1" s="1">
      <c r="A1023" t="inlineStr">
        <is>
          <t>NICE:J77472</t>
        </is>
      </c>
      <c r="B1023" t="inlineStr">
        <is>
          <t>송도해상케이블카</t>
        </is>
      </c>
      <c r="C1023" t="inlineStr">
        <is>
          <t>전문환/최효섭</t>
        </is>
      </c>
      <c r="D1023" t="inlineStr">
        <is>
          <t>051-247-9900</t>
        </is>
      </c>
      <c r="E1023" t="inlineStr">
        <is>
          <t>051-851-8667</t>
        </is>
      </c>
      <c r="F1023" s="3">
        <f>HYPERLINK("http://www.busanaircruise.co.kr", "http://www.busanaircruise.co.kr")</f>
        <v/>
      </c>
      <c r="G1023" t="inlineStr">
        <is>
          <t>6178609671</t>
        </is>
      </c>
      <c r="H1023" t="inlineStr">
        <is>
          <t>1801110868448</t>
        </is>
      </c>
      <c r="I1023" t="inlineStr">
        <is>
          <t>대상아님</t>
        </is>
      </c>
      <c r="J1023" t="inlineStr">
        <is>
          <t>일반법인</t>
        </is>
      </c>
      <c r="K1023" t="inlineStr">
        <is>
          <t>중소기업</t>
        </is>
      </c>
      <c r="L1023" t="inlineStr">
        <is>
          <t>외부감사대상</t>
        </is>
      </c>
      <c r="M1023" s="6" t="inlineStr">
        <is>
          <t>2013-07-08</t>
        </is>
      </c>
      <c r="N1023" t="inlineStr">
        <is>
          <t>KRI:10H4921900</t>
        </is>
      </c>
      <c r="O1023" t="inlineStr">
        <is>
          <t>기타 도시 정기 육상 여객 운송업</t>
        </is>
      </c>
      <c r="P1023" t="inlineStr">
        <is>
          <t>케이블카 운영,관리/주차장/부동산 임대</t>
        </is>
      </c>
      <c r="Q1023" t="inlineStr">
        <is>
          <t>부산 서구 암남동 765번지 송도해상케이블카하부정류장 3층</t>
        </is>
      </c>
      <c r="R1023" t="inlineStr">
        <is>
          <t>부산 서구 송도해변로 171, 3층 (암남동,송도해상케이블카하부정류장)</t>
        </is>
      </c>
    </row>
    <row r="1024" ht="19.2" customHeight="1" s="1">
      <c r="A1024" t="inlineStr">
        <is>
          <t>NICE:J89011</t>
        </is>
      </c>
      <c r="B1024" t="inlineStr">
        <is>
          <t>설빙</t>
        </is>
      </c>
      <c r="C1024" t="inlineStr">
        <is>
          <t>김의열</t>
        </is>
      </c>
      <c r="D1024" t="inlineStr">
        <is>
          <t>02-3401-7900</t>
        </is>
      </c>
      <c r="E1024" t="inlineStr">
        <is>
          <t>02-447-8755</t>
        </is>
      </c>
      <c r="F1024" s="3">
        <f>HYPERLINK("http://www.sulbing.com", "http://www.sulbing.com")</f>
        <v/>
      </c>
      <c r="G1024" t="inlineStr">
        <is>
          <t>6028162460</t>
        </is>
      </c>
      <c r="H1024" t="inlineStr">
        <is>
          <t>1801110874875</t>
        </is>
      </c>
      <c r="I1024" t="inlineStr">
        <is>
          <t>대상아님</t>
        </is>
      </c>
      <c r="J1024" t="inlineStr">
        <is>
          <t>일반법인</t>
        </is>
      </c>
      <c r="K1024" t="inlineStr">
        <is>
          <t>중소기업</t>
        </is>
      </c>
      <c r="L1024" t="inlineStr">
        <is>
          <t>외부감사대상</t>
        </is>
      </c>
      <c r="M1024" s="6" t="inlineStr">
        <is>
          <t>2013-08-21</t>
        </is>
      </c>
      <c r="N1024" t="inlineStr">
        <is>
          <t>KRI:10M7153100</t>
        </is>
      </c>
      <c r="O1024" t="inlineStr">
        <is>
          <t>경영 컨설팅업</t>
        </is>
      </c>
      <c r="P1024" t="inlineStr">
        <is>
          <t>프랜차이즈,경영컨설팅/인테리어/식자재,가공식품,식품기계장비,통신 도소매</t>
        </is>
      </c>
      <c r="Q1024" t="inlineStr">
        <is>
          <t>서울 중구 남대문로5가 120번지 단암빌딩 5층</t>
        </is>
      </c>
      <c r="R1024" t="inlineStr">
        <is>
          <t>서울 중구 소월로 10, 5층 (남대문로5가,단암빌딩)</t>
        </is>
      </c>
    </row>
    <row r="1025" ht="19.2" customHeight="1" s="1">
      <c r="A1025" t="inlineStr">
        <is>
          <t>NICE:J89984</t>
        </is>
      </c>
      <c r="B1025" t="inlineStr">
        <is>
          <t>네오비젼</t>
        </is>
      </c>
      <c r="C1025" t="inlineStr">
        <is>
          <t>유정식</t>
        </is>
      </c>
      <c r="D1025" t="inlineStr">
        <is>
          <t>02-2637-8658</t>
        </is>
      </c>
      <c r="E1025" t="inlineStr">
        <is>
          <t>02-2637-8659</t>
        </is>
      </c>
      <c r="F1025" s="3">
        <f>HYPERLINK("http://www.n-vision.co.kr", "http://www.n-vision.co.kr")</f>
        <v/>
      </c>
      <c r="G1025" t="inlineStr">
        <is>
          <t>1408177811</t>
        </is>
      </c>
      <c r="H1025" t="inlineStr">
        <is>
          <t>1355110255478</t>
        </is>
      </c>
      <c r="I1025" t="inlineStr">
        <is>
          <t>대상아님</t>
        </is>
      </c>
      <c r="J1025" t="inlineStr">
        <is>
          <t>일반법인</t>
        </is>
      </c>
      <c r="K1025" t="inlineStr">
        <is>
          <t>중소기업</t>
        </is>
      </c>
      <c r="L1025" t="inlineStr">
        <is>
          <t>외부감사대상</t>
        </is>
      </c>
      <c r="M1025" s="6" t="inlineStr">
        <is>
          <t>2013-08-23</t>
        </is>
      </c>
      <c r="N1025" t="inlineStr">
        <is>
          <t>KRI:10J5822200</t>
        </is>
      </c>
      <c r="O1025" t="inlineStr">
        <is>
          <t>응용 소프트웨어 개발 및 공급업</t>
        </is>
      </c>
      <c r="P1025" t="inlineStr">
        <is>
          <t>소프트웨어 개발,시스템 통합(통합SI)/정보통신공사/영상정보디스플레이기기,통신장비,통신자재 도소매</t>
        </is>
      </c>
      <c r="Q1025" t="inlineStr">
        <is>
          <t>서울 영등포구 양평동3가 5-4번지 에이스하이테크시티3차 501호,502호,503호</t>
        </is>
      </c>
      <c r="R1025" t="inlineStr">
        <is>
          <t>서울 영등포구 선유로 130, 501호,502호,503호 (양평동3가,에이스하이테크시티3차)</t>
        </is>
      </c>
    </row>
    <row r="1026">
      <c r="A1026" t="inlineStr">
        <is>
          <t>NICE:J91131</t>
        </is>
      </c>
      <c r="B1026" t="inlineStr">
        <is>
          <t>경이수산영어조합법인</t>
        </is>
      </c>
      <c r="C1026" t="inlineStr">
        <is>
          <t>김인희</t>
        </is>
      </c>
      <c r="D1026" t="inlineStr">
        <is>
          <t>055-547-8627</t>
        </is>
      </c>
      <c r="E1026" t="inlineStr">
        <is>
          <t>055-552-6663</t>
        </is>
      </c>
      <c r="G1026" t="inlineStr">
        <is>
          <t>6098615100</t>
        </is>
      </c>
      <c r="H1026" t="inlineStr">
        <is>
          <t>1941710001369</t>
        </is>
      </c>
      <c r="I1026" t="inlineStr">
        <is>
          <t>대상아님</t>
        </is>
      </c>
      <c r="J1026" t="inlineStr">
        <is>
          <t>일반법인</t>
        </is>
      </c>
      <c r="K1026" t="inlineStr">
        <is>
          <t>중소기업</t>
        </is>
      </c>
      <c r="L1026" t="inlineStr">
        <is>
          <t>외부감사비대상</t>
        </is>
      </c>
      <c r="M1026" s="6" t="inlineStr">
        <is>
          <t>2013-08-30</t>
        </is>
      </c>
      <c r="N1026" t="inlineStr">
        <is>
          <t>KRI:10C1022000</t>
        </is>
      </c>
      <c r="O1026" t="inlineStr">
        <is>
          <t>수산식물 가공 및 저장 처리업</t>
        </is>
      </c>
      <c r="P1026" t="inlineStr">
        <is>
          <t>해태가공</t>
        </is>
      </c>
      <c r="Q1026" t="inlineStr">
        <is>
          <t>경남 창원시 진해구 두동 1199-5번지</t>
        </is>
      </c>
      <c r="R1026" t="inlineStr">
        <is>
          <t>경남 창원시 진해구 청안로 47</t>
        </is>
      </c>
    </row>
    <row r="1027" ht="19.2" customHeight="1" s="1">
      <c r="A1027" t="inlineStr">
        <is>
          <t>NICE:J93642</t>
        </is>
      </c>
      <c r="B1027" t="inlineStr">
        <is>
          <t>씨피에프엘씨리테일</t>
        </is>
      </c>
      <c r="C1027" t="inlineStr">
        <is>
          <t>김남일</t>
        </is>
      </c>
      <c r="D1027" t="inlineStr">
        <is>
          <t>070-4248-4194</t>
        </is>
      </c>
      <c r="E1027" t="inlineStr">
        <is>
          <t>02-2233-4194</t>
        </is>
      </c>
      <c r="F1027" s="3">
        <f>HYPERLINK("http://www.pigment.co.kr", "http://www.pigment.co.kr")</f>
        <v/>
      </c>
      <c r="G1027" t="inlineStr">
        <is>
          <t>2098159688</t>
        </is>
      </c>
      <c r="H1027" t="inlineStr">
        <is>
          <t>1101115222809</t>
        </is>
      </c>
      <c r="I1027" t="inlineStr">
        <is>
          <t>대상아님</t>
        </is>
      </c>
      <c r="J1027" t="inlineStr">
        <is>
          <t>일반법인</t>
        </is>
      </c>
      <c r="K1027" t="inlineStr">
        <is>
          <t>중소기업</t>
        </is>
      </c>
      <c r="L1027" t="inlineStr">
        <is>
          <t>외부감사대상</t>
        </is>
      </c>
      <c r="M1027" s="6" t="inlineStr">
        <is>
          <t>2013-09-06</t>
        </is>
      </c>
      <c r="N1027" t="inlineStr">
        <is>
          <t>KRI:10C1419100</t>
        </is>
      </c>
      <c r="O1027" t="inlineStr">
        <is>
          <t>셔츠 및 블라우스 제조업</t>
        </is>
      </c>
      <c r="P1027" t="inlineStr">
        <is>
          <t>의류,잡화 제조,도소매/실내인테리어공사/화장품 도소매,무역,전자상거래,통신 판매,프랜차이즈</t>
        </is>
      </c>
      <c r="Q1027" t="inlineStr">
        <is>
          <t>경기 용인시 처인구 삼가동 208-13번지 3층</t>
        </is>
      </c>
      <c r="R1027" t="inlineStr">
        <is>
          <t>경기 용인시 처인구 중부대로 1087, 3층</t>
        </is>
      </c>
    </row>
    <row r="1028">
      <c r="A1028" t="inlineStr">
        <is>
          <t>NICE:J93939</t>
        </is>
      </c>
      <c r="B1028" t="inlineStr">
        <is>
          <t>동화시계</t>
        </is>
      </c>
      <c r="C1028" t="inlineStr">
        <is>
          <t>박동옥</t>
        </is>
      </c>
      <c r="D1028" t="inlineStr">
        <is>
          <t>042-720-6116</t>
        </is>
      </c>
      <c r="E1028" t="inlineStr">
        <is>
          <t>042-720-6117</t>
        </is>
      </c>
      <c r="G1028" t="inlineStr">
        <is>
          <t>3148651227</t>
        </is>
      </c>
      <c r="H1028" t="inlineStr">
        <is>
          <t>1601110354912</t>
        </is>
      </c>
      <c r="I1028" t="inlineStr">
        <is>
          <t>대상아님</t>
        </is>
      </c>
      <c r="J1028" t="inlineStr">
        <is>
          <t>일반법인</t>
        </is>
      </c>
      <c r="K1028" t="inlineStr">
        <is>
          <t>중소기업</t>
        </is>
      </c>
      <c r="L1028" t="inlineStr">
        <is>
          <t>외부감사대상</t>
        </is>
      </c>
      <c r="M1028" s="6" t="inlineStr">
        <is>
          <t>2013-09-06</t>
        </is>
      </c>
      <c r="N1028" t="inlineStr">
        <is>
          <t>KRI:10G4649200</t>
        </is>
      </c>
      <c r="O1028" t="inlineStr">
        <is>
          <t>시계 및 귀금속제품 도매업</t>
        </is>
      </c>
      <c r="P1028" t="inlineStr">
        <is>
          <t>시계 도소매</t>
        </is>
      </c>
      <c r="Q1028" t="inlineStr">
        <is>
          <t>대전 서구 둔산동 1036번지</t>
        </is>
      </c>
      <c r="R1028" t="inlineStr">
        <is>
          <t>대전 서구 대덕대로 211</t>
        </is>
      </c>
    </row>
    <row r="1029">
      <c r="A1029" t="inlineStr">
        <is>
          <t>NICE:JA3203</t>
        </is>
      </c>
      <c r="B1029" t="inlineStr">
        <is>
          <t>에프제이보험중개</t>
        </is>
      </c>
      <c r="C1029" t="inlineStr">
        <is>
          <t>신영주/홍우철</t>
        </is>
      </c>
      <c r="D1029" t="inlineStr">
        <is>
          <t>02-2135-9460</t>
        </is>
      </c>
      <c r="E1029" t="inlineStr">
        <is>
          <t>070-4758-9556</t>
        </is>
      </c>
      <c r="G1029" t="inlineStr">
        <is>
          <t>1568801071</t>
        </is>
      </c>
      <c r="H1029" t="inlineStr">
        <is>
          <t>1101116682367</t>
        </is>
      </c>
      <c r="I1029" t="inlineStr">
        <is>
          <t>대상아님</t>
        </is>
      </c>
      <c r="J1029" t="inlineStr">
        <is>
          <t>일반법인</t>
        </is>
      </c>
      <c r="K1029" t="inlineStr">
        <is>
          <t>중소기업</t>
        </is>
      </c>
      <c r="L1029" t="inlineStr">
        <is>
          <t>외부감사대상</t>
        </is>
      </c>
      <c r="M1029" s="6" t="inlineStr">
        <is>
          <t>2018-03-09</t>
        </is>
      </c>
      <c r="N1029" t="inlineStr">
        <is>
          <t>KRI:10K6620200</t>
        </is>
      </c>
      <c r="O1029" t="inlineStr">
        <is>
          <t>보험 대리 및 중개업</t>
        </is>
      </c>
      <c r="P1029" t="inlineStr">
        <is>
          <t>보험 중개</t>
        </is>
      </c>
      <c r="Q1029" t="inlineStr">
        <is>
          <t>서울 서초구 서초동 1355-8번지 중앙로얄오피스텔 18층</t>
        </is>
      </c>
      <c r="R1029" t="inlineStr">
        <is>
          <t>서울 서초구 서운로 13, 18층 (서초동,중앙로얄오피스텔)</t>
        </is>
      </c>
    </row>
    <row r="1030" ht="19.2" customHeight="1" s="1">
      <c r="A1030" t="inlineStr">
        <is>
          <t>NICE:JA3852</t>
        </is>
      </c>
      <c r="B1030" t="inlineStr">
        <is>
          <t>에스크컴퍼니</t>
        </is>
      </c>
      <c r="C1030" t="inlineStr">
        <is>
          <t>안중현</t>
        </is>
      </c>
      <c r="D1030" t="inlineStr">
        <is>
          <t>1522-8144</t>
        </is>
      </c>
      <c r="E1030" t="inlineStr">
        <is>
          <t>053-766-9879</t>
        </is>
      </c>
      <c r="F1030" s="3">
        <f>HYPERLINK("https://askcompany.co.kr/", "https://askcompany.co.kr/")</f>
        <v/>
      </c>
      <c r="G1030" t="inlineStr">
        <is>
          <t>2938800876</t>
        </is>
      </c>
      <c r="H1030" t="inlineStr">
        <is>
          <t>1701110674756</t>
        </is>
      </c>
      <c r="I1030" t="inlineStr">
        <is>
          <t>대상아님</t>
        </is>
      </c>
      <c r="J1030" t="inlineStr">
        <is>
          <t>일반법인</t>
        </is>
      </c>
      <c r="K1030" t="inlineStr">
        <is>
          <t>중견기업</t>
        </is>
      </c>
      <c r="L1030" t="inlineStr">
        <is>
          <t>외부감사대상</t>
        </is>
      </c>
      <c r="M1030" s="6" t="inlineStr">
        <is>
          <t>2018-03-14</t>
        </is>
      </c>
      <c r="N1030" t="inlineStr">
        <is>
          <t>KRI:10C2042300</t>
        </is>
      </c>
      <c r="O1030" t="inlineStr">
        <is>
          <t>화장품 제조업</t>
        </is>
      </c>
      <c r="P1030" t="inlineStr">
        <is>
          <t>화장품 제조,도소매/식품,칫솔,세제,비누,생필품,건강기능식품 도소매,무역,전자상거래</t>
        </is>
      </c>
      <c r="Q1030" t="inlineStr">
        <is>
          <t>대구 동구 신천동 74-1번지 3층</t>
        </is>
      </c>
      <c r="R1030" t="inlineStr">
        <is>
          <t>대구 동구 동대구로 503, 3층</t>
        </is>
      </c>
    </row>
    <row r="1031" ht="19.2" customHeight="1" s="1">
      <c r="A1031" t="inlineStr">
        <is>
          <t>NICE:JA6876</t>
        </is>
      </c>
      <c r="B1031" t="inlineStr">
        <is>
          <t>안좌쏠라시티</t>
        </is>
      </c>
      <c r="C1031" t="inlineStr">
        <is>
          <t>심현보</t>
        </is>
      </c>
      <c r="D1031" t="inlineStr">
        <is>
          <t>02-3440-6200</t>
        </is>
      </c>
      <c r="E1031" t="inlineStr">
        <is>
          <t>02-6000-7871</t>
        </is>
      </c>
      <c r="F1031" s="3">
        <f>HYPERLINK("http://www.kchglobal.com", "http://www.kchglobal.com")</f>
        <v/>
      </c>
      <c r="G1031" t="inlineStr">
        <is>
          <t>3188108936</t>
        </is>
      </c>
      <c r="H1031" t="inlineStr">
        <is>
          <t>2011110052623</t>
        </is>
      </c>
      <c r="I1031" t="inlineStr">
        <is>
          <t>대상아님</t>
        </is>
      </c>
      <c r="J1031" t="inlineStr">
        <is>
          <t>일반법인</t>
        </is>
      </c>
      <c r="K1031" t="inlineStr">
        <is>
          <t>중소기업</t>
        </is>
      </c>
      <c r="L1031" t="inlineStr">
        <is>
          <t>외부감사대상</t>
        </is>
      </c>
      <c r="M1031" s="6" t="inlineStr">
        <is>
          <t>2018-03-20</t>
        </is>
      </c>
      <c r="N1031" t="inlineStr">
        <is>
          <t>KRI:10D3511400</t>
        </is>
      </c>
      <c r="O1031" t="inlineStr">
        <is>
          <t>태양력 발전업</t>
        </is>
      </c>
      <c r="P1031" t="inlineStr">
        <is>
          <t>태양력 발전/전기공사/부동산 임대</t>
        </is>
      </c>
      <c r="Q1031" t="inlineStr">
        <is>
          <t>전남 신안군 안좌면 구대리 675번지</t>
        </is>
      </c>
      <c r="R1031" t="inlineStr">
        <is>
          <t>전남 신안군 안좌면 안좌남부길 530-94</t>
        </is>
      </c>
    </row>
    <row r="1032">
      <c r="A1032" t="inlineStr">
        <is>
          <t>NICE:JB4897</t>
        </is>
      </c>
      <c r="B1032" t="inlineStr">
        <is>
          <t>회계법인창천</t>
        </is>
      </c>
      <c r="C1032" t="inlineStr">
        <is>
          <t>최완길/태건우</t>
        </is>
      </c>
      <c r="D1032" t="inlineStr">
        <is>
          <t>02-518-3671</t>
        </is>
      </c>
      <c r="E1032" t="inlineStr">
        <is>
          <t>02-6280-3671</t>
        </is>
      </c>
      <c r="G1032" t="inlineStr">
        <is>
          <t>8898701081</t>
        </is>
      </c>
      <c r="H1032" t="inlineStr">
        <is>
          <t>1101340092019</t>
        </is>
      </c>
      <c r="I1032" t="inlineStr">
        <is>
          <t>대상아님</t>
        </is>
      </c>
      <c r="J1032" t="inlineStr">
        <is>
          <t>일반법인</t>
        </is>
      </c>
      <c r="K1032" t="inlineStr">
        <is>
          <t>중소기업</t>
        </is>
      </c>
      <c r="L1032" t="inlineStr">
        <is>
          <t>외부감사비대상</t>
        </is>
      </c>
      <c r="M1032" s="6" t="inlineStr">
        <is>
          <t>2018-04-09</t>
        </is>
      </c>
      <c r="N1032" t="inlineStr">
        <is>
          <t>KRI:10M7120100</t>
        </is>
      </c>
      <c r="O1032" t="inlineStr">
        <is>
          <t>공인회계사업</t>
        </is>
      </c>
      <c r="P1032" t="inlineStr">
        <is>
          <t>공인회계사/인문,사회과학 연구개발</t>
        </is>
      </c>
      <c r="Q1032" t="inlineStr">
        <is>
          <t>서울 강남구 논현동 112-19번지 우노빌딩 5, 6, 7층</t>
        </is>
      </c>
      <c r="R1032" t="inlineStr">
        <is>
          <t>서울 강남구 선릉로131길 16, 5, 6, 7층 (논현동,우노빌딩)</t>
        </is>
      </c>
    </row>
    <row r="1033">
      <c r="A1033" t="inlineStr">
        <is>
          <t>NICE:JB7562</t>
        </is>
      </c>
      <c r="B1033" t="inlineStr">
        <is>
          <t>여수오션퀸즈파크골드</t>
        </is>
      </c>
      <c r="C1033" t="inlineStr">
        <is>
          <t>김정아</t>
        </is>
      </c>
      <c r="D1033" t="inlineStr">
        <is>
          <t>062-233-3999</t>
        </is>
      </c>
      <c r="E1033" t="inlineStr">
        <is>
          <t>062-714-2668</t>
        </is>
      </c>
      <c r="G1033" t="inlineStr">
        <is>
          <t>6068800882</t>
        </is>
      </c>
      <c r="H1033" t="inlineStr">
        <is>
          <t>2062110065801</t>
        </is>
      </c>
      <c r="I1033" t="inlineStr">
        <is>
          <t>대상아님</t>
        </is>
      </c>
      <c r="J1033" t="inlineStr">
        <is>
          <t>일반법인</t>
        </is>
      </c>
      <c r="K1033" t="inlineStr">
        <is>
          <t>중소기업</t>
        </is>
      </c>
      <c r="L1033" t="inlineStr">
        <is>
          <t>외부감사대상</t>
        </is>
      </c>
      <c r="M1033" s="6" t="inlineStr">
        <is>
          <t>2018-04-18</t>
        </is>
      </c>
      <c r="N1033" t="inlineStr">
        <is>
          <t>KRI:10L6812100</t>
        </is>
      </c>
      <c r="O1033" t="inlineStr">
        <is>
          <t>주거용 건물 개발 및 공급업</t>
        </is>
      </c>
      <c r="P1033" t="inlineStr">
        <is>
          <t>주택 분양,공급</t>
        </is>
      </c>
      <c r="Q1033" t="inlineStr">
        <is>
          <t>광주 서구 화정동 180-12번지</t>
        </is>
      </c>
      <c r="R1033" t="inlineStr">
        <is>
          <t>광주 서구 상무대로 1101</t>
        </is>
      </c>
    </row>
    <row r="1034" ht="19.2" customHeight="1" s="1">
      <c r="A1034" t="inlineStr">
        <is>
          <t>NICE:JD0109</t>
        </is>
      </c>
      <c r="B1034" t="inlineStr">
        <is>
          <t>스타필드안성</t>
        </is>
      </c>
      <c r="C1034" t="inlineStr">
        <is>
          <t>신동우</t>
        </is>
      </c>
      <c r="D1034" t="inlineStr">
        <is>
          <t>031-8092-1010</t>
        </is>
      </c>
      <c r="E1034" t="inlineStr">
        <is>
          <t>031-8092-1100</t>
        </is>
      </c>
      <c r="F1034" s="3">
        <f>HYPERLINK("http://www.starfield.co.kr", "http://www.starfield.co.kr")</f>
        <v/>
      </c>
      <c r="G1034" t="inlineStr">
        <is>
          <t>2638100949</t>
        </is>
      </c>
      <c r="H1034" t="inlineStr">
        <is>
          <t>1346110091475</t>
        </is>
      </c>
      <c r="I1034" t="inlineStr">
        <is>
          <t>대상아님</t>
        </is>
      </c>
      <c r="J1034" t="inlineStr">
        <is>
          <t>일반법인</t>
        </is>
      </c>
      <c r="K1034" t="inlineStr">
        <is>
          <t>대기업</t>
        </is>
      </c>
      <c r="L1034" t="inlineStr">
        <is>
          <t>외부감사대상</t>
        </is>
      </c>
      <c r="M1034" s="6" t="inlineStr">
        <is>
          <t>2018-05-28</t>
        </is>
      </c>
      <c r="N1034" t="inlineStr">
        <is>
          <t>KRI:10L6811200</t>
        </is>
      </c>
      <c r="O1034" t="inlineStr">
        <is>
          <t>비주거용 건물 임대업</t>
        </is>
      </c>
      <c r="P1034" t="inlineStr">
        <is>
          <t>부동산 임대</t>
        </is>
      </c>
      <c r="Q1034" t="inlineStr">
        <is>
          <t>경기 안성시 공도읍 진사리 354번지</t>
        </is>
      </c>
      <c r="R1034" t="inlineStr">
        <is>
          <t>경기 안성시 공도읍 서동대로 3930-39</t>
        </is>
      </c>
    </row>
    <row r="1035" ht="19.2" customHeight="1" s="1">
      <c r="A1035" t="inlineStr">
        <is>
          <t>NICE:JD1343</t>
        </is>
      </c>
      <c r="B1035" t="inlineStr">
        <is>
          <t>코니바이에린</t>
        </is>
      </c>
      <c r="C1035" t="inlineStr">
        <is>
          <t>임이랑</t>
        </is>
      </c>
      <c r="D1035" t="inlineStr">
        <is>
          <t>070-8615-5900</t>
        </is>
      </c>
      <c r="F1035" s="3">
        <f>HYPERLINK("http://www.konny.co.kr", "http://www.konny.co.kr")</f>
        <v/>
      </c>
      <c r="G1035" t="inlineStr">
        <is>
          <t>5738701100</t>
        </is>
      </c>
      <c r="H1035" t="inlineStr">
        <is>
          <t>1101116767416</t>
        </is>
      </c>
      <c r="I1035" t="inlineStr">
        <is>
          <t>대상아님</t>
        </is>
      </c>
      <c r="J1035" t="inlineStr">
        <is>
          <t>일반법인</t>
        </is>
      </c>
      <c r="K1035" t="inlineStr">
        <is>
          <t>중소기업</t>
        </is>
      </c>
      <c r="L1035" t="inlineStr">
        <is>
          <t>외부감사대상</t>
        </is>
      </c>
      <c r="M1035" s="6" t="inlineStr">
        <is>
          <t>2018-06-01</t>
        </is>
      </c>
      <c r="N1035" t="inlineStr">
        <is>
          <t>KRI:10C1399900</t>
        </is>
      </c>
      <c r="O1035" t="inlineStr">
        <is>
          <t>그 외 기타 분류 안된 섬유제품 제조업</t>
        </is>
      </c>
      <c r="P1035" t="inlineStr">
        <is>
          <t>편조제품 제조,전자상거래</t>
        </is>
      </c>
      <c r="Q1035" t="inlineStr">
        <is>
          <t>서울 성동구 옥수동 463-1번지 한남포도빌 301호</t>
        </is>
      </c>
      <c r="R1035" t="inlineStr">
        <is>
          <t>서울 성동구 독서당로39길 38, 301호 (옥수동,한남포도빌)</t>
        </is>
      </c>
    </row>
    <row r="1036" ht="19.2" customHeight="1" s="1">
      <c r="A1036" t="inlineStr">
        <is>
          <t>NICE:JD2870</t>
        </is>
      </c>
      <c r="B1036" t="inlineStr">
        <is>
          <t>부성에베레스트</t>
        </is>
      </c>
      <c r="C1036" t="inlineStr">
        <is>
          <t>이용만/이효연/이용복</t>
        </is>
      </c>
      <c r="D1036" t="inlineStr">
        <is>
          <t>031-267-6000</t>
        </is>
      </c>
      <c r="E1036" t="inlineStr">
        <is>
          <t>032-267-5977</t>
        </is>
      </c>
      <c r="F1036" s="3">
        <f>HYPERLINK("http://www.busungrh.com", "http://www.busungrh.com")</f>
        <v/>
      </c>
      <c r="G1036" t="inlineStr">
        <is>
          <t>2078700994</t>
        </is>
      </c>
      <c r="H1036" t="inlineStr">
        <is>
          <t>1201110940412</t>
        </is>
      </c>
      <c r="I1036" t="inlineStr">
        <is>
          <t>대상아님</t>
        </is>
      </c>
      <c r="J1036" t="inlineStr">
        <is>
          <t>일반법인</t>
        </is>
      </c>
      <c r="K1036" t="inlineStr">
        <is>
          <t>중소기업</t>
        </is>
      </c>
      <c r="L1036" t="inlineStr">
        <is>
          <t>외부감사대상</t>
        </is>
      </c>
      <c r="M1036" s="6" t="inlineStr">
        <is>
          <t>2018-06-01</t>
        </is>
      </c>
      <c r="N1036" t="inlineStr">
        <is>
          <t>KRI:10C2917100</t>
        </is>
      </c>
      <c r="O1036" t="inlineStr">
        <is>
          <t>산업용 냉장 및 냉동 장비 제조업</t>
        </is>
      </c>
      <c r="P1036" t="inlineStr">
        <is>
          <t>업소용냉동냉장고 제조,도소매</t>
        </is>
      </c>
      <c r="Q1036" t="inlineStr">
        <is>
          <t>인천 남동구 고잔동 677-4번지</t>
        </is>
      </c>
      <c r="R1036" t="inlineStr">
        <is>
          <t>인천 남동구 남동대로155번길 55</t>
        </is>
      </c>
    </row>
    <row r="1037" ht="19.2" customHeight="1" s="1">
      <c r="A1037" t="inlineStr">
        <is>
          <t>NICE:JD4920</t>
        </is>
      </c>
      <c r="B1037" t="inlineStr">
        <is>
          <t>제네톡스</t>
        </is>
      </c>
      <c r="C1037" t="inlineStr">
        <is>
          <t>김현철</t>
        </is>
      </c>
      <c r="D1037" t="inlineStr">
        <is>
          <t>033-344-3700</t>
        </is>
      </c>
      <c r="E1037" t="inlineStr">
        <is>
          <t>033-344-3702</t>
        </is>
      </c>
      <c r="F1037" s="3">
        <f>HYPERLINK("http://genetox.co.kr/", "http://genetox.co.kr/")</f>
        <v/>
      </c>
      <c r="G1037" t="inlineStr">
        <is>
          <t>8728601034</t>
        </is>
      </c>
      <c r="H1037" t="inlineStr">
        <is>
          <t>1101116778645</t>
        </is>
      </c>
      <c r="I1037" t="inlineStr">
        <is>
          <t>대상아님</t>
        </is>
      </c>
      <c r="J1037" t="inlineStr">
        <is>
          <t>일반법인</t>
        </is>
      </c>
      <c r="K1037" t="inlineStr">
        <is>
          <t>중소기업</t>
        </is>
      </c>
      <c r="L1037" t="inlineStr">
        <is>
          <t>외부감사대상</t>
        </is>
      </c>
      <c r="M1037" s="6" t="inlineStr">
        <is>
          <t>2018-06-12</t>
        </is>
      </c>
      <c r="N1037" t="inlineStr">
        <is>
          <t>KRI:10C2121000</t>
        </is>
      </c>
      <c r="O1037" t="inlineStr">
        <is>
          <t>완제 의약품 제조업</t>
        </is>
      </c>
      <c r="P1037" t="inlineStr">
        <is>
          <t>의약품 제조,도소매</t>
        </is>
      </c>
      <c r="Q1037" t="inlineStr">
        <is>
          <t>강원 횡성군 우천면 상하가리 374번지</t>
        </is>
      </c>
      <c r="R1037" t="inlineStr">
        <is>
          <t>강원 횡성군 우천면 우천산업단지로 38-53</t>
        </is>
      </c>
    </row>
    <row r="1038" ht="19.2" customHeight="1" s="1">
      <c r="A1038" t="inlineStr">
        <is>
          <t>NICE:JE2909</t>
        </is>
      </c>
      <c r="B1038" t="inlineStr">
        <is>
          <t>동진피씨이</t>
        </is>
      </c>
      <c r="C1038" t="inlineStr">
        <is>
          <t>노희철/이명수</t>
        </is>
      </c>
      <c r="D1038" t="inlineStr">
        <is>
          <t>043-883-3800</t>
        </is>
      </c>
      <c r="E1038" t="inlineStr">
        <is>
          <t>043-883-3804</t>
        </is>
      </c>
      <c r="F1038" s="3">
        <f>HYPERLINK("http://djpce.com", "http://djpce.com")</f>
        <v/>
      </c>
      <c r="G1038" t="inlineStr">
        <is>
          <t>2658101037</t>
        </is>
      </c>
      <c r="H1038" t="inlineStr">
        <is>
          <t>1545110079023</t>
        </is>
      </c>
      <c r="I1038" t="inlineStr">
        <is>
          <t>대상아님</t>
        </is>
      </c>
      <c r="J1038" t="inlineStr">
        <is>
          <t>일반법인</t>
        </is>
      </c>
      <c r="K1038" t="inlineStr">
        <is>
          <t>중소기업</t>
        </is>
      </c>
      <c r="L1038" t="inlineStr">
        <is>
          <t>외부감사대상</t>
        </is>
      </c>
      <c r="M1038" s="6" t="inlineStr">
        <is>
          <t>2018-07-02</t>
        </is>
      </c>
      <c r="N1038" t="inlineStr">
        <is>
          <t>KRI:10C2332900</t>
        </is>
      </c>
      <c r="O1038" t="inlineStr">
        <is>
          <t>그 외 기타 콘크리트 제품 및 유사제품 제조업</t>
        </is>
      </c>
      <c r="P1038" t="inlineStr">
        <is>
          <t>프리캐스트콘트리트제품,콘크리트제품 제조/지붕판금공사,건축물조립공사</t>
        </is>
      </c>
      <c r="Q1038" t="inlineStr">
        <is>
          <t>충북 음성군 감곡면 문촌리 386번지</t>
        </is>
      </c>
      <c r="R1038" t="inlineStr">
        <is>
          <t>충북 음성군 감곡면 가곡로 572-60</t>
        </is>
      </c>
    </row>
    <row r="1039">
      <c r="A1039" t="inlineStr">
        <is>
          <t>NICE:JE3851</t>
        </is>
      </c>
      <c r="B1039" t="inlineStr">
        <is>
          <t>코크렙티피위탁관리부동산투자회사</t>
        </is>
      </c>
      <c r="C1039" t="inlineStr">
        <is>
          <t>(주)코람코자산신탁</t>
        </is>
      </c>
      <c r="D1039" t="inlineStr">
        <is>
          <t>02-787-0042</t>
        </is>
      </c>
      <c r="G1039" t="inlineStr">
        <is>
          <t>7588601077</t>
        </is>
      </c>
      <c r="H1039" t="inlineStr">
        <is>
          <t>1101116801496</t>
        </is>
      </c>
      <c r="I1039" t="inlineStr">
        <is>
          <t>대상아님</t>
        </is>
      </c>
      <c r="J1039" t="inlineStr">
        <is>
          <t>일반법인</t>
        </is>
      </c>
      <c r="K1039" t="inlineStr">
        <is>
          <t>중소기업</t>
        </is>
      </c>
      <c r="L1039" t="inlineStr">
        <is>
          <t>외부감사대상</t>
        </is>
      </c>
      <c r="M1039" s="6" t="inlineStr">
        <is>
          <t>2018-07-03</t>
        </is>
      </c>
      <c r="N1039" t="inlineStr">
        <is>
          <t>KRI:10L6811200</t>
        </is>
      </c>
      <c r="O1039" t="inlineStr">
        <is>
          <t>비주거용 건물 임대업</t>
        </is>
      </c>
      <c r="P1039" t="inlineStr">
        <is>
          <t>부동산 임대,개발</t>
        </is>
      </c>
      <c r="Q1039" t="inlineStr">
        <is>
          <t>서울 강남구 삼성동 144-17번지 골든타워 코람코자산신탁 내</t>
        </is>
      </c>
      <c r="R1039" t="inlineStr">
        <is>
          <t>서울 강남구 삼성로 511, 코람코자산신탁 내 (삼성동,골든타워)</t>
        </is>
      </c>
    </row>
    <row r="1040">
      <c r="A1040" t="inlineStr">
        <is>
          <t>NICE:JE7975</t>
        </is>
      </c>
      <c r="B1040" t="inlineStr">
        <is>
          <t>제이크리컴퍼니</t>
        </is>
      </c>
      <c r="C1040" t="inlineStr">
        <is>
          <t>지숙희</t>
        </is>
      </c>
      <c r="G1040" t="inlineStr">
        <is>
          <t>1528100824</t>
        </is>
      </c>
      <c r="H1040" t="inlineStr">
        <is>
          <t>1101116475085</t>
        </is>
      </c>
      <c r="I1040" t="inlineStr">
        <is>
          <t>대상아님</t>
        </is>
      </c>
      <c r="J1040" t="inlineStr">
        <is>
          <t>일반법인</t>
        </is>
      </c>
      <c r="K1040" t="inlineStr">
        <is>
          <t>중소기업</t>
        </is>
      </c>
      <c r="L1040" t="inlineStr">
        <is>
          <t>외부감사비대상</t>
        </is>
      </c>
      <c r="M1040" s="6" t="inlineStr">
        <is>
          <t>2017-07-31</t>
        </is>
      </c>
      <c r="N1040" t="inlineStr">
        <is>
          <t>KRI:10G4644300</t>
        </is>
      </c>
      <c r="O1040" t="inlineStr">
        <is>
          <t>화장품 및 화장용품 도매업</t>
        </is>
      </c>
      <c r="P1040" t="inlineStr">
        <is>
          <t>화장품,화장품 제조업,의료기기 판매 유통업,화장품</t>
        </is>
      </c>
      <c r="Q1040" t="inlineStr">
        <is>
          <t>서울 강남구 논현동 73번지</t>
        </is>
      </c>
      <c r="R1040" t="inlineStr">
        <is>
          <t>서울 강남구 도산대로30길 27</t>
        </is>
      </c>
    </row>
    <row r="1041">
      <c r="A1041" t="inlineStr">
        <is>
          <t>NICE:JF2727</t>
        </is>
      </c>
      <c r="B1041" t="inlineStr">
        <is>
          <t>넥스플렉스</t>
        </is>
      </c>
      <c r="C1041" t="inlineStr">
        <is>
          <t>김혁전</t>
        </is>
      </c>
      <c r="D1041" t="inlineStr">
        <is>
          <t>043-715-7773</t>
        </is>
      </c>
      <c r="E1041" t="inlineStr">
        <is>
          <t>043-715-7774</t>
        </is>
      </c>
      <c r="G1041" t="inlineStr">
        <is>
          <t>1318701056</t>
        </is>
      </c>
      <c r="H1041" t="inlineStr">
        <is>
          <t>1101116827658</t>
        </is>
      </c>
      <c r="I1041" t="inlineStr">
        <is>
          <t>대상아님</t>
        </is>
      </c>
      <c r="J1041" t="inlineStr">
        <is>
          <t>일반법인</t>
        </is>
      </c>
      <c r="K1041" t="inlineStr">
        <is>
          <t>중견기업</t>
        </is>
      </c>
      <c r="L1041" t="inlineStr">
        <is>
          <t>외부감사대상</t>
        </is>
      </c>
      <c r="M1041" s="6" t="inlineStr">
        <is>
          <t>2018-07-30</t>
        </is>
      </c>
      <c r="N1041" t="inlineStr">
        <is>
          <t>KRI:10C2622100</t>
        </is>
      </c>
      <c r="O1041" t="inlineStr">
        <is>
          <t>인쇄회로기판용 적층판 제조업</t>
        </is>
      </c>
      <c r="P1041" t="inlineStr">
        <is>
          <t>인쇄회로기판용적층판,플라스틱접착처리제품 제조/연성동판적층판,원부자재 도소매/무역/컨설팅</t>
        </is>
      </c>
      <c r="Q1041" t="inlineStr">
        <is>
          <t>충북 증평군 증평읍 미암리 1071-1번지 , 에프씨씨엘 샵1 샵2</t>
        </is>
      </c>
      <c r="R1041" t="inlineStr">
        <is>
          <t>충북 증평군 증평읍 미암로 82-43, , 에프씨씨엘 샵1 샵2</t>
        </is>
      </c>
    </row>
    <row r="1042" ht="19.2" customHeight="1" s="1">
      <c r="A1042" t="inlineStr">
        <is>
          <t>NICE:JF6898</t>
        </is>
      </c>
      <c r="B1042" t="inlineStr">
        <is>
          <t>투믹스글로벌</t>
        </is>
      </c>
      <c r="C1042" t="inlineStr">
        <is>
          <t>정윤규</t>
        </is>
      </c>
      <c r="D1042" t="inlineStr">
        <is>
          <t>02-3453-6480</t>
        </is>
      </c>
      <c r="E1042" t="inlineStr">
        <is>
          <t>02-3453-1050</t>
        </is>
      </c>
      <c r="F1042" s="3">
        <f>HYPERLINK("http://global.toomics.com", "http://global.toomics.com")</f>
        <v/>
      </c>
      <c r="G1042" t="inlineStr">
        <is>
          <t>6468101158</t>
        </is>
      </c>
      <c r="H1042" t="inlineStr">
        <is>
          <t>1101116840212</t>
        </is>
      </c>
      <c r="I1042" t="inlineStr">
        <is>
          <t>대상아님</t>
        </is>
      </c>
      <c r="J1042" t="inlineStr">
        <is>
          <t>일반법인</t>
        </is>
      </c>
      <c r="K1042" t="inlineStr">
        <is>
          <t>중소기업</t>
        </is>
      </c>
      <c r="L1042" t="inlineStr">
        <is>
          <t>외부감사대상</t>
        </is>
      </c>
      <c r="M1042" s="6" t="inlineStr">
        <is>
          <t>2018-08-10</t>
        </is>
      </c>
      <c r="N1042" t="inlineStr">
        <is>
          <t>KRI:10J6399100</t>
        </is>
      </c>
      <c r="O1042" t="inlineStr">
        <is>
          <t>데이터베이스 및 온라인정보 제공업</t>
        </is>
      </c>
      <c r="P1042" t="inlineStr">
        <is>
          <t>온라인정보제공</t>
        </is>
      </c>
      <c r="Q1042" t="inlineStr">
        <is>
          <t>서울 강남구 역삼동 719-34번지 13층</t>
        </is>
      </c>
      <c r="R1042" t="inlineStr">
        <is>
          <t>서울 강남구 테헤란로38길 12, 13층</t>
        </is>
      </c>
    </row>
    <row r="1043">
      <c r="A1043" t="inlineStr">
        <is>
          <t>NICE:JF9062</t>
        </is>
      </c>
      <c r="B1043" t="inlineStr">
        <is>
          <t>한국산요카세이제조</t>
        </is>
      </c>
      <c r="C1043" t="inlineStr">
        <is>
          <t>손경호</t>
        </is>
      </c>
      <c r="D1043" t="inlineStr">
        <is>
          <t>02-2192-6772</t>
        </is>
      </c>
      <c r="E1043" t="inlineStr">
        <is>
          <t>02-571-3694</t>
        </is>
      </c>
      <c r="G1043" t="inlineStr">
        <is>
          <t>2018801139</t>
        </is>
      </c>
      <c r="H1043" t="inlineStr">
        <is>
          <t>1545110079817</t>
        </is>
      </c>
      <c r="I1043" t="inlineStr">
        <is>
          <t>대상아님</t>
        </is>
      </c>
      <c r="J1043" t="inlineStr">
        <is>
          <t>일반법인</t>
        </is>
      </c>
      <c r="K1043" t="inlineStr">
        <is>
          <t>중소기업</t>
        </is>
      </c>
      <c r="L1043" t="inlineStr">
        <is>
          <t>외부감사대상</t>
        </is>
      </c>
      <c r="M1043" s="6" t="inlineStr">
        <is>
          <t>2018-08-20</t>
        </is>
      </c>
      <c r="N1043" t="inlineStr">
        <is>
          <t>KRI:10C2049900</t>
        </is>
      </c>
      <c r="O1043" t="inlineStr">
        <is>
          <t>그 외 기타 분류 안된 화학제품 제조업</t>
        </is>
      </c>
      <c r="P1043" t="inlineStr">
        <is>
          <t>윤활유,첨가제 제조</t>
        </is>
      </c>
      <c r="Q1043" t="inlineStr">
        <is>
          <t>충북 음성군 대소면 수태리 501-1번지</t>
        </is>
      </c>
      <c r="R1043" t="inlineStr">
        <is>
          <t>충북 음성군 대소면 수태로 95-19</t>
        </is>
      </c>
    </row>
    <row r="1044">
      <c r="A1044" t="inlineStr">
        <is>
          <t>NICE:JG2386</t>
        </is>
      </c>
      <c r="B1044" t="inlineStr">
        <is>
          <t>펜타원씨앤디</t>
        </is>
      </c>
      <c r="C1044" t="inlineStr">
        <is>
          <t>엄주범</t>
        </is>
      </c>
      <c r="D1044" t="inlineStr">
        <is>
          <t>070-8862-9435</t>
        </is>
      </c>
      <c r="E1044" t="inlineStr">
        <is>
          <t>02-3487-3035</t>
        </is>
      </c>
      <c r="G1044" t="inlineStr">
        <is>
          <t>3998701180</t>
        </is>
      </c>
      <c r="H1044" t="inlineStr">
        <is>
          <t>1101116853869</t>
        </is>
      </c>
      <c r="I1044" t="inlineStr">
        <is>
          <t>대상아님</t>
        </is>
      </c>
      <c r="J1044" t="inlineStr">
        <is>
          <t>일반법인</t>
        </is>
      </c>
      <c r="K1044" t="inlineStr">
        <is>
          <t>중소기업</t>
        </is>
      </c>
      <c r="L1044" t="inlineStr">
        <is>
          <t>외부감사대상</t>
        </is>
      </c>
      <c r="M1044" s="6" t="inlineStr">
        <is>
          <t>2018-08-27</t>
        </is>
      </c>
      <c r="N1044" t="inlineStr">
        <is>
          <t>KRI:10L6812200</t>
        </is>
      </c>
      <c r="O1044" t="inlineStr">
        <is>
          <t>비주거용 건물 개발 및 공급업</t>
        </is>
      </c>
      <c r="P1044" t="inlineStr">
        <is>
          <t>부동산 개발,공급</t>
        </is>
      </c>
      <c r="Q1044" t="inlineStr">
        <is>
          <t>경기 과천시 갈현동 0번지 과천펜타원 A동 3층</t>
        </is>
      </c>
      <c r="R1044" t="inlineStr">
        <is>
          <t>경기 과천시 과천대로12길 117, A동 3층 (갈현동,과천펜타원)</t>
        </is>
      </c>
    </row>
    <row r="1045" ht="19.2" customHeight="1" s="1">
      <c r="A1045" t="inlineStr">
        <is>
          <t>NICE:JG7649</t>
        </is>
      </c>
      <c r="B1045" t="inlineStr">
        <is>
          <t>스타필드수원</t>
        </is>
      </c>
      <c r="C1045" t="inlineStr">
        <is>
          <t>신동우</t>
        </is>
      </c>
      <c r="D1045" t="inlineStr">
        <is>
          <t>02-6926-4328</t>
        </is>
      </c>
      <c r="E1045" t="inlineStr">
        <is>
          <t>02-6921-1698</t>
        </is>
      </c>
      <c r="F1045" s="3">
        <f>HYPERLINK("https://www.starfield.co.kr/suwon/main.do", "https://www.starfield.co.kr/suwon/main.do")</f>
        <v/>
      </c>
      <c r="G1045" t="inlineStr">
        <is>
          <t>8088101101</t>
        </is>
      </c>
      <c r="H1045" t="inlineStr">
        <is>
          <t>1101116866953</t>
        </is>
      </c>
      <c r="I1045" t="inlineStr">
        <is>
          <t>대상아님</t>
        </is>
      </c>
      <c r="J1045" t="inlineStr">
        <is>
          <t>일반법인</t>
        </is>
      </c>
      <c r="K1045" t="inlineStr">
        <is>
          <t>대기업</t>
        </is>
      </c>
      <c r="L1045" t="inlineStr">
        <is>
          <t>외부감사대상</t>
        </is>
      </c>
      <c r="M1045" s="6" t="inlineStr">
        <is>
          <t>2018-09-10</t>
        </is>
      </c>
      <c r="N1045" t="inlineStr">
        <is>
          <t>KRI:10L6822100</t>
        </is>
      </c>
      <c r="O1045" t="inlineStr">
        <is>
          <t>부동산 중개 및 대리업</t>
        </is>
      </c>
      <c r="P1045" t="inlineStr">
        <is>
          <t>부동산 중개,대리</t>
        </is>
      </c>
      <c r="Q1045" t="inlineStr">
        <is>
          <t>경기 수원시 장안구 정자동 111-14번지 스타필드수원</t>
        </is>
      </c>
      <c r="R1045" t="inlineStr">
        <is>
          <t>경기 수원시 장안구 수성로 175 (정자동,스타필드수원)</t>
        </is>
      </c>
    </row>
    <row r="1046" ht="19.2" customHeight="1" s="1">
      <c r="A1046" t="inlineStr">
        <is>
          <t>NICE:JH4162</t>
        </is>
      </c>
      <c r="B1046" t="inlineStr">
        <is>
          <t>한스케어</t>
        </is>
      </c>
      <c r="C1046" t="inlineStr">
        <is>
          <t>김경환</t>
        </is>
      </c>
      <c r="D1046" t="inlineStr">
        <is>
          <t>02-6959-9740</t>
        </is>
      </c>
      <c r="E1046" t="inlineStr">
        <is>
          <t>02-6959-9783</t>
        </is>
      </c>
      <c r="F1046" s="3">
        <f>HYPERLINK("http://www.hanscare.co.kr", "http://www.hanscare.co.kr")</f>
        <v/>
      </c>
      <c r="G1046" t="inlineStr">
        <is>
          <t>4458601069</t>
        </is>
      </c>
      <c r="H1046" t="inlineStr">
        <is>
          <t>1101116887785</t>
        </is>
      </c>
      <c r="I1046" t="inlineStr">
        <is>
          <t>대상아님</t>
        </is>
      </c>
      <c r="J1046" t="inlineStr">
        <is>
          <t>일반법인</t>
        </is>
      </c>
      <c r="K1046" t="inlineStr">
        <is>
          <t>중소기업</t>
        </is>
      </c>
      <c r="L1046" t="inlineStr">
        <is>
          <t>외부감사대상</t>
        </is>
      </c>
      <c r="M1046" s="6" t="inlineStr">
        <is>
          <t>2018-10-05</t>
        </is>
      </c>
      <c r="N1046" t="inlineStr">
        <is>
          <t>KRI:10G4659200</t>
        </is>
      </c>
      <c r="O1046" t="inlineStr">
        <is>
          <t>의료기기 도매업</t>
        </is>
      </c>
      <c r="P1046" t="inlineStr">
        <is>
          <t>의료기기 도소매</t>
        </is>
      </c>
      <c r="Q1046" t="inlineStr">
        <is>
          <t>서울 송파구 문정동 640-3번지 한스빌딩 비101-4호, 비101-5호, 비101-6호, 비103-1호, 비401-1호, 1001-2호, 1003호</t>
        </is>
      </c>
      <c r="R1046" t="inlineStr">
        <is>
          <t>서울 송파구 정의로8길 7, 비101-4호, 비101-5호, 비101-6호, 비103-1호, 비401-1호, 1001-2호, 1003호 (문정동,한스빌딩)</t>
        </is>
      </c>
    </row>
    <row r="1047">
      <c r="A1047" t="inlineStr">
        <is>
          <t>NICE:JH6929</t>
        </is>
      </c>
      <c r="B1047" t="inlineStr">
        <is>
          <t>광양알루미늄</t>
        </is>
      </c>
      <c r="C1047" t="inlineStr">
        <is>
          <t>왕자자</t>
        </is>
      </c>
      <c r="D1047" t="inlineStr">
        <is>
          <t>061-762-6699</t>
        </is>
      </c>
      <c r="E1047" t="inlineStr">
        <is>
          <t>061-762-6799</t>
        </is>
      </c>
      <c r="G1047" t="inlineStr">
        <is>
          <t>6988801143</t>
        </is>
      </c>
      <c r="H1047" t="inlineStr">
        <is>
          <t>2046110057232</t>
        </is>
      </c>
      <c r="I1047" t="inlineStr">
        <is>
          <t>대상아님</t>
        </is>
      </c>
      <c r="J1047" t="inlineStr">
        <is>
          <t>일반법인</t>
        </is>
      </c>
      <c r="K1047" t="inlineStr">
        <is>
          <t>중소기업</t>
        </is>
      </c>
      <c r="L1047" t="inlineStr">
        <is>
          <t>외부감사대상</t>
        </is>
      </c>
      <c r="M1047" s="6" t="inlineStr">
        <is>
          <t>2018-10-17</t>
        </is>
      </c>
      <c r="N1047" t="inlineStr">
        <is>
          <t>KRI:10C2422200</t>
        </is>
      </c>
      <c r="O1047" t="inlineStr">
        <is>
          <t>알루미늄 압연, 압출 및 연신제품 제조업</t>
        </is>
      </c>
      <c r="P1047" t="inlineStr">
        <is>
          <t>알루미늄 제조,비철금속가공,판매</t>
        </is>
      </c>
      <c r="Q1047" t="inlineStr">
        <is>
          <t>전남 광양시 광양읍 세풍리 2237-3번지</t>
        </is>
      </c>
      <c r="R1047" t="inlineStr">
        <is>
          <t>전남 광양시 광양읍 세풍산단로 266</t>
        </is>
      </c>
    </row>
    <row r="1048" ht="19.2" customHeight="1" s="1">
      <c r="A1048" t="inlineStr">
        <is>
          <t>NICE:JI0306</t>
        </is>
      </c>
      <c r="B1048" t="inlineStr">
        <is>
          <t>의정부경량전철</t>
        </is>
      </c>
      <c r="C1048" t="inlineStr">
        <is>
          <t>강연기</t>
        </is>
      </c>
      <c r="D1048" t="inlineStr">
        <is>
          <t>031-820-1098</t>
        </is>
      </c>
      <c r="E1048" t="inlineStr">
        <is>
          <t>031-820-1090</t>
        </is>
      </c>
      <c r="F1048" s="3">
        <f>HYPERLINK("http://www.ulrt.co.kr/", "http://www.ulrt.co.kr/")</f>
        <v/>
      </c>
      <c r="G1048" t="inlineStr">
        <is>
          <t>8828701227</t>
        </is>
      </c>
      <c r="H1048" t="inlineStr">
        <is>
          <t>1101116906684</t>
        </is>
      </c>
      <c r="I1048" t="inlineStr">
        <is>
          <t>대상아님</t>
        </is>
      </c>
      <c r="J1048" t="inlineStr">
        <is>
          <t>일반법인</t>
        </is>
      </c>
      <c r="K1048" t="inlineStr">
        <is>
          <t>중소기업</t>
        </is>
      </c>
      <c r="L1048" t="inlineStr">
        <is>
          <t>외부감사대상</t>
        </is>
      </c>
      <c r="M1048" s="6" t="inlineStr">
        <is>
          <t>2018-10-25</t>
        </is>
      </c>
      <c r="N1048" t="inlineStr">
        <is>
          <t>KRI:10H4921100</t>
        </is>
      </c>
      <c r="O1048" t="inlineStr">
        <is>
          <t>도시철도 운송업</t>
        </is>
      </c>
      <c r="P1048" t="inlineStr">
        <is>
          <t>도시철도 관리운영</t>
        </is>
      </c>
      <c r="Q1048" t="inlineStr">
        <is>
          <t>경기 의정부시 고산동 656-6번지</t>
        </is>
      </c>
      <c r="R1048" t="inlineStr">
        <is>
          <t>경기 의정부시 고산로 27</t>
        </is>
      </c>
    </row>
    <row r="1049">
      <c r="A1049" t="inlineStr">
        <is>
          <t>NICE:JI2927</t>
        </is>
      </c>
      <c r="B1049" t="inlineStr">
        <is>
          <t>오라스</t>
        </is>
      </c>
      <c r="C1049" t="inlineStr">
        <is>
          <t>김영선</t>
        </is>
      </c>
      <c r="G1049" t="inlineStr">
        <is>
          <t>1108801089</t>
        </is>
      </c>
      <c r="H1049" t="inlineStr">
        <is>
          <t>1615110240659</t>
        </is>
      </c>
      <c r="I1049" t="inlineStr">
        <is>
          <t>대상아님</t>
        </is>
      </c>
      <c r="J1049" t="inlineStr">
        <is>
          <t>일반법인</t>
        </is>
      </c>
      <c r="K1049" t="inlineStr">
        <is>
          <t>중소기업</t>
        </is>
      </c>
      <c r="L1049" t="inlineStr">
        <is>
          <t>외부감사대상</t>
        </is>
      </c>
      <c r="M1049" s="6" t="inlineStr">
        <is>
          <t>2018-11-01</t>
        </is>
      </c>
      <c r="N1049" t="inlineStr">
        <is>
          <t>KRI:10C2049900</t>
        </is>
      </c>
      <c r="O1049" t="inlineStr">
        <is>
          <t>그 외 기타 분류 안된 화학제품 제조업</t>
        </is>
      </c>
      <c r="P1049" t="inlineStr">
        <is>
          <t>기타화학물,감광 재료 및 관련 화학제품 제조업,기타 상품 중개업,염료, 안료 및 관련제품 도매업,상품 종합 도매업,물리, 화학 및 생물학 연구개발업,농학 연구</t>
        </is>
      </c>
      <c r="Q1049" t="inlineStr">
        <is>
          <t>경기 화성시 동탄구 영천동 823-6번지 금강펜테리움아이엑스타워 에이3312, 에이3313, 씨325, 씨526</t>
        </is>
      </c>
      <c r="R1049" t="inlineStr">
        <is>
          <t>경기 화성시 동탄구 동탄첨단산업1로 27, 에이3312, 에이3313, 씨325, 씨526 (영천동,금강펜테리움아이엑스타워)</t>
        </is>
      </c>
    </row>
    <row r="1050">
      <c r="A1050" t="inlineStr">
        <is>
          <t>NICE:JI9439</t>
        </is>
      </c>
      <c r="B1050" t="inlineStr">
        <is>
          <t>오케이에프엠</t>
        </is>
      </c>
      <c r="C1050" t="inlineStr">
        <is>
          <t>류광열</t>
        </is>
      </c>
      <c r="D1050" t="inlineStr">
        <is>
          <t>031-544-9988</t>
        </is>
      </c>
      <c r="E1050" t="inlineStr">
        <is>
          <t>031-544-9978</t>
        </is>
      </c>
      <c r="G1050" t="inlineStr">
        <is>
          <t>5678801209</t>
        </is>
      </c>
      <c r="H1050" t="inlineStr">
        <is>
          <t>2844110103497</t>
        </is>
      </c>
      <c r="I1050" t="inlineStr">
        <is>
          <t>대상아님</t>
        </is>
      </c>
      <c r="J1050" t="inlineStr">
        <is>
          <t>일반법인</t>
        </is>
      </c>
      <c r="K1050" t="inlineStr">
        <is>
          <t>중소기업</t>
        </is>
      </c>
      <c r="L1050" t="inlineStr">
        <is>
          <t>외부감사대상</t>
        </is>
      </c>
      <c r="M1050" s="6" t="inlineStr">
        <is>
          <t>2018-11-19</t>
        </is>
      </c>
      <c r="N1050" t="inlineStr">
        <is>
          <t>KRI:10C1012100</t>
        </is>
      </c>
      <c r="O1050" t="inlineStr">
        <is>
          <t>가금류 가공 및 저장 처리업</t>
        </is>
      </c>
      <c r="P1050" t="inlineStr">
        <is>
          <t>축산물가공</t>
        </is>
      </c>
      <c r="Q1050" t="inlineStr">
        <is>
          <t>경기 포천시 설운동 149-4번지 211호</t>
        </is>
      </c>
      <c r="R1050" t="inlineStr">
        <is>
          <t>경기 포천시 송선로 211-1, 211호</t>
        </is>
      </c>
    </row>
    <row r="1051" ht="19.2" customHeight="1" s="1">
      <c r="A1051" t="inlineStr">
        <is>
          <t>NICE:JI9860</t>
        </is>
      </c>
      <c r="B1051" t="inlineStr">
        <is>
          <t>에이티움</t>
        </is>
      </c>
      <c r="C1051" t="inlineStr">
        <is>
          <t>장영우</t>
        </is>
      </c>
      <c r="D1051" t="inlineStr">
        <is>
          <t>02-593-3625</t>
        </is>
      </c>
      <c r="E1051" t="inlineStr">
        <is>
          <t>070-8280-3266</t>
        </is>
      </c>
      <c r="F1051" s="3">
        <f>HYPERLINK("http://www.atiumcorp.co.kr/", "http://www.atiumcorp.co.kr/")</f>
        <v/>
      </c>
      <c r="G1051" t="inlineStr">
        <is>
          <t>1408601223</t>
        </is>
      </c>
      <c r="H1051" t="inlineStr">
        <is>
          <t>1101116933299</t>
        </is>
      </c>
      <c r="I1051" t="inlineStr">
        <is>
          <t>대상아님</t>
        </is>
      </c>
      <c r="J1051" t="inlineStr">
        <is>
          <t>일반법인</t>
        </is>
      </c>
      <c r="K1051" t="inlineStr">
        <is>
          <t>중소기업</t>
        </is>
      </c>
      <c r="L1051" t="inlineStr">
        <is>
          <t>외부감사대상</t>
        </is>
      </c>
      <c r="M1051" s="6" t="inlineStr">
        <is>
          <t>2018-11-22</t>
        </is>
      </c>
      <c r="N1051" t="inlineStr">
        <is>
          <t>KRI:10G4644300</t>
        </is>
      </c>
      <c r="O1051" t="inlineStr">
        <is>
          <t>화장품 및 화장용품 도매업</t>
        </is>
      </c>
      <c r="P1051" t="inlineStr">
        <is>
          <t>화장품 도소매,제조/의료기기 도소매</t>
        </is>
      </c>
      <c r="Q1051" t="inlineStr">
        <is>
          <t>서울 강남구 역삼동 746-11번지</t>
        </is>
      </c>
      <c r="R1051" t="inlineStr">
        <is>
          <t>서울 강남구 논현로 413</t>
        </is>
      </c>
    </row>
    <row r="1052" ht="19.2" customHeight="1" s="1">
      <c r="A1052" t="inlineStr">
        <is>
          <t>NICE:JJ1311</t>
        </is>
      </c>
      <c r="B1052" t="inlineStr">
        <is>
          <t>연안항만엔지니어링</t>
        </is>
      </c>
      <c r="C1052" t="inlineStr">
        <is>
          <t>고성훈</t>
        </is>
      </c>
      <c r="D1052" t="inlineStr">
        <is>
          <t>070-7773-2328</t>
        </is>
      </c>
      <c r="E1052" t="inlineStr">
        <is>
          <t>031-360-5894</t>
        </is>
      </c>
      <c r="F1052" s="3">
        <f>HYPERLINK("http://www.yeonhang.co.kr", "http://www.yeonhang.co.kr")</f>
        <v/>
      </c>
      <c r="G1052" t="inlineStr">
        <is>
          <t>5888101191</t>
        </is>
      </c>
      <c r="H1052" t="inlineStr">
        <is>
          <t>1341110510144</t>
        </is>
      </c>
      <c r="I1052" t="inlineStr">
        <is>
          <t>대상아님</t>
        </is>
      </c>
      <c r="J1052" t="inlineStr">
        <is>
          <t>일반법인</t>
        </is>
      </c>
      <c r="K1052" t="inlineStr">
        <is>
          <t>중소기업</t>
        </is>
      </c>
      <c r="L1052" t="inlineStr">
        <is>
          <t>외부감사대상</t>
        </is>
      </c>
      <c r="M1052" s="6" t="inlineStr">
        <is>
          <t>2018-11-27</t>
        </is>
      </c>
      <c r="N1052" t="inlineStr">
        <is>
          <t>KRI:10M7212100</t>
        </is>
      </c>
      <c r="O1052" t="inlineStr">
        <is>
          <t>건물 및 토목 엔지니어링 서비스업</t>
        </is>
      </c>
      <c r="P1052" t="inlineStr">
        <is>
          <t>토목설계,지질조사,학술연구용역,계측</t>
        </is>
      </c>
      <c r="Q1052" t="inlineStr">
        <is>
          <t>부산 동구 초량동 1193-5번지 11층</t>
        </is>
      </c>
      <c r="R1052" t="inlineStr">
        <is>
          <t>부산 동구 중앙대로 240, 11층</t>
        </is>
      </c>
    </row>
    <row r="1053" ht="19.2" customHeight="1" s="1">
      <c r="A1053" t="inlineStr">
        <is>
          <t>NICE:JK2577</t>
        </is>
      </c>
      <c r="B1053" t="inlineStr">
        <is>
          <t>트리노드</t>
        </is>
      </c>
      <c r="C1053" t="inlineStr">
        <is>
          <t>김준수</t>
        </is>
      </c>
      <c r="D1053" t="inlineStr">
        <is>
          <t>051-747-1426</t>
        </is>
      </c>
      <c r="E1053" t="inlineStr">
        <is>
          <t>051-747-1427</t>
        </is>
      </c>
      <c r="F1053" s="3">
        <f>HYPERLINK("http://www.treenod.com/", "http://www.treenod.com/")</f>
        <v/>
      </c>
      <c r="G1053" t="inlineStr">
        <is>
          <t>7968601176</t>
        </is>
      </c>
      <c r="H1053" t="inlineStr">
        <is>
          <t>1801111193399</t>
        </is>
      </c>
      <c r="I1053" t="inlineStr">
        <is>
          <t>대상아님</t>
        </is>
      </c>
      <c r="J1053" t="inlineStr">
        <is>
          <t>일반법인</t>
        </is>
      </c>
      <c r="K1053" t="inlineStr">
        <is>
          <t>중소기업</t>
        </is>
      </c>
      <c r="L1053" t="inlineStr">
        <is>
          <t>외부감사대상</t>
        </is>
      </c>
      <c r="M1053" s="6" t="inlineStr">
        <is>
          <t>2018-12-31</t>
        </is>
      </c>
      <c r="N1053" t="inlineStr">
        <is>
          <t>KRI:10J5821200</t>
        </is>
      </c>
      <c r="O1053" t="inlineStr">
        <is>
          <t>모바일 게임 소프트웨어 개발 및 공급업</t>
        </is>
      </c>
      <c r="P1053" t="inlineStr">
        <is>
          <t>게임소프트웨어 개발,공급/문구 도소매/디자인(자사로고)</t>
        </is>
      </c>
      <c r="Q1053" t="inlineStr">
        <is>
          <t>부산 해운대구 우동 1510번지 센텀드림월드 503호, 701호, 802호, 803호, 1302호, 15층</t>
        </is>
      </c>
      <c r="R1053" t="inlineStr">
        <is>
          <t>부산 해운대구 센텀2로 25, 503호, 701호, 802호, 803호, 1302호, 15층 (우동,센텀드림월드)</t>
        </is>
      </c>
    </row>
    <row r="1054">
      <c r="A1054" t="inlineStr">
        <is>
          <t>NICE:JK7539</t>
        </is>
      </c>
      <c r="B1054" t="inlineStr">
        <is>
          <t>에스플랜트</t>
        </is>
      </c>
      <c r="C1054" t="inlineStr">
        <is>
          <t>김민기</t>
        </is>
      </c>
      <c r="D1054" t="inlineStr">
        <is>
          <t>041-935-7021</t>
        </is>
      </c>
      <c r="E1054" t="inlineStr">
        <is>
          <t>041-935-7022</t>
        </is>
      </c>
      <c r="G1054" t="inlineStr">
        <is>
          <t>3998701292</t>
        </is>
      </c>
      <c r="H1054" t="inlineStr">
        <is>
          <t>1645110031683</t>
        </is>
      </c>
      <c r="I1054" t="inlineStr">
        <is>
          <t>대상아님</t>
        </is>
      </c>
      <c r="J1054" t="inlineStr">
        <is>
          <t>일반법인</t>
        </is>
      </c>
      <c r="K1054" t="inlineStr">
        <is>
          <t>중소기업</t>
        </is>
      </c>
      <c r="L1054" t="inlineStr">
        <is>
          <t>외부감사비대상</t>
        </is>
      </c>
      <c r="M1054" s="6" t="inlineStr">
        <is>
          <t>2019-01-10</t>
        </is>
      </c>
      <c r="N1054" t="inlineStr">
        <is>
          <t>KRI:10F4213700</t>
        </is>
      </c>
      <c r="O1054" t="inlineStr">
        <is>
          <t>비계 및 형틀 공사업</t>
        </is>
      </c>
      <c r="P1054" t="inlineStr">
        <is>
          <t>비계공사,기계설비공사,플랜트배관설비공사/부동산 임대</t>
        </is>
      </c>
      <c r="Q1054" t="inlineStr">
        <is>
          <t>충남 보령시 대천동 504번지</t>
        </is>
      </c>
      <c r="R1054" t="inlineStr">
        <is>
          <t>충남 보령시 우정길 81</t>
        </is>
      </c>
    </row>
    <row r="1055">
      <c r="A1055" t="inlineStr">
        <is>
          <t>NICE:JL1914</t>
        </is>
      </c>
      <c r="B1055" t="inlineStr">
        <is>
          <t>대원엔비텍</t>
        </is>
      </c>
      <c r="C1055" t="inlineStr">
        <is>
          <t>권혁명</t>
        </is>
      </c>
      <c r="D1055" t="inlineStr">
        <is>
          <t>054-716-2526</t>
        </is>
      </c>
      <c r="E1055" t="inlineStr">
        <is>
          <t>054-716-2529</t>
        </is>
      </c>
      <c r="G1055" t="inlineStr">
        <is>
          <t>7918701450</t>
        </is>
      </c>
      <c r="H1055" t="inlineStr">
        <is>
          <t>1760110128494</t>
        </is>
      </c>
      <c r="I1055" t="inlineStr">
        <is>
          <t>대상아님</t>
        </is>
      </c>
      <c r="J1055" t="inlineStr">
        <is>
          <t>일반법인</t>
        </is>
      </c>
      <c r="K1055" t="inlineStr">
        <is>
          <t>중소기업</t>
        </is>
      </c>
      <c r="L1055" t="inlineStr">
        <is>
          <t>외부감사대상</t>
        </is>
      </c>
      <c r="M1055" s="6" t="inlineStr">
        <is>
          <t>2019-01-28</t>
        </is>
      </c>
      <c r="N1055" t="inlineStr">
        <is>
          <t>KRI:10C2049900</t>
        </is>
      </c>
      <c r="O1055" t="inlineStr">
        <is>
          <t>그 외 기타 분류 안된 화학제품 제조업</t>
        </is>
      </c>
      <c r="P1055" t="inlineStr">
        <is>
          <t>난연제 제조,도매/EPS원료 도매,무역/부동산 임대,개발,공급</t>
        </is>
      </c>
      <c r="Q1055" t="inlineStr">
        <is>
          <t>경북 칠곡군 가산면 송학리 603-3번지</t>
        </is>
      </c>
      <c r="R1055" t="inlineStr">
        <is>
          <t>경북 칠곡군 가산면 송학6길 20-15</t>
        </is>
      </c>
    </row>
    <row r="1056" ht="19.2" customHeight="1" s="1">
      <c r="A1056" t="inlineStr">
        <is>
          <t>NICE:JL4607</t>
        </is>
      </c>
      <c r="B1056" t="inlineStr">
        <is>
          <t>아이스푸드앤바인</t>
        </is>
      </c>
      <c r="C1056" t="inlineStr">
        <is>
          <t>손병철/손봉민/손봉설</t>
        </is>
      </c>
      <c r="D1056" t="inlineStr">
        <is>
          <t>055-356-5517</t>
        </is>
      </c>
      <c r="E1056" t="inlineStr">
        <is>
          <t>055-356-5512</t>
        </is>
      </c>
      <c r="F1056" s="3">
        <f>HYPERLINK("http://icefood.kr", "http://icefood.kr")</f>
        <v/>
      </c>
      <c r="G1056" t="inlineStr">
        <is>
          <t>4538701126</t>
        </is>
      </c>
      <c r="H1056" t="inlineStr">
        <is>
          <t>1801111199503</t>
        </is>
      </c>
      <c r="I1056" t="inlineStr">
        <is>
          <t>대상아님</t>
        </is>
      </c>
      <c r="J1056" t="inlineStr">
        <is>
          <t>일반법인</t>
        </is>
      </c>
      <c r="K1056" t="inlineStr">
        <is>
          <t>중소기업</t>
        </is>
      </c>
      <c r="L1056" t="inlineStr">
        <is>
          <t>외부감사대상</t>
        </is>
      </c>
      <c r="M1056" s="6" t="inlineStr">
        <is>
          <t>2019-02-01</t>
        </is>
      </c>
      <c r="N1056" t="inlineStr">
        <is>
          <t>KRI:10C1120100</t>
        </is>
      </c>
      <c r="O1056" t="inlineStr">
        <is>
          <t>얼음 제조업</t>
        </is>
      </c>
      <c r="P1056" t="inlineStr">
        <is>
          <t>얼음,아이스팩 제조,도소매/창고 보관</t>
        </is>
      </c>
      <c r="Q1056" t="inlineStr">
        <is>
          <t>경남 밀양시 삼랑진읍 미전리 1083번지</t>
        </is>
      </c>
      <c r="R1056" t="inlineStr">
        <is>
          <t>경남 밀양시 삼랑진읍 미율로 143-31</t>
        </is>
      </c>
    </row>
    <row r="1057">
      <c r="A1057" t="inlineStr">
        <is>
          <t>NICE:JL5998</t>
        </is>
      </c>
      <c r="B1057" t="inlineStr">
        <is>
          <t>동광엔비텍</t>
        </is>
      </c>
      <c r="C1057" t="inlineStr">
        <is>
          <t>박병국</t>
        </is>
      </c>
      <c r="D1057" t="inlineStr">
        <is>
          <t>031-8055-3799</t>
        </is>
      </c>
      <c r="E1057" t="inlineStr">
        <is>
          <t>031-8055-3795</t>
        </is>
      </c>
      <c r="G1057" t="inlineStr">
        <is>
          <t>1458701448</t>
        </is>
      </c>
      <c r="H1057" t="inlineStr">
        <is>
          <t>1348110485814</t>
        </is>
      </c>
      <c r="I1057" t="inlineStr">
        <is>
          <t>대상아님</t>
        </is>
      </c>
      <c r="J1057" t="inlineStr">
        <is>
          <t>일반법인</t>
        </is>
      </c>
      <c r="K1057" t="inlineStr">
        <is>
          <t>중소기업</t>
        </is>
      </c>
      <c r="L1057" t="inlineStr">
        <is>
          <t>외부감사대상</t>
        </is>
      </c>
      <c r="M1057" s="6" t="inlineStr">
        <is>
          <t>2019-02-08</t>
        </is>
      </c>
      <c r="N1057" t="inlineStr">
        <is>
          <t>KRI:10C2225900</t>
        </is>
      </c>
      <c r="O1057" t="inlineStr">
        <is>
          <t>기타 플라스틱 발포 성형제품 제조업</t>
        </is>
      </c>
      <c r="P1057" t="inlineStr">
        <is>
          <t>준불연스폰지,합성수지,CNC가공,필터류,자동차부품 제조</t>
        </is>
      </c>
      <c r="Q1057" t="inlineStr">
        <is>
          <t>경기 화성시 효행구 정남면 덕절리 380-7번지</t>
        </is>
      </c>
      <c r="R1057" t="inlineStr">
        <is>
          <t>경기 화성시 효행구 정남면 덕절제기길 16</t>
        </is>
      </c>
    </row>
    <row r="1058" ht="19.2" customHeight="1" s="1">
      <c r="A1058" t="inlineStr">
        <is>
          <t>NICE:JM0193</t>
        </is>
      </c>
      <c r="B1058" t="inlineStr">
        <is>
          <t>메타약품</t>
        </is>
      </c>
      <c r="C1058" t="inlineStr">
        <is>
          <t>이수진</t>
        </is>
      </c>
      <c r="D1058" t="inlineStr">
        <is>
          <t>02-568-0876</t>
        </is>
      </c>
      <c r="E1058" t="inlineStr">
        <is>
          <t>02-568-0875</t>
        </is>
      </c>
      <c r="F1058" s="3">
        <f>HYPERLINK("http://www.metapharm.co.kr", "http://www.metapharm.co.kr")</f>
        <v/>
      </c>
      <c r="G1058" t="inlineStr">
        <is>
          <t>5308801212</t>
        </is>
      </c>
      <c r="H1058" t="inlineStr">
        <is>
          <t>1101117020079</t>
        </is>
      </c>
      <c r="I1058" t="inlineStr">
        <is>
          <t>대상아님</t>
        </is>
      </c>
      <c r="J1058" t="inlineStr">
        <is>
          <t>일반법인</t>
        </is>
      </c>
      <c r="K1058" t="inlineStr">
        <is>
          <t>중소기업</t>
        </is>
      </c>
      <c r="L1058" t="inlineStr">
        <is>
          <t>외부감사대상</t>
        </is>
      </c>
      <c r="M1058" s="6" t="inlineStr">
        <is>
          <t>2019-02-20</t>
        </is>
      </c>
      <c r="N1058" t="inlineStr">
        <is>
          <t>KRI:10G4644100</t>
        </is>
      </c>
      <c r="O1058" t="inlineStr">
        <is>
          <t>의약품 도매업</t>
        </is>
      </c>
      <c r="P1058" t="inlineStr">
        <is>
          <t>의약품,의료용품,의료기기,건강기능식품,화장품,화장용품,산업용 농산물 도소매/의료용 기기 제조</t>
        </is>
      </c>
      <c r="Q1058" t="inlineStr">
        <is>
          <t>서울 서초구 잠원동 13-3번지 태양빌딩 5층, 6층, 7층</t>
        </is>
      </c>
      <c r="R1058" t="inlineStr">
        <is>
          <t>서울 서초구 강남대로101길 11, 5층, 6층, 7층 (잠원동,태양빌딩)</t>
        </is>
      </c>
    </row>
    <row r="1059">
      <c r="A1059" t="inlineStr">
        <is>
          <t>NICE:JN0718</t>
        </is>
      </c>
      <c r="B1059" t="inlineStr">
        <is>
          <t>농업회사법인히즈팜</t>
        </is>
      </c>
      <c r="C1059" t="inlineStr">
        <is>
          <t>한우진</t>
        </is>
      </c>
      <c r="D1059" t="inlineStr">
        <is>
          <t>031-695-0323</t>
        </is>
      </c>
      <c r="E1059" t="inlineStr">
        <is>
          <t>031-282-2975</t>
        </is>
      </c>
      <c r="G1059" t="inlineStr">
        <is>
          <t>6838601171</t>
        </is>
      </c>
      <c r="H1059" t="inlineStr">
        <is>
          <t>1313110212286</t>
        </is>
      </c>
      <c r="I1059" t="inlineStr">
        <is>
          <t>대상아님</t>
        </is>
      </c>
      <c r="J1059" t="inlineStr">
        <is>
          <t>일반법인</t>
        </is>
      </c>
      <c r="K1059" t="inlineStr">
        <is>
          <t>중소기업</t>
        </is>
      </c>
      <c r="L1059" t="inlineStr">
        <is>
          <t>외부감사대상</t>
        </is>
      </c>
      <c r="M1059" s="6" t="inlineStr">
        <is>
          <t>2019-03-18</t>
        </is>
      </c>
      <c r="N1059" t="inlineStr">
        <is>
          <t>KRI:10A0123100</t>
        </is>
      </c>
      <c r="O1059" t="inlineStr">
        <is>
          <t>양계업</t>
        </is>
      </c>
      <c r="P1059" t="inlineStr">
        <is>
          <t>양계/계란 도소매</t>
        </is>
      </c>
      <c r="Q1059" t="inlineStr">
        <is>
          <t>경기 평택시 청북읍 고잔리 1647번지</t>
        </is>
      </c>
      <c r="R1059" t="inlineStr">
        <is>
          <t>경기 평택시 청북읍 청북중앙로 669-64</t>
        </is>
      </c>
    </row>
    <row r="1060" ht="19.2" customHeight="1" s="1">
      <c r="A1060" t="inlineStr">
        <is>
          <t>NICE:JN1355</t>
        </is>
      </c>
      <c r="B1060" t="inlineStr">
        <is>
          <t>비금주민태양광발전</t>
        </is>
      </c>
      <c r="C1060" t="inlineStr">
        <is>
          <t>이형범</t>
        </is>
      </c>
      <c r="D1060" t="inlineStr">
        <is>
          <t>070-4607-6727</t>
        </is>
      </c>
      <c r="E1060" t="inlineStr">
        <is>
          <t>070-8250-6766</t>
        </is>
      </c>
      <c r="F1060" s="3">
        <f>HYPERLINK("http://www.bgsp.kr", "http://www.bgsp.kr")</f>
        <v/>
      </c>
      <c r="G1060" t="inlineStr">
        <is>
          <t>4798601500</t>
        </is>
      </c>
      <c r="H1060" t="inlineStr">
        <is>
          <t>2011110055982</t>
        </is>
      </c>
      <c r="I1060" t="inlineStr">
        <is>
          <t>대상아님</t>
        </is>
      </c>
      <c r="J1060" t="inlineStr">
        <is>
          <t>일반법인</t>
        </is>
      </c>
      <c r="K1060" t="inlineStr">
        <is>
          <t>중소기업</t>
        </is>
      </c>
      <c r="L1060" t="inlineStr">
        <is>
          <t>외부감사대상</t>
        </is>
      </c>
      <c r="M1060" s="6" t="inlineStr">
        <is>
          <t>2019-03-25</t>
        </is>
      </c>
      <c r="N1060" t="inlineStr">
        <is>
          <t>KRI:10D3511400</t>
        </is>
      </c>
      <c r="O1060" t="inlineStr">
        <is>
          <t>태양력 발전업</t>
        </is>
      </c>
      <c r="P1060" t="inlineStr">
        <is>
          <t>태양광발전/태양광발전 컨설팅</t>
        </is>
      </c>
      <c r="Q1060" t="inlineStr">
        <is>
          <t>전남 신안군 비금면 도고리 175-2번지</t>
        </is>
      </c>
      <c r="R1060" t="inlineStr">
        <is>
          <t>전남 신안군 비금면 서남문로 307</t>
        </is>
      </c>
    </row>
    <row r="1061">
      <c r="A1061" t="inlineStr">
        <is>
          <t>NICE:JN3790</t>
        </is>
      </c>
      <c r="B1061" t="inlineStr">
        <is>
          <t>용진디앤씨</t>
        </is>
      </c>
      <c r="C1061" t="inlineStr">
        <is>
          <t>김우석</t>
        </is>
      </c>
      <c r="D1061" t="inlineStr">
        <is>
          <t>042-721-6009</t>
        </is>
      </c>
      <c r="E1061" t="inlineStr">
        <is>
          <t>042-721-6090</t>
        </is>
      </c>
      <c r="G1061" t="inlineStr">
        <is>
          <t>5288801219</t>
        </is>
      </c>
      <c r="H1061" t="inlineStr">
        <is>
          <t>1601110511132</t>
        </is>
      </c>
      <c r="I1061" t="inlineStr">
        <is>
          <t>대상아님</t>
        </is>
      </c>
      <c r="J1061" t="inlineStr">
        <is>
          <t>일반법인</t>
        </is>
      </c>
      <c r="K1061" t="inlineStr">
        <is>
          <t>중소기업</t>
        </is>
      </c>
      <c r="L1061" t="inlineStr">
        <is>
          <t>외부감사대상</t>
        </is>
      </c>
      <c r="M1061" s="6" t="inlineStr">
        <is>
          <t>2019-03-25</t>
        </is>
      </c>
      <c r="N1061" t="inlineStr">
        <is>
          <t>KRI:10L6812100</t>
        </is>
      </c>
      <c r="O1061" t="inlineStr">
        <is>
          <t>주거용 건물 개발 및 공급업</t>
        </is>
      </c>
      <c r="P1061" t="inlineStr">
        <is>
          <t>부동산 개발,공급</t>
        </is>
      </c>
      <c r="Q1061" t="inlineStr">
        <is>
          <t>대전 유성구 봉명동 675-4번지 201호,202호</t>
        </is>
      </c>
      <c r="R1061" t="inlineStr">
        <is>
          <t>대전 유성구 온천북로59번길 34, 201호,202호</t>
        </is>
      </c>
    </row>
    <row r="1062" ht="19.2" customHeight="1" s="1">
      <c r="A1062" t="inlineStr">
        <is>
          <t>NICE:JO3034</t>
        </is>
      </c>
      <c r="B1062" t="inlineStr">
        <is>
          <t>히타치에너지코리아</t>
        </is>
      </c>
      <c r="C1062" t="inlineStr">
        <is>
          <t>최석환</t>
        </is>
      </c>
      <c r="D1062" t="inlineStr">
        <is>
          <t>02-6000-7202</t>
        </is>
      </c>
      <c r="E1062" t="inlineStr">
        <is>
          <t>02-6000-7204-5</t>
        </is>
      </c>
      <c r="F1062" s="3">
        <f>HYPERLINK("http://www.hitachienergy.com", "http://www.hitachienergy.com")</f>
        <v/>
      </c>
      <c r="G1062" t="inlineStr">
        <is>
          <t>4248801275</t>
        </is>
      </c>
      <c r="H1062" t="inlineStr">
        <is>
          <t>1101117088564</t>
        </is>
      </c>
      <c r="I1062" t="inlineStr">
        <is>
          <t>대상아님</t>
        </is>
      </c>
      <c r="J1062" t="inlineStr">
        <is>
          <t>일반법인</t>
        </is>
      </c>
      <c r="K1062" t="inlineStr">
        <is>
          <t>중소기업</t>
        </is>
      </c>
      <c r="L1062" t="inlineStr">
        <is>
          <t>외부감사대상</t>
        </is>
      </c>
      <c r="M1062" s="6" t="inlineStr">
        <is>
          <t>2019-04-24</t>
        </is>
      </c>
      <c r="N1062" t="inlineStr">
        <is>
          <t>KRI:10C2811200</t>
        </is>
      </c>
      <c r="O1062" t="inlineStr">
        <is>
          <t>변압기 제조업</t>
        </is>
      </c>
      <c r="P1062" t="inlineStr">
        <is>
          <t>변압기 제조/마케팅</t>
        </is>
      </c>
      <c r="Q1062" t="inlineStr">
        <is>
          <t>서울 강남구 삼성동 159-1번지 41층</t>
        </is>
      </c>
      <c r="R1062" t="inlineStr">
        <is>
          <t>서울 강남구 영동대로 511, 41층</t>
        </is>
      </c>
    </row>
    <row r="1063" ht="19.2" customHeight="1" s="1">
      <c r="A1063" t="inlineStr">
        <is>
          <t>NICE:JP0074</t>
        </is>
      </c>
      <c r="B1063" t="inlineStr">
        <is>
          <t>이삼오구</t>
        </is>
      </c>
      <c r="C1063" t="inlineStr">
        <is>
          <t>주재형</t>
        </is>
      </c>
      <c r="D1063" t="inlineStr">
        <is>
          <t>02-6094-9006</t>
        </is>
      </c>
      <c r="E1063" t="inlineStr">
        <is>
          <t>02-6094-2359</t>
        </is>
      </c>
      <c r="F1063" s="3">
        <f>HYPERLINK("https://2359.co.kr", "https://2359.co.kr")</f>
        <v/>
      </c>
      <c r="G1063" t="inlineStr">
        <is>
          <t>4658101281</t>
        </is>
      </c>
      <c r="H1063" t="inlineStr">
        <is>
          <t>1101117105409</t>
        </is>
      </c>
      <c r="I1063" t="inlineStr">
        <is>
          <t>대상아님</t>
        </is>
      </c>
      <c r="J1063" t="inlineStr">
        <is>
          <t>일반법인</t>
        </is>
      </c>
      <c r="K1063" t="inlineStr">
        <is>
          <t>중소기업</t>
        </is>
      </c>
      <c r="L1063" t="inlineStr">
        <is>
          <t>외부감사대상</t>
        </is>
      </c>
      <c r="M1063" s="6" t="inlineStr">
        <is>
          <t>2019-05-14</t>
        </is>
      </c>
      <c r="N1063" t="inlineStr">
        <is>
          <t>KRI:10C1079700</t>
        </is>
      </c>
      <c r="O1063" t="inlineStr">
        <is>
          <t>건강기능식품 제조업</t>
        </is>
      </c>
      <c r="P1063" t="inlineStr">
        <is>
          <t>건강기능식품,화장품 제조/전자상거래,건강보조식품,식품 소매</t>
        </is>
      </c>
      <c r="Q1063" t="inlineStr">
        <is>
          <t>서울 강남구 논현동 38-3번지</t>
        </is>
      </c>
      <c r="R1063" t="inlineStr">
        <is>
          <t>서울 강남구 학동로23길 18</t>
        </is>
      </c>
    </row>
    <row r="1064">
      <c r="A1064" t="inlineStr">
        <is>
          <t>NICE:JP8819</t>
        </is>
      </c>
      <c r="B1064" t="inlineStr">
        <is>
          <t>인터링크에스엔에스</t>
        </is>
      </c>
      <c r="C1064" t="inlineStr">
        <is>
          <t>예신규</t>
        </is>
      </c>
      <c r="D1064" t="inlineStr">
        <is>
          <t>02-6393-7712</t>
        </is>
      </c>
      <c r="E1064" t="inlineStr">
        <is>
          <t>02-6393-7719</t>
        </is>
      </c>
      <c r="G1064" t="inlineStr">
        <is>
          <t>4248101373</t>
        </is>
      </c>
      <c r="H1064" t="inlineStr">
        <is>
          <t>1101117131602</t>
        </is>
      </c>
      <c r="I1064" t="inlineStr">
        <is>
          <t>대상아님</t>
        </is>
      </c>
      <c r="J1064" t="inlineStr">
        <is>
          <t>일반법인</t>
        </is>
      </c>
      <c r="K1064" t="inlineStr">
        <is>
          <t>중소기업</t>
        </is>
      </c>
      <c r="L1064" t="inlineStr">
        <is>
          <t>외부감사대상</t>
        </is>
      </c>
      <c r="M1064" s="6" t="inlineStr">
        <is>
          <t>2019-06-07</t>
        </is>
      </c>
      <c r="N1064" t="inlineStr">
        <is>
          <t>KRI:10C1512900</t>
        </is>
      </c>
      <c r="O1064" t="inlineStr">
        <is>
          <t>가방 및 기타 보호용 케이스 제조업</t>
        </is>
      </c>
      <c r="P1064" t="inlineStr">
        <is>
          <t>군용 장구류,가방,군복,화섬직물 제조,도소매,무역</t>
        </is>
      </c>
      <c r="Q1064" t="inlineStr">
        <is>
          <t>서울 금천구 가산동 60-73번지 벽산디지털밸리5차 1202호</t>
        </is>
      </c>
      <c r="R1064" t="inlineStr">
        <is>
          <t>서울 금천구 벚꽃로 244, 1202호 (가산동,벽산디지털밸리5차)</t>
        </is>
      </c>
    </row>
    <row r="1065">
      <c r="A1065" t="inlineStr">
        <is>
          <t>NICE:JQ3199</t>
        </is>
      </c>
      <c r="B1065" t="inlineStr">
        <is>
          <t>하이라이트브랜즈</t>
        </is>
      </c>
      <c r="C1065" t="inlineStr">
        <is>
          <t>이준권</t>
        </is>
      </c>
      <c r="D1065" t="inlineStr">
        <is>
          <t>031-8060-0914</t>
        </is>
      </c>
      <c r="G1065" t="inlineStr">
        <is>
          <t>7888101239</t>
        </is>
      </c>
      <c r="H1065" t="inlineStr">
        <is>
          <t>1311110558692</t>
        </is>
      </c>
      <c r="I1065" t="inlineStr">
        <is>
          <t>대상아님</t>
        </is>
      </c>
      <c r="J1065" t="inlineStr">
        <is>
          <t>일반법인</t>
        </is>
      </c>
      <c r="K1065" t="inlineStr">
        <is>
          <t>중소기업</t>
        </is>
      </c>
      <c r="L1065" t="inlineStr">
        <is>
          <t>외부감사대상</t>
        </is>
      </c>
      <c r="M1065" s="6" t="inlineStr">
        <is>
          <t>2019-06-19</t>
        </is>
      </c>
      <c r="N1065" t="inlineStr">
        <is>
          <t>KRI:10G4641300</t>
        </is>
      </c>
      <c r="O1065" t="inlineStr">
        <is>
          <t>남녀용 겉옷 및 셔츠 도매업</t>
        </is>
      </c>
      <c r="P1065" t="inlineStr">
        <is>
          <t>의류 도소매,제조/건강보조식품,화장품,비누,방향제 도소매,전자상거래</t>
        </is>
      </c>
      <c r="Q1065" t="inlineStr">
        <is>
          <t>경기 성남시 분당구 삼평동 624번지 판교디지털센터 A동 801호</t>
        </is>
      </c>
      <c r="R1065" t="inlineStr">
        <is>
          <t>경기 성남시 분당구 판교로 242, A동 801호 (삼평동,판교디지털센터)</t>
        </is>
      </c>
    </row>
    <row r="1066" ht="19.2" customHeight="1" s="1">
      <c r="A1066" t="inlineStr">
        <is>
          <t>NICE:JQ3450</t>
        </is>
      </c>
      <c r="B1066" t="inlineStr">
        <is>
          <t>위너스로직스</t>
        </is>
      </c>
      <c r="C1066" t="inlineStr">
        <is>
          <t>공면석/공영훈</t>
        </is>
      </c>
      <c r="D1066" t="inlineStr">
        <is>
          <t>02-777-9290</t>
        </is>
      </c>
      <c r="E1066" t="inlineStr">
        <is>
          <t>02-775-6177</t>
        </is>
      </c>
      <c r="F1066" s="3">
        <f>HYPERLINK("http://www.winners-trans.co.kr", "http://www.winners-trans.co.kr")</f>
        <v/>
      </c>
      <c r="G1066" t="inlineStr">
        <is>
          <t>3298701556</t>
        </is>
      </c>
      <c r="H1066" t="inlineStr">
        <is>
          <t>1101117143988</t>
        </is>
      </c>
      <c r="I1066" t="inlineStr">
        <is>
          <t>대상아님</t>
        </is>
      </c>
      <c r="J1066" t="inlineStr">
        <is>
          <t>일반법인</t>
        </is>
      </c>
      <c r="K1066" t="inlineStr">
        <is>
          <t>중소기업</t>
        </is>
      </c>
      <c r="L1066" t="inlineStr">
        <is>
          <t>외부감사대상</t>
        </is>
      </c>
      <c r="M1066" s="6" t="inlineStr">
        <is>
          <t>2019-06-19</t>
        </is>
      </c>
      <c r="N1066" t="inlineStr">
        <is>
          <t>KRI:10H5299200</t>
        </is>
      </c>
      <c r="O1066" t="inlineStr">
        <is>
          <t>화물운송 중개, 대리 및 관련 서비스업</t>
        </is>
      </c>
      <c r="P1066" t="inlineStr">
        <is>
          <t>해상,항공운송 주선/섬유,의복,신발,가죽제품,목재,건축자재,연료 도소매</t>
        </is>
      </c>
      <c r="Q1066" t="inlineStr">
        <is>
          <t>서울 강남구 논현동 211-19번지 승석빌딩 지하1층</t>
        </is>
      </c>
      <c r="R1066" t="inlineStr">
        <is>
          <t>서울 강남구 언주로 645, 지하1층 (논현동,승석빌딩)</t>
        </is>
      </c>
    </row>
    <row r="1067" ht="19.2" customHeight="1" s="1">
      <c r="A1067" t="inlineStr">
        <is>
          <t>NICE:JQ4622</t>
        </is>
      </c>
      <c r="B1067" t="inlineStr">
        <is>
          <t>부스터스</t>
        </is>
      </c>
      <c r="C1067" t="inlineStr">
        <is>
          <t>최윤호</t>
        </is>
      </c>
      <c r="D1067" t="inlineStr">
        <is>
          <t>02-2038-7542</t>
        </is>
      </c>
      <c r="F1067" s="3">
        <f>HYPERLINK("http://www.boosters.kr", "http://www.boosters.kr")</f>
        <v/>
      </c>
      <c r="G1067" t="inlineStr">
        <is>
          <t>1828801269</t>
        </is>
      </c>
      <c r="H1067" t="inlineStr">
        <is>
          <t>1101117147336</t>
        </is>
      </c>
      <c r="I1067" t="inlineStr">
        <is>
          <t>대상아님</t>
        </is>
      </c>
      <c r="J1067" t="inlineStr">
        <is>
          <t>일반법인</t>
        </is>
      </c>
      <c r="K1067" t="inlineStr">
        <is>
          <t>중소기업</t>
        </is>
      </c>
      <c r="L1067" t="inlineStr">
        <is>
          <t>외부감사대상</t>
        </is>
      </c>
      <c r="M1067" s="6" t="inlineStr">
        <is>
          <t>2019-06-21</t>
        </is>
      </c>
      <c r="N1067" t="inlineStr">
        <is>
          <t>KRI:10G4791200</t>
        </is>
      </c>
      <c r="O1067" t="inlineStr">
        <is>
          <t>전자상거래 소매업</t>
        </is>
      </c>
      <c r="P1067" t="inlineStr">
        <is>
          <t>전자상거래/매니지먼트/편백제품,방향제 제조/광고 대행</t>
        </is>
      </c>
      <c r="Q1067" t="inlineStr">
        <is>
          <t>서울 강남구 역삼동 679번지 7층</t>
        </is>
      </c>
      <c r="R1067" t="inlineStr">
        <is>
          <t>서울 강남구 논현로 508, 7층</t>
        </is>
      </c>
    </row>
    <row r="1068" ht="19.2" customHeight="1" s="1">
      <c r="A1068" t="inlineStr">
        <is>
          <t>NICE:JQ6899</t>
        </is>
      </c>
      <c r="B1068" t="inlineStr">
        <is>
          <t>글로벌라이프사이언스솔루션즈코리아</t>
        </is>
      </c>
      <c r="C1068" t="inlineStr">
        <is>
          <t>김성필</t>
        </is>
      </c>
      <c r="D1068" t="inlineStr">
        <is>
          <t>02-3478-4584</t>
        </is>
      </c>
      <c r="E1068" t="inlineStr">
        <is>
          <t>02-540-8337</t>
        </is>
      </c>
      <c r="F1068" s="3">
        <f>HYPERLINK("http://www.cytivalifesciences.co.kr", "http://www.cytivalifesciences.co.kr")</f>
        <v/>
      </c>
      <c r="G1068" t="inlineStr">
        <is>
          <t>5268701481</t>
        </is>
      </c>
      <c r="H1068" t="inlineStr">
        <is>
          <t>1201140013164</t>
        </is>
      </c>
      <c r="I1068" t="inlineStr">
        <is>
          <t>대상아님</t>
        </is>
      </c>
      <c r="J1068" t="inlineStr">
        <is>
          <t>일반법인</t>
        </is>
      </c>
      <c r="K1068" t="inlineStr">
        <is>
          <t>중소기업</t>
        </is>
      </c>
      <c r="L1068" t="inlineStr">
        <is>
          <t>외부감사대상</t>
        </is>
      </c>
      <c r="M1068" s="6" t="inlineStr">
        <is>
          <t>2019-06-28</t>
        </is>
      </c>
      <c r="N1068" t="inlineStr">
        <is>
          <t>KRI:10G4659300</t>
        </is>
      </c>
      <c r="O1068" t="inlineStr">
        <is>
          <t>정밀기기 및 과학기기 도매업</t>
        </is>
      </c>
      <c r="P1068" t="inlineStr">
        <is>
          <t>과학기자재,진단시약 도소매,수리/오퍼/응용소프트웨어 개발,공급</t>
        </is>
      </c>
      <c r="Q1068" t="inlineStr">
        <is>
          <t>인천 연수구 송도동 203-3번지 2동 202호</t>
        </is>
      </c>
      <c r="R1068" t="inlineStr">
        <is>
          <t>인천 연수구 송도미래로 9, 2동 202호</t>
        </is>
      </c>
    </row>
    <row r="1069">
      <c r="A1069" t="inlineStr">
        <is>
          <t>NICE:JR5378</t>
        </is>
      </c>
      <c r="B1069" t="inlineStr">
        <is>
          <t>케이에스패션</t>
        </is>
      </c>
      <c r="C1069" t="inlineStr">
        <is>
          <t>김경배</t>
        </is>
      </c>
      <c r="D1069" t="inlineStr">
        <is>
          <t>02-550-1414</t>
        </is>
      </c>
      <c r="E1069" t="inlineStr">
        <is>
          <t>02-566-6867</t>
        </is>
      </c>
      <c r="G1069" t="inlineStr">
        <is>
          <t>4578701486</t>
        </is>
      </c>
      <c r="H1069" t="inlineStr">
        <is>
          <t>1101117174024</t>
        </is>
      </c>
      <c r="I1069" t="inlineStr">
        <is>
          <t>대상아님</t>
        </is>
      </c>
      <c r="J1069" t="inlineStr">
        <is>
          <t>일반법인</t>
        </is>
      </c>
      <c r="K1069" t="inlineStr">
        <is>
          <t>중소기업</t>
        </is>
      </c>
      <c r="L1069" t="inlineStr">
        <is>
          <t>외부감사대상</t>
        </is>
      </c>
      <c r="M1069" s="6" t="inlineStr">
        <is>
          <t>2019-07-17</t>
        </is>
      </c>
      <c r="N1069" t="inlineStr">
        <is>
          <t>KRI:10C1419900</t>
        </is>
      </c>
      <c r="O1069" t="inlineStr">
        <is>
          <t>그 외 기타 봉제의복 제조업</t>
        </is>
      </c>
      <c r="P1069" t="inlineStr">
        <is>
          <t>섬유.의류 제조,판매</t>
        </is>
      </c>
      <c r="Q1069" t="inlineStr">
        <is>
          <t>서울 강남구 대치동 960번지 1층</t>
        </is>
      </c>
      <c r="R1069" t="inlineStr">
        <is>
          <t>서울 강남구 삼성로 408, 1층</t>
        </is>
      </c>
    </row>
    <row r="1070" ht="19.2" customHeight="1" s="1">
      <c r="A1070" t="inlineStr">
        <is>
          <t>NICE:JR6338</t>
        </is>
      </c>
      <c r="B1070" t="inlineStr">
        <is>
          <t>우진미트</t>
        </is>
      </c>
      <c r="C1070" t="inlineStr">
        <is>
          <t>김홍수</t>
        </is>
      </c>
      <c r="D1070" t="inlineStr">
        <is>
          <t>031-287-4486</t>
        </is>
      </c>
      <c r="E1070" t="inlineStr">
        <is>
          <t>031-287-4490</t>
        </is>
      </c>
      <c r="F1070" s="3">
        <f>HYPERLINK("http://www.woojinmeat.com", "http://www.woojinmeat.com")</f>
        <v/>
      </c>
      <c r="G1070" t="inlineStr">
        <is>
          <t>5398101388</t>
        </is>
      </c>
      <c r="H1070" t="inlineStr">
        <is>
          <t>1311140010448</t>
        </is>
      </c>
      <c r="I1070" t="inlineStr">
        <is>
          <t>대상아님</t>
        </is>
      </c>
      <c r="J1070" t="inlineStr">
        <is>
          <t>일반법인</t>
        </is>
      </c>
      <c r="K1070" t="inlineStr">
        <is>
          <t>중소기업</t>
        </is>
      </c>
      <c r="L1070" t="inlineStr">
        <is>
          <t>외부감사대상</t>
        </is>
      </c>
      <c r="M1070" s="6" t="inlineStr">
        <is>
          <t>2019-07-19</t>
        </is>
      </c>
      <c r="N1070" t="inlineStr">
        <is>
          <t>KRI:10G4631300</t>
        </is>
      </c>
      <c r="O1070" t="inlineStr">
        <is>
          <t>육류 도매업</t>
        </is>
      </c>
      <c r="P1070" t="inlineStr">
        <is>
          <t>축산물,가공축산물 도소매/전자상거래/구매 대행</t>
        </is>
      </c>
      <c r="Q1070" t="inlineStr">
        <is>
          <t>경기 용인시 기흥구 고매동 365-20번지 201호</t>
        </is>
      </c>
      <c r="R1070" t="inlineStr">
        <is>
          <t>경기 용인시 기흥구 기흥단지로141번길 28, 201호</t>
        </is>
      </c>
    </row>
    <row r="1071">
      <c r="A1071" t="inlineStr">
        <is>
          <t>NICE:JR9728</t>
        </is>
      </c>
      <c r="B1071" t="inlineStr">
        <is>
          <t>조이웍스</t>
        </is>
      </c>
      <c r="C1071" t="inlineStr">
        <is>
          <t>이문기/이민우</t>
        </is>
      </c>
      <c r="D1071" t="inlineStr">
        <is>
          <t>070-4070-7943</t>
        </is>
      </c>
      <c r="E1071" t="inlineStr">
        <is>
          <t>02-6008-5696</t>
        </is>
      </c>
      <c r="G1071" t="inlineStr">
        <is>
          <t>7028701483</t>
        </is>
      </c>
      <c r="H1071" t="inlineStr">
        <is>
          <t>2841110213044</t>
        </is>
      </c>
      <c r="I1071" t="inlineStr">
        <is>
          <t>대상아님</t>
        </is>
      </c>
      <c r="J1071" t="inlineStr">
        <is>
          <t>일반법인</t>
        </is>
      </c>
      <c r="K1071" t="inlineStr">
        <is>
          <t>중소기업</t>
        </is>
      </c>
      <c r="L1071" t="inlineStr">
        <is>
          <t>외부감사대상</t>
        </is>
      </c>
      <c r="M1071" s="6" t="inlineStr">
        <is>
          <t>2019-07-30</t>
        </is>
      </c>
      <c r="N1071" t="inlineStr">
        <is>
          <t>KRI:10G4642000</t>
        </is>
      </c>
      <c r="O1071" t="inlineStr">
        <is>
          <t>신발 도매업</t>
        </is>
      </c>
      <c r="P1071" t="inlineStr">
        <is>
          <t>신발,잡화 도소매</t>
        </is>
      </c>
      <c r="Q1071" t="inlineStr">
        <is>
          <t>서울 성동구 성수동2가 281-20번지 성수에스케이브이원센터 2동 402호 ,403호,404호,405호</t>
        </is>
      </c>
      <c r="R1071" t="inlineStr">
        <is>
          <t>서울 성동구 광나루로8길 31, 2동 402호,403호,404호,405호 (성수동2가,성수에스케이브이원센터)</t>
        </is>
      </c>
    </row>
    <row r="1072">
      <c r="A1072" t="inlineStr">
        <is>
          <t>NICE:JS0773</t>
        </is>
      </c>
      <c r="B1072" t="inlineStr">
        <is>
          <t>인천계양효성피에프브이</t>
        </is>
      </c>
      <c r="C1072" t="inlineStr">
        <is>
          <t>김경수</t>
        </is>
      </c>
      <c r="D1072" t="inlineStr">
        <is>
          <t>062-607-5512</t>
        </is>
      </c>
      <c r="E1072" t="inlineStr">
        <is>
          <t>062-234-3104</t>
        </is>
      </c>
      <c r="G1072" t="inlineStr">
        <is>
          <t>2048701238</t>
        </is>
      </c>
      <c r="H1072" t="inlineStr">
        <is>
          <t>2001110569827</t>
        </is>
      </c>
      <c r="I1072" t="inlineStr">
        <is>
          <t>대상아님</t>
        </is>
      </c>
      <c r="J1072" t="inlineStr">
        <is>
          <t>일반법인</t>
        </is>
      </c>
      <c r="K1072" t="inlineStr">
        <is>
          <t>중견기업</t>
        </is>
      </c>
      <c r="L1072" t="inlineStr">
        <is>
          <t>외부감사대상</t>
        </is>
      </c>
      <c r="M1072" s="6" t="inlineStr">
        <is>
          <t>2019-08-01</t>
        </is>
      </c>
      <c r="N1072" t="inlineStr">
        <is>
          <t>KRI:10L6812100</t>
        </is>
      </c>
      <c r="O1072" t="inlineStr">
        <is>
          <t>주거용 건물 개발 및 공급업</t>
        </is>
      </c>
      <c r="P1072" t="inlineStr">
        <is>
          <t>주택신축분양/부동산 개발,공급,매매,임대</t>
        </is>
      </c>
      <c r="Q1072" t="inlineStr">
        <is>
          <t>광주 동구 수기동 23-2번지 제일오피스텔 102호</t>
        </is>
      </c>
      <c r="R1072" t="inlineStr">
        <is>
          <t>광주 동구 천변우로 339, 102호 (수기동,제일오피스텔)</t>
        </is>
      </c>
    </row>
    <row r="1073">
      <c r="A1073" t="inlineStr">
        <is>
          <t>NICE:JS5196</t>
        </is>
      </c>
      <c r="B1073" t="inlineStr">
        <is>
          <t>파메어스</t>
        </is>
      </c>
      <c r="C1073" t="inlineStr">
        <is>
          <t>장윤성</t>
        </is>
      </c>
      <c r="G1073" t="inlineStr">
        <is>
          <t>5848101409</t>
        </is>
      </c>
      <c r="H1073" t="inlineStr">
        <is>
          <t>1101117203592</t>
        </is>
      </c>
      <c r="I1073" t="inlineStr">
        <is>
          <t>대상아님</t>
        </is>
      </c>
      <c r="J1073" t="inlineStr">
        <is>
          <t>일반법인</t>
        </is>
      </c>
      <c r="K1073" t="inlineStr">
        <is>
          <t>중소기업</t>
        </is>
      </c>
      <c r="L1073" t="inlineStr">
        <is>
          <t>외부감사대상</t>
        </is>
      </c>
      <c r="M1073" s="6" t="inlineStr">
        <is>
          <t>2019-08-14</t>
        </is>
      </c>
      <c r="N1073" t="inlineStr">
        <is>
          <t>KRI:10C2042300</t>
        </is>
      </c>
      <c r="O1073" t="inlineStr">
        <is>
          <t>화장품 제조업</t>
        </is>
      </c>
      <c r="P1073" t="inlineStr">
        <is>
          <t>화장품 제조,도소매,수출,전자상거래,방문판매/소프트웨어자문,개발,공급</t>
        </is>
      </c>
      <c r="Q1073" t="inlineStr">
        <is>
          <t>서울 용산구 한강로3가 98번지 센트럴파크타워 20층</t>
        </is>
      </c>
      <c r="R1073" t="inlineStr">
        <is>
          <t>서울 용산구 서빙고로 17, 20층 (한강로3가,센트럴파크타워)</t>
        </is>
      </c>
    </row>
    <row r="1074" ht="19.2" customHeight="1" s="1">
      <c r="A1074" t="inlineStr">
        <is>
          <t>NICE:JT1796</t>
        </is>
      </c>
      <c r="B1074" t="inlineStr">
        <is>
          <t>비올메디컬</t>
        </is>
      </c>
      <c r="C1074" t="inlineStr">
        <is>
          <t>이은천</t>
        </is>
      </c>
      <c r="D1074" t="inlineStr">
        <is>
          <t>031-8017-7893</t>
        </is>
      </c>
      <c r="E1074" t="inlineStr">
        <is>
          <t>031-8016-7894</t>
        </is>
      </c>
      <c r="F1074" s="3">
        <f>HYPERLINK("http://www.viol.co.kr", "http://www.viol.co.kr")</f>
        <v/>
      </c>
      <c r="G1074" t="inlineStr">
        <is>
          <t>1268682517</t>
        </is>
      </c>
      <c r="H1074" t="inlineStr">
        <is>
          <t>1101117221677</t>
        </is>
      </c>
      <c r="I1074" t="inlineStr">
        <is>
          <t>대상아님</t>
        </is>
      </c>
      <c r="J1074" t="inlineStr">
        <is>
          <t>일반법인</t>
        </is>
      </c>
      <c r="K1074" t="inlineStr">
        <is>
          <t>중소기업</t>
        </is>
      </c>
      <c r="L1074" t="inlineStr">
        <is>
          <t>외부감사대상</t>
        </is>
      </c>
      <c r="M1074" s="6" t="inlineStr">
        <is>
          <t>2019-09-02</t>
        </is>
      </c>
      <c r="N1074" t="inlineStr">
        <is>
          <t>KRI:10C2719900</t>
        </is>
      </c>
      <c r="O1074" t="inlineStr">
        <is>
          <t>그 외 기타 의료용 기기 제조업</t>
        </is>
      </c>
      <c r="P1074" t="inlineStr">
        <is>
          <t>의료용기기 제조</t>
        </is>
      </c>
      <c r="Q1074" t="inlineStr">
        <is>
          <t>경기 성남시 분당구 야탑동 145번지 분당테크노파크 C동 808호.809호</t>
        </is>
      </c>
      <c r="R1074" t="inlineStr">
        <is>
          <t>경기 성남시 분당구 판교로 744, C동 808호.809호 (야탑동,분당테크노파크)</t>
        </is>
      </c>
    </row>
    <row r="1075">
      <c r="A1075" t="inlineStr">
        <is>
          <t>NICE:JU6855</t>
        </is>
      </c>
      <c r="B1075" t="inlineStr">
        <is>
          <t>제이알제26호위탁관리부동산투자회사</t>
        </is>
      </c>
      <c r="C1075" t="inlineStr">
        <is>
          <t>조건호</t>
        </is>
      </c>
      <c r="E1075" t="inlineStr">
        <is>
          <t>02-2008-7058</t>
        </is>
      </c>
      <c r="G1075" t="inlineStr">
        <is>
          <t>2588601505</t>
        </is>
      </c>
      <c r="H1075" t="inlineStr">
        <is>
          <t>1101117263695</t>
        </is>
      </c>
      <c r="I1075" t="inlineStr">
        <is>
          <t>대상아님</t>
        </is>
      </c>
      <c r="J1075" t="inlineStr">
        <is>
          <t>일반법인</t>
        </is>
      </c>
      <c r="K1075" t="inlineStr">
        <is>
          <t>중소기업</t>
        </is>
      </c>
      <c r="L1075" t="inlineStr">
        <is>
          <t>외부감사대상</t>
        </is>
      </c>
      <c r="M1075" s="6" t="inlineStr">
        <is>
          <t>2019-10-18</t>
        </is>
      </c>
      <c r="N1075" t="inlineStr">
        <is>
          <t>KRI:10L6811200</t>
        </is>
      </c>
      <c r="O1075" t="inlineStr">
        <is>
          <t>비주거용 건물 임대업</t>
        </is>
      </c>
      <c r="P1075" t="inlineStr">
        <is>
          <t>부동산 임대,개발,취득,관리,운영</t>
        </is>
      </c>
      <c r="Q1075" t="inlineStr">
        <is>
          <t>서울 중구 을지로2가 203번지 파인에비뉴 B동 21층</t>
        </is>
      </c>
      <c r="R1075" t="inlineStr">
        <is>
          <t>서울 중구 을지로 100, B동 21층 (을지로2가,파인에비뉴)</t>
        </is>
      </c>
    </row>
    <row r="1076">
      <c r="A1076" t="inlineStr">
        <is>
          <t>NICE:JU9500</t>
        </is>
      </c>
      <c r="B1076" t="inlineStr">
        <is>
          <t>지멘스에너지</t>
        </is>
      </c>
      <c r="C1076" t="inlineStr">
        <is>
          <t>토르비에른레이프포르스</t>
        </is>
      </c>
      <c r="D1076" t="inlineStr">
        <is>
          <t>02-6240-6400</t>
        </is>
      </c>
      <c r="E1076" t="inlineStr">
        <is>
          <t>02-6240-6451</t>
        </is>
      </c>
      <c r="G1076" t="inlineStr">
        <is>
          <t>4258701820</t>
        </is>
      </c>
      <c r="H1076" t="inlineStr">
        <is>
          <t>1101140250099</t>
        </is>
      </c>
      <c r="I1076" t="inlineStr">
        <is>
          <t>대상아님</t>
        </is>
      </c>
      <c r="J1076" t="inlineStr">
        <is>
          <t>일반법인</t>
        </is>
      </c>
      <c r="K1076" t="inlineStr">
        <is>
          <t>중소기업</t>
        </is>
      </c>
      <c r="L1076" t="inlineStr">
        <is>
          <t>외부감사대상</t>
        </is>
      </c>
      <c r="M1076" s="6" t="inlineStr">
        <is>
          <t>2019-10-25</t>
        </is>
      </c>
      <c r="N1076" t="inlineStr">
        <is>
          <t>KRI:10M7212900</t>
        </is>
      </c>
      <c r="O1076" t="inlineStr">
        <is>
          <t>기타 엔지니어링 서비스업</t>
        </is>
      </c>
      <c r="P1076" t="inlineStr">
        <is>
          <t>해외 엔지니어링/산업생산시설종합건설공사,일반전기공사/기계장비,물품 도소매</t>
        </is>
      </c>
      <c r="Q1076" t="inlineStr">
        <is>
          <t>서울 종로구 청진동 246번지</t>
        </is>
      </c>
      <c r="R1076" t="inlineStr">
        <is>
          <t>서울 종로구 종로3길 17</t>
        </is>
      </c>
    </row>
    <row r="1077" ht="19.2" customHeight="1" s="1">
      <c r="A1077" t="inlineStr">
        <is>
          <t>NICE:JV2342</t>
        </is>
      </c>
      <c r="B1077" t="inlineStr">
        <is>
          <t>씨제이올리브영</t>
        </is>
      </c>
      <c r="C1077" t="inlineStr">
        <is>
          <t>이선정</t>
        </is>
      </c>
      <c r="D1077" t="inlineStr">
        <is>
          <t>02-6970-7935</t>
        </is>
      </c>
      <c r="E1077" t="inlineStr">
        <is>
          <t>02-726-8611</t>
        </is>
      </c>
      <c r="F1077" s="3">
        <f>HYPERLINK("http://www.oliveyoung.co.kr", "http://www.oliveyoung.co.kr")</f>
        <v/>
      </c>
      <c r="G1077" t="inlineStr">
        <is>
          <t>8098101574</t>
        </is>
      </c>
      <c r="H1077" t="inlineStr">
        <is>
          <t>1101117283974</t>
        </is>
      </c>
      <c r="I1077" t="inlineStr">
        <is>
          <t>대상아님</t>
        </is>
      </c>
      <c r="J1077" t="inlineStr">
        <is>
          <t>일반법인</t>
        </is>
      </c>
      <c r="K1077" t="inlineStr">
        <is>
          <t>대기업</t>
        </is>
      </c>
      <c r="L1077" t="inlineStr">
        <is>
          <t>외부감사대상</t>
        </is>
      </c>
      <c r="M1077" s="6" t="inlineStr">
        <is>
          <t>2019-11-07</t>
        </is>
      </c>
      <c r="N1077" t="inlineStr">
        <is>
          <t>KRI:10G4644300</t>
        </is>
      </c>
      <c r="O1077" t="inlineStr">
        <is>
          <t>화장품 및 화장용품 도매업</t>
        </is>
      </c>
      <c r="P1077" t="inlineStr">
        <is>
          <t>화장품,방향제 도소매,체인화편의점/부동산 임대</t>
        </is>
      </c>
      <c r="Q1077" t="inlineStr">
        <is>
          <t>서울 용산구 동자동 45번지 24층</t>
        </is>
      </c>
      <c r="R1077" t="inlineStr">
        <is>
          <t>서울 용산구 한강대로 372, 24층</t>
        </is>
      </c>
    </row>
    <row r="1078" ht="19.2" customHeight="1" s="1">
      <c r="A1078" t="inlineStr">
        <is>
          <t>NICE:JV3465</t>
        </is>
      </c>
      <c r="B1078" t="inlineStr">
        <is>
          <t>채운패키지</t>
        </is>
      </c>
      <c r="C1078" t="inlineStr">
        <is>
          <t>임재민</t>
        </is>
      </c>
      <c r="D1078" t="inlineStr">
        <is>
          <t>031-5183-4626</t>
        </is>
      </c>
      <c r="E1078" t="inlineStr">
        <is>
          <t>031-5183-4627</t>
        </is>
      </c>
      <c r="F1078" s="3">
        <f>HYPERLINK("http://www.chaeun.co.kr", "http://www.chaeun.co.kr")</f>
        <v/>
      </c>
      <c r="G1078" t="inlineStr">
        <is>
          <t>3568701655</t>
        </is>
      </c>
      <c r="H1078" t="inlineStr">
        <is>
          <t>1346110101761</t>
        </is>
      </c>
      <c r="I1078" t="inlineStr">
        <is>
          <t>대상아님</t>
        </is>
      </c>
      <c r="J1078" t="inlineStr">
        <is>
          <t>일반법인</t>
        </is>
      </c>
      <c r="K1078" t="inlineStr">
        <is>
          <t>중소기업</t>
        </is>
      </c>
      <c r="L1078" t="inlineStr">
        <is>
          <t>외부감사대상</t>
        </is>
      </c>
      <c r="M1078" s="6" t="inlineStr">
        <is>
          <t>2019-11-07</t>
        </is>
      </c>
      <c r="N1078" t="inlineStr">
        <is>
          <t>KRI:10C2319100</t>
        </is>
      </c>
      <c r="O1078" t="inlineStr">
        <is>
          <t>가정용 유리제품 제조업</t>
        </is>
      </c>
      <c r="P1078" t="inlineStr">
        <is>
          <t>화장품부자재(유리용기) 제조,도소매/식품위생용종이상자,용기 제조/상품종합도매,무역</t>
        </is>
      </c>
      <c r="Q1078" t="inlineStr">
        <is>
          <t>경기 화성시 동탄구 영천동 832-2번지 금강펜테리움아이티타워 201호</t>
        </is>
      </c>
      <c r="R1078" t="inlineStr">
        <is>
          <t>경기 화성시 동탄구 동탄기흥로 557, 201호 (영천동,금강펜테리움아이티타워)</t>
        </is>
      </c>
    </row>
    <row r="1079" ht="19.2" customHeight="1" s="1">
      <c r="A1079" t="inlineStr">
        <is>
          <t>NICE:JV6319</t>
        </is>
      </c>
      <c r="B1079" t="inlineStr">
        <is>
          <t>명동교자</t>
        </is>
      </c>
      <c r="C1079" t="inlineStr">
        <is>
          <t>박제임스휘준</t>
        </is>
      </c>
      <c r="D1079" t="inlineStr">
        <is>
          <t>02-776-5348</t>
        </is>
      </c>
      <c r="E1079" t="inlineStr">
        <is>
          <t>02-776-7384</t>
        </is>
      </c>
      <c r="F1079" s="3">
        <f>HYPERLINK("http://www.mdkj.co.kr", "http://www.mdkj.co.kr")</f>
        <v/>
      </c>
      <c r="G1079" t="inlineStr">
        <is>
          <t>4158158192</t>
        </is>
      </c>
      <c r="H1079" t="inlineStr">
        <is>
          <t>1101117290424</t>
        </is>
      </c>
      <c r="I1079" t="inlineStr">
        <is>
          <t>대상아님</t>
        </is>
      </c>
      <c r="J1079" t="inlineStr">
        <is>
          <t>일반법인</t>
        </is>
      </c>
      <c r="K1079" t="inlineStr">
        <is>
          <t>중소기업</t>
        </is>
      </c>
      <c r="L1079" t="inlineStr">
        <is>
          <t>외부감사대상</t>
        </is>
      </c>
      <c r="M1079" s="6" t="inlineStr">
        <is>
          <t>2019-11-13</t>
        </is>
      </c>
      <c r="N1079" t="inlineStr">
        <is>
          <t>KRI:10I5611200</t>
        </is>
      </c>
      <c r="O1079" t="inlineStr">
        <is>
          <t>한식 면요리 전문점</t>
        </is>
      </c>
      <c r="P1079" t="inlineStr">
        <is>
          <t>음식점</t>
        </is>
      </c>
      <c r="Q1079" t="inlineStr">
        <is>
          <t>서울 중구 명동2가 25-2번지</t>
        </is>
      </c>
      <c r="R1079" t="inlineStr">
        <is>
          <t>서울 중구 명동10길 29</t>
        </is>
      </c>
    </row>
    <row r="1080">
      <c r="A1080" t="inlineStr">
        <is>
          <t>NICE:JX0597</t>
        </is>
      </c>
      <c r="B1080" t="inlineStr">
        <is>
          <t>노이펠리체</t>
        </is>
      </c>
      <c r="C1080" t="inlineStr">
        <is>
          <t>윤경선</t>
        </is>
      </c>
      <c r="D1080" t="inlineStr">
        <is>
          <t>02-501-901</t>
        </is>
      </c>
      <c r="G1080" t="inlineStr">
        <is>
          <t>3398601920</t>
        </is>
      </c>
      <c r="H1080" t="inlineStr">
        <is>
          <t>1101117322061</t>
        </is>
      </c>
      <c r="I1080" t="inlineStr">
        <is>
          <t>대상아님</t>
        </is>
      </c>
      <c r="J1080" t="inlineStr">
        <is>
          <t>일반법인</t>
        </is>
      </c>
      <c r="K1080" t="inlineStr">
        <is>
          <t>중소기업</t>
        </is>
      </c>
      <c r="L1080" t="inlineStr">
        <is>
          <t>외부감사대상</t>
        </is>
      </c>
      <c r="M1080" s="6" t="inlineStr">
        <is>
          <t>2019-12-12</t>
        </is>
      </c>
      <c r="N1080" t="inlineStr">
        <is>
          <t>KRI:10L6812100</t>
        </is>
      </c>
      <c r="O1080" t="inlineStr">
        <is>
          <t>주거용 건물 개발 및 공급업</t>
        </is>
      </c>
      <c r="P1080" t="inlineStr">
        <is>
          <t>부동산 개발,공급,시행</t>
        </is>
      </c>
      <c r="Q1080" t="inlineStr">
        <is>
          <t>서울 강남구 대치동 890-60번지 에이치타워 401호</t>
        </is>
      </c>
      <c r="R1080" t="inlineStr">
        <is>
          <t>서울 강남구 테헤란로70길 12, 401호 (대치동,에이치타워)</t>
        </is>
      </c>
    </row>
    <row r="1081" ht="19.2" customHeight="1" s="1">
      <c r="A1081" t="inlineStr">
        <is>
          <t>NICE:JX8235</t>
        </is>
      </c>
      <c r="B1081" t="inlineStr">
        <is>
          <t>하마마츠포토닉스코리아</t>
        </is>
      </c>
      <c r="C1081" t="inlineStr">
        <is>
          <t>유재형</t>
        </is>
      </c>
      <c r="D1081" t="inlineStr">
        <is>
          <t>02-2054-8202</t>
        </is>
      </c>
      <c r="E1081" t="inlineStr">
        <is>
          <t>02-2054-8207</t>
        </is>
      </c>
      <c r="F1081" s="3">
        <f>HYPERLINK("http://www.hpkr.co.kr", "http://www.hpkr.co.kr")</f>
        <v/>
      </c>
      <c r="G1081" t="inlineStr">
        <is>
          <t>1848601688</t>
        </is>
      </c>
      <c r="H1081" t="inlineStr">
        <is>
          <t>1101117340500</t>
        </is>
      </c>
      <c r="I1081" t="inlineStr">
        <is>
          <t>대상아님</t>
        </is>
      </c>
      <c r="J1081" t="inlineStr">
        <is>
          <t>일반법인</t>
        </is>
      </c>
      <c r="K1081" t="inlineStr">
        <is>
          <t>중견기업</t>
        </is>
      </c>
      <c r="L1081" t="inlineStr">
        <is>
          <t>외부감사대상</t>
        </is>
      </c>
      <c r="M1081" s="6" t="inlineStr">
        <is>
          <t>2019-12-30</t>
        </is>
      </c>
      <c r="N1081" t="inlineStr">
        <is>
          <t>KRI:10C2927100</t>
        </is>
      </c>
      <c r="O1081" t="inlineStr">
        <is>
          <t>반도체 제조용 기계 제조업</t>
        </is>
      </c>
      <c r="P1081" t="inlineStr">
        <is>
          <t>반도체,디스플레이 검사장비 제조,판매</t>
        </is>
      </c>
      <c r="Q1081" t="inlineStr">
        <is>
          <t>서울 송파구 문정동 651번지 문정역테라타워 A동 912호</t>
        </is>
      </c>
      <c r="R1081" t="inlineStr">
        <is>
          <t>서울 송파구 송파대로 167, A동 912호 (문정동,문정역테라타워)</t>
        </is>
      </c>
    </row>
    <row r="1082" ht="19.2" customHeight="1" s="1">
      <c r="A1082" t="inlineStr">
        <is>
          <t>NICE:JZ2711</t>
        </is>
      </c>
      <c r="B1082" t="inlineStr">
        <is>
          <t>뷰티셀렉션</t>
        </is>
      </c>
      <c r="C1082" t="inlineStr">
        <is>
          <t>박재빈</t>
        </is>
      </c>
      <c r="D1082" t="inlineStr">
        <is>
          <t>02-1800-5792</t>
        </is>
      </c>
      <c r="E1082" t="inlineStr">
        <is>
          <t>070-4009-2701</t>
        </is>
      </c>
      <c r="F1082" s="3">
        <f>HYPERLINK("http://www.beautyselection.co.kr", "http://www.beautyselection.co.kr")</f>
        <v/>
      </c>
      <c r="G1082" t="inlineStr">
        <is>
          <t>5518101715</t>
        </is>
      </c>
      <c r="H1082" t="inlineStr">
        <is>
          <t>1101117371612</t>
        </is>
      </c>
      <c r="I1082" t="inlineStr">
        <is>
          <t>대상아님</t>
        </is>
      </c>
      <c r="J1082" t="inlineStr">
        <is>
          <t>일반법인</t>
        </is>
      </c>
      <c r="K1082" t="inlineStr">
        <is>
          <t>중소기업</t>
        </is>
      </c>
      <c r="L1082" t="inlineStr">
        <is>
          <t>외부감사대상</t>
        </is>
      </c>
      <c r="M1082" s="6" t="inlineStr">
        <is>
          <t>2020-01-29</t>
        </is>
      </c>
      <c r="N1082" t="inlineStr">
        <is>
          <t>KRI:10G4610700</t>
        </is>
      </c>
      <c r="O1082" t="inlineStr">
        <is>
          <t>그 외 기타 특정 상품 중개업</t>
        </is>
      </c>
      <c r="P1082" t="inlineStr">
        <is>
          <t>화장품 중개,제조/건강기능식품,의약품,의료용품 도소매,전자상거래/커피 전문점</t>
        </is>
      </c>
      <c r="Q1082" t="inlineStr">
        <is>
          <t>서울 강남구 청담동 59-10번지</t>
        </is>
      </c>
      <c r="R1082" t="inlineStr">
        <is>
          <t>서울 강남구 도산대로100길 22-5</t>
        </is>
      </c>
    </row>
    <row r="1083" ht="19.2" customHeight="1" s="1">
      <c r="A1083" t="inlineStr">
        <is>
          <t>NICE:L00379</t>
        </is>
      </c>
      <c r="B1083" t="inlineStr">
        <is>
          <t>에이플러스알에프</t>
        </is>
      </c>
      <c r="C1083" t="inlineStr">
        <is>
          <t>이제열</t>
        </is>
      </c>
      <c r="D1083" t="inlineStr">
        <is>
          <t>032-471-9990</t>
        </is>
      </c>
      <c r="E1083" t="inlineStr">
        <is>
          <t>032-471-9991</t>
        </is>
      </c>
      <c r="F1083" s="3">
        <f>HYPERLINK("http://www.aplusrf.com", "http://www.aplusrf.com")</f>
        <v/>
      </c>
      <c r="G1083" t="inlineStr">
        <is>
          <t>1318653391</t>
        </is>
      </c>
      <c r="H1083" t="inlineStr">
        <is>
          <t>1201110678815</t>
        </is>
      </c>
      <c r="I1083" t="inlineStr">
        <is>
          <t>대상아님</t>
        </is>
      </c>
      <c r="J1083" t="inlineStr">
        <is>
          <t>일반법인</t>
        </is>
      </c>
      <c r="K1083" t="inlineStr">
        <is>
          <t>중소기업</t>
        </is>
      </c>
      <c r="L1083" t="inlineStr">
        <is>
          <t>외부감사대상</t>
        </is>
      </c>
      <c r="M1083" s="6" t="inlineStr">
        <is>
          <t>2010-08-25</t>
        </is>
      </c>
      <c r="N1083" t="inlineStr">
        <is>
          <t>KRI:10C2642900</t>
        </is>
      </c>
      <c r="O1083" t="inlineStr">
        <is>
          <t>기타 무선 통신장비 제조업</t>
        </is>
      </c>
      <c r="P1083" t="inlineStr">
        <is>
          <t>통신기기,부품 제조,도소매/무역</t>
        </is>
      </c>
      <c r="Q1083" t="inlineStr">
        <is>
          <t>인천 남동구 고잔동 736-4번지 엘아이센터 5층 504호</t>
        </is>
      </c>
      <c r="R1083" t="inlineStr">
        <is>
          <t>인천 남동구 호구포로 50, 5층 504호 (고잔동,엘아이센터)</t>
        </is>
      </c>
    </row>
    <row r="1084" ht="19.2" customHeight="1" s="1">
      <c r="A1084" t="inlineStr">
        <is>
          <t>NICE:L00776</t>
        </is>
      </c>
      <c r="B1084" t="inlineStr">
        <is>
          <t>유모멘트</t>
        </is>
      </c>
      <c r="C1084" t="inlineStr">
        <is>
          <t>김수연</t>
        </is>
      </c>
      <c r="D1084" t="inlineStr">
        <is>
          <t>02-597-2895</t>
        </is>
      </c>
      <c r="E1084" t="inlineStr">
        <is>
          <t>02-522-2895</t>
        </is>
      </c>
      <c r="F1084" s="3">
        <f>HYPERLINK("https://www.apelgamo.com/home/index", "https://www.apelgamo.com/home/index")</f>
        <v/>
      </c>
      <c r="G1084" t="inlineStr">
        <is>
          <t>1068702253</t>
        </is>
      </c>
      <c r="H1084" t="inlineStr">
        <is>
          <t>1101117236634</t>
        </is>
      </c>
      <c r="I1084" t="inlineStr">
        <is>
          <t>대상아님</t>
        </is>
      </c>
      <c r="J1084" t="inlineStr">
        <is>
          <t>일반법인</t>
        </is>
      </c>
      <c r="K1084" t="inlineStr">
        <is>
          <t>중소기업</t>
        </is>
      </c>
      <c r="L1084" t="inlineStr">
        <is>
          <t>외부감사대상</t>
        </is>
      </c>
      <c r="M1084" s="6" t="inlineStr">
        <is>
          <t>2013-10-11</t>
        </is>
      </c>
      <c r="N1084" t="inlineStr">
        <is>
          <t>KRI:10S9699100</t>
        </is>
      </c>
      <c r="O1084" t="inlineStr">
        <is>
          <t>예식장업</t>
        </is>
      </c>
      <c r="P1084" t="inlineStr">
        <is>
          <t>예식장/일반음식점</t>
        </is>
      </c>
      <c r="Q1084" t="inlineStr">
        <is>
          <t>서울 강남구 청담동 85-17번지 3층, 4층, 5층</t>
        </is>
      </c>
      <c r="R1084" t="inlineStr">
        <is>
          <t>서울 강남구 선릉로 816, 3층, 4층, 5층</t>
        </is>
      </c>
    </row>
    <row r="1085">
      <c r="A1085" t="inlineStr">
        <is>
          <t>NICE:L02619</t>
        </is>
      </c>
      <c r="B1085" t="inlineStr">
        <is>
          <t>두동도시개발</t>
        </is>
      </c>
      <c r="C1085" t="inlineStr">
        <is>
          <t>최규식/최영식</t>
        </is>
      </c>
      <c r="D1085" t="inlineStr">
        <is>
          <t>051-959-7771</t>
        </is>
      </c>
      <c r="E1085" t="inlineStr">
        <is>
          <t>051-959-7776</t>
        </is>
      </c>
      <c r="G1085" t="inlineStr">
        <is>
          <t>6068650016</t>
        </is>
      </c>
      <c r="H1085" t="inlineStr">
        <is>
          <t>1801110882406</t>
        </is>
      </c>
      <c r="I1085" t="inlineStr">
        <is>
          <t>대상아님</t>
        </is>
      </c>
      <c r="J1085" t="inlineStr">
        <is>
          <t>일반법인</t>
        </is>
      </c>
      <c r="K1085" t="inlineStr">
        <is>
          <t>중소기업</t>
        </is>
      </c>
      <c r="L1085" t="inlineStr">
        <is>
          <t>외부감사대상</t>
        </is>
      </c>
      <c r="M1085" s="6" t="inlineStr">
        <is>
          <t>2013-10-21</t>
        </is>
      </c>
      <c r="N1085" t="inlineStr">
        <is>
          <t>KRI:10L6812900</t>
        </is>
      </c>
      <c r="O1085" t="inlineStr">
        <is>
          <t>기타 부동산 개발 및 공급업</t>
        </is>
      </c>
      <c r="P1085" t="inlineStr">
        <is>
          <t>부동산개발시행</t>
        </is>
      </c>
      <c r="Q1085" t="inlineStr">
        <is>
          <t>부산 강서구 송정동 1709-2번지</t>
        </is>
      </c>
      <c r="R1085" t="inlineStr">
        <is>
          <t>부산 강서구 녹산산단232로 38-26</t>
        </is>
      </c>
    </row>
    <row r="1086" ht="19.2" customHeight="1" s="1">
      <c r="A1086" t="inlineStr">
        <is>
          <t>NICE:L05681</t>
        </is>
      </c>
      <c r="B1086" t="inlineStr">
        <is>
          <t>헤라몬드</t>
        </is>
      </c>
      <c r="C1086" t="inlineStr">
        <is>
          <t>조근수</t>
        </is>
      </c>
      <c r="D1086" t="inlineStr">
        <is>
          <t>02-2271-2741</t>
        </is>
      </c>
      <c r="E1086" t="inlineStr">
        <is>
          <t>02-2268-5759</t>
        </is>
      </c>
      <c r="F1086" s="3">
        <f>HYPERLINK("http://www.heramond.com", "http://www.heramond.com")</f>
        <v/>
      </c>
      <c r="G1086" t="inlineStr">
        <is>
          <t>1018684802</t>
        </is>
      </c>
      <c r="H1086" t="inlineStr">
        <is>
          <t>1101115258747</t>
        </is>
      </c>
      <c r="I1086" t="inlineStr">
        <is>
          <t>대상아님</t>
        </is>
      </c>
      <c r="J1086" t="inlineStr">
        <is>
          <t>일반법인</t>
        </is>
      </c>
      <c r="K1086" t="inlineStr">
        <is>
          <t>중소기업</t>
        </is>
      </c>
      <c r="L1086" t="inlineStr">
        <is>
          <t>외부감사대상</t>
        </is>
      </c>
      <c r="M1086" s="6" t="inlineStr">
        <is>
          <t>2013-10-31</t>
        </is>
      </c>
      <c r="N1086" t="inlineStr">
        <is>
          <t>KRI:10C3311000</t>
        </is>
      </c>
      <c r="O1086" t="inlineStr">
        <is>
          <t>귀금속 및 관련제품 제조업</t>
        </is>
      </c>
      <c r="P1086" t="inlineStr">
        <is>
          <t>귀금속,보석,악세사리 제조,도소매/부동산 임대</t>
        </is>
      </c>
      <c r="Q1086" t="inlineStr">
        <is>
          <t>서울 종로구 종로3가 117-1번지</t>
        </is>
      </c>
      <c r="R1086" t="inlineStr">
        <is>
          <t>서울 종로구 종로 118-2</t>
        </is>
      </c>
    </row>
    <row r="1087">
      <c r="A1087" t="inlineStr">
        <is>
          <t>NICE:L10259</t>
        </is>
      </c>
      <c r="B1087" t="inlineStr">
        <is>
          <t>비에스쉬핑</t>
        </is>
      </c>
      <c r="C1087" t="inlineStr">
        <is>
          <t>박지영</t>
        </is>
      </c>
      <c r="D1087" t="inlineStr">
        <is>
          <t>061-664-5110</t>
        </is>
      </c>
      <c r="E1087" t="inlineStr">
        <is>
          <t>061-683-0098</t>
        </is>
      </c>
      <c r="G1087" t="inlineStr">
        <is>
          <t>4178147556</t>
        </is>
      </c>
      <c r="H1087" t="inlineStr">
        <is>
          <t>2062110050555</t>
        </is>
      </c>
      <c r="I1087" t="inlineStr">
        <is>
          <t>대상아님</t>
        </is>
      </c>
      <c r="J1087" t="inlineStr">
        <is>
          <t>일반법인</t>
        </is>
      </c>
      <c r="K1087" t="inlineStr">
        <is>
          <t>중견기업</t>
        </is>
      </c>
      <c r="L1087" t="inlineStr">
        <is>
          <t>외부감사대상</t>
        </is>
      </c>
      <c r="M1087" s="6" t="inlineStr">
        <is>
          <t>2013-11-19</t>
        </is>
      </c>
      <c r="N1087" t="inlineStr">
        <is>
          <t>KRI:10H5011200</t>
        </is>
      </c>
      <c r="O1087" t="inlineStr">
        <is>
          <t>외항 화물 운송업</t>
        </is>
      </c>
      <c r="P1087" t="inlineStr">
        <is>
          <t>해상 운송,무역</t>
        </is>
      </c>
      <c r="Q1087" t="inlineStr">
        <is>
          <t>전남 여수시 주삼동 771-9번지 2층</t>
        </is>
      </c>
      <c r="R1087" t="inlineStr">
        <is>
          <t>전남 여수시 주동로 122, 2층</t>
        </is>
      </c>
    </row>
    <row r="1088" ht="19.2" customHeight="1" s="1">
      <c r="A1088" t="inlineStr">
        <is>
          <t>NICE:L28100</t>
        </is>
      </c>
      <c r="B1088" t="inlineStr">
        <is>
          <t>큐에스원</t>
        </is>
      </c>
      <c r="C1088" t="inlineStr">
        <is>
          <t>오영달</t>
        </is>
      </c>
      <c r="D1088" t="inlineStr">
        <is>
          <t>02-3469-6300</t>
        </is>
      </c>
      <c r="E1088" t="inlineStr">
        <is>
          <t>02-3469-6309</t>
        </is>
      </c>
      <c r="F1088" s="3">
        <f>HYPERLINK("http://www.qsone.co.kr", "http://www.qsone.co.kr")</f>
        <v/>
      </c>
      <c r="G1088" t="inlineStr">
        <is>
          <t>2208869692</t>
        </is>
      </c>
      <c r="H1088" t="inlineStr">
        <is>
          <t>1101115284479</t>
        </is>
      </c>
      <c r="I1088" t="inlineStr">
        <is>
          <t>대상아님</t>
        </is>
      </c>
      <c r="J1088" t="inlineStr">
        <is>
          <t>일반법인</t>
        </is>
      </c>
      <c r="K1088" t="inlineStr">
        <is>
          <t>대기업</t>
        </is>
      </c>
      <c r="L1088" t="inlineStr">
        <is>
          <t>외부감사대상</t>
        </is>
      </c>
      <c r="M1088" s="6" t="inlineStr">
        <is>
          <t>2013-12-05</t>
        </is>
      </c>
      <c r="N1088" t="inlineStr">
        <is>
          <t>KRI:10L6811200</t>
        </is>
      </c>
      <c r="O1088" t="inlineStr">
        <is>
          <t>비주거용 건물 임대업</t>
        </is>
      </c>
      <c r="P1088" t="inlineStr">
        <is>
          <t>부동산 임대,관리</t>
        </is>
      </c>
      <c r="Q1088" t="inlineStr">
        <is>
          <t>서울 강남구 역삼동 735-3번지</t>
        </is>
      </c>
      <c r="R1088" t="inlineStr">
        <is>
          <t>서울 강남구 테헤란로 134</t>
        </is>
      </c>
    </row>
    <row r="1089">
      <c r="A1089" t="inlineStr">
        <is>
          <t>NICE:L30353</t>
        </is>
      </c>
      <c r="B1089" t="inlineStr">
        <is>
          <t>슈퍼셀코리아</t>
        </is>
      </c>
      <c r="C1089" t="inlineStr">
        <is>
          <t>마쿠안테로이그네이셔스/얀네올라비스넬만</t>
        </is>
      </c>
      <c r="G1089" t="inlineStr">
        <is>
          <t>2208870317</t>
        </is>
      </c>
      <c r="H1089" t="inlineStr">
        <is>
          <t>1101140139748</t>
        </is>
      </c>
      <c r="I1089" t="inlineStr">
        <is>
          <t>대상아님</t>
        </is>
      </c>
      <c r="J1089" t="inlineStr">
        <is>
          <t>일반법인</t>
        </is>
      </c>
      <c r="K1089" t="inlineStr">
        <is>
          <t>중소기업</t>
        </is>
      </c>
      <c r="L1089" t="inlineStr">
        <is>
          <t>외부감사대상</t>
        </is>
      </c>
      <c r="M1089" s="6" t="inlineStr">
        <is>
          <t>2013-12-17</t>
        </is>
      </c>
      <c r="N1089" t="inlineStr">
        <is>
          <t>KRI:10M7131000</t>
        </is>
      </c>
      <c r="O1089" t="inlineStr">
        <is>
          <t>광고 대행업</t>
        </is>
      </c>
      <c r="P1089" t="inlineStr">
        <is>
          <t>온라인게임프로모션,마케팅</t>
        </is>
      </c>
      <c r="Q1089" t="inlineStr">
        <is>
          <t>서울 성동구 성수동2가 314-11번지 7층</t>
        </is>
      </c>
      <c r="R1089" t="inlineStr">
        <is>
          <t>서울 성동구 연무장7길 13, 7층</t>
        </is>
      </c>
    </row>
    <row r="1090" ht="19.2" customHeight="1" s="1">
      <c r="A1090" t="inlineStr">
        <is>
          <t>NICE:L40345</t>
        </is>
      </c>
      <c r="B1090" t="inlineStr">
        <is>
          <t>디엘에너지</t>
        </is>
      </c>
      <c r="C1090" t="inlineStr">
        <is>
          <t>정기동</t>
        </is>
      </c>
      <c r="D1090" t="inlineStr">
        <is>
          <t>02-6711-4951</t>
        </is>
      </c>
      <c r="E1090" t="inlineStr">
        <is>
          <t>02-6711-4901</t>
        </is>
      </c>
      <c r="F1090" s="3">
        <f>HYPERLINK("http://www.dlenergy.co.kr", "http://www.dlenergy.co.kr")</f>
        <v/>
      </c>
      <c r="G1090" t="inlineStr">
        <is>
          <t>2318103444</t>
        </is>
      </c>
      <c r="H1090" t="inlineStr">
        <is>
          <t>2844110075258</t>
        </is>
      </c>
      <c r="I1090" t="inlineStr">
        <is>
          <t>대상아님</t>
        </is>
      </c>
      <c r="J1090" t="inlineStr">
        <is>
          <t>일반법인</t>
        </is>
      </c>
      <c r="K1090" t="inlineStr">
        <is>
          <t>대기업</t>
        </is>
      </c>
      <c r="L1090" t="inlineStr">
        <is>
          <t>외부감사대상</t>
        </is>
      </c>
      <c r="M1090" s="6" t="inlineStr">
        <is>
          <t>2013-12-31</t>
        </is>
      </c>
      <c r="N1090" t="inlineStr">
        <is>
          <t>KRI:10M7153100</t>
        </is>
      </c>
      <c r="O1090" t="inlineStr">
        <is>
          <t>경영 컨설팅업</t>
        </is>
      </c>
      <c r="P1090" t="inlineStr">
        <is>
          <t>경영컨설팅(신재생에너지공급인증서(REC) 확보,판매,바이오매스 발전 관련 연료 공급,중개,매매)</t>
        </is>
      </c>
      <c r="Q1090" t="inlineStr">
        <is>
          <t>경기 포천시 창수면 추동리 992번지</t>
        </is>
      </c>
      <c r="R1090" t="inlineStr">
        <is>
          <t>경기 포천시 창수면 포천로2797번길 17</t>
        </is>
      </c>
    </row>
    <row r="1091" ht="19.2" customHeight="1" s="1">
      <c r="A1091" t="inlineStr">
        <is>
          <t>NICE:L40621</t>
        </is>
      </c>
      <c r="B1091" t="inlineStr">
        <is>
          <t>에이치라인해운</t>
        </is>
      </c>
      <c r="C1091" t="inlineStr">
        <is>
          <t>서호동</t>
        </is>
      </c>
      <c r="D1091" t="inlineStr">
        <is>
          <t>051-793-1900</t>
        </is>
      </c>
      <c r="F1091" s="3">
        <f>HYPERLINK("http://www.h-lineshipping.com/", "http://www.h-lineshipping.com/")</f>
        <v/>
      </c>
      <c r="G1091" t="inlineStr">
        <is>
          <t>1078810883</t>
        </is>
      </c>
      <c r="H1091" t="inlineStr">
        <is>
          <t>1101115305663</t>
        </is>
      </c>
      <c r="I1091" t="inlineStr">
        <is>
          <t>대상아님</t>
        </is>
      </c>
      <c r="J1091" t="inlineStr">
        <is>
          <t>일반법인</t>
        </is>
      </c>
      <c r="K1091" t="inlineStr">
        <is>
          <t>중견기업</t>
        </is>
      </c>
      <c r="L1091" t="inlineStr">
        <is>
          <t>외부감사대상</t>
        </is>
      </c>
      <c r="M1091" s="6" t="inlineStr">
        <is>
          <t>2014-01-02</t>
        </is>
      </c>
      <c r="N1091" t="inlineStr">
        <is>
          <t>KRI:10H5011200</t>
        </is>
      </c>
      <c r="O1091" t="inlineStr">
        <is>
          <t>외항 화물 운송업</t>
        </is>
      </c>
      <c r="P1091" t="inlineStr">
        <is>
          <t>해상화물 운송/소프트웨어 개발</t>
        </is>
      </c>
      <c r="Q1091" t="inlineStr">
        <is>
          <t>부산 중구 중앙동6가 2번지 씨제이대한통운빌딩 8층</t>
        </is>
      </c>
      <c r="R1091" t="inlineStr">
        <is>
          <t>부산 중구 대교로 119, 8층 (중앙동6가,씨제이대한통운빌딩)</t>
        </is>
      </c>
    </row>
    <row r="1092">
      <c r="A1092" t="inlineStr">
        <is>
          <t>NICE:L59506</t>
        </is>
      </c>
      <c r="B1092" t="inlineStr">
        <is>
          <t>참하이테크</t>
        </is>
      </c>
      <c r="C1092" t="inlineStr">
        <is>
          <t>정지철</t>
        </is>
      </c>
      <c r="D1092" t="inlineStr">
        <is>
          <t>032-247-7700</t>
        </is>
      </c>
      <c r="E1092" t="inlineStr">
        <is>
          <t>032-247-7800</t>
        </is>
      </c>
      <c r="G1092" t="inlineStr">
        <is>
          <t>1408184044</t>
        </is>
      </c>
      <c r="H1092" t="inlineStr">
        <is>
          <t>1355110262407</t>
        </is>
      </c>
      <c r="I1092" t="inlineStr">
        <is>
          <t>대상아님</t>
        </is>
      </c>
      <c r="J1092" t="inlineStr">
        <is>
          <t>일반법인</t>
        </is>
      </c>
      <c r="K1092" t="inlineStr">
        <is>
          <t>중소기업</t>
        </is>
      </c>
      <c r="L1092" t="inlineStr">
        <is>
          <t>외부감사대상</t>
        </is>
      </c>
      <c r="M1092" s="6" t="inlineStr">
        <is>
          <t>2014-03-05</t>
        </is>
      </c>
      <c r="N1092" t="inlineStr">
        <is>
          <t>KRI:10C2223200</t>
        </is>
      </c>
      <c r="O1092" t="inlineStr">
        <is>
          <t>포장용 플라스틱 성형용기 제조업</t>
        </is>
      </c>
      <c r="P1092" t="inlineStr">
        <is>
          <t>플라스틱제품(화장품용기,식품용기) 제조,도매</t>
        </is>
      </c>
      <c r="Q1092" t="inlineStr">
        <is>
          <t>인천 서구 원창동 394-56번지</t>
        </is>
      </c>
      <c r="R1092" t="inlineStr">
        <is>
          <t>인천 서구 북항로245번길 24</t>
        </is>
      </c>
    </row>
    <row r="1093">
      <c r="A1093" t="inlineStr">
        <is>
          <t>NICE:L61439</t>
        </is>
      </c>
      <c r="B1093" t="inlineStr">
        <is>
          <t>성진기업</t>
        </is>
      </c>
      <c r="C1093" t="inlineStr">
        <is>
          <t>한광윤</t>
        </is>
      </c>
      <c r="D1093" t="inlineStr">
        <is>
          <t>031-358-4051</t>
        </is>
      </c>
      <c r="E1093" t="inlineStr">
        <is>
          <t>031-358-4061</t>
        </is>
      </c>
      <c r="G1093" t="inlineStr">
        <is>
          <t>1258621083</t>
        </is>
      </c>
      <c r="H1093" t="inlineStr">
        <is>
          <t>1313110135280</t>
        </is>
      </c>
      <c r="I1093" t="inlineStr">
        <is>
          <t>대상아님</t>
        </is>
      </c>
      <c r="J1093" t="inlineStr">
        <is>
          <t>일반법인</t>
        </is>
      </c>
      <c r="K1093" t="inlineStr">
        <is>
          <t>중소기업</t>
        </is>
      </c>
      <c r="L1093" t="inlineStr">
        <is>
          <t>외부감사대상</t>
        </is>
      </c>
      <c r="M1093" s="6" t="inlineStr">
        <is>
          <t>2014-03-12</t>
        </is>
      </c>
      <c r="N1093" t="inlineStr">
        <is>
          <t>KRI:10C3039900</t>
        </is>
      </c>
      <c r="O1093" t="inlineStr">
        <is>
          <t>그 외 자동차용 신품 부품 제조업</t>
        </is>
      </c>
      <c r="P1093" t="inlineStr">
        <is>
          <t>자동차부품 제조/화물운송 주선/임대/임가공,도급</t>
        </is>
      </c>
      <c r="Q1093" t="inlineStr">
        <is>
          <t>경기 화성시 만세구 우정읍 매향리 992번지</t>
        </is>
      </c>
      <c r="R1093" t="inlineStr">
        <is>
          <t>경기 화성시 만세구 우정읍 매향석천로 52</t>
        </is>
      </c>
    </row>
    <row r="1094">
      <c r="A1094" t="inlineStr">
        <is>
          <t>NICE:L63932</t>
        </is>
      </c>
      <c r="B1094" t="inlineStr">
        <is>
          <t>신도피앤지</t>
        </is>
      </c>
      <c r="C1094" t="inlineStr">
        <is>
          <t>안도현</t>
        </is>
      </c>
      <c r="D1094" t="inlineStr">
        <is>
          <t>031-997-9401</t>
        </is>
      </c>
      <c r="E1094" t="inlineStr">
        <is>
          <t>031-997-9403</t>
        </is>
      </c>
      <c r="G1094" t="inlineStr">
        <is>
          <t>1378646388</t>
        </is>
      </c>
      <c r="H1094" t="inlineStr">
        <is>
          <t>1244110144098</t>
        </is>
      </c>
      <c r="I1094" t="inlineStr">
        <is>
          <t>대상아님</t>
        </is>
      </c>
      <c r="J1094" t="inlineStr">
        <is>
          <t>일반법인</t>
        </is>
      </c>
      <c r="K1094" t="inlineStr">
        <is>
          <t>중소기업</t>
        </is>
      </c>
      <c r="L1094" t="inlineStr">
        <is>
          <t>외부감사대상</t>
        </is>
      </c>
      <c r="M1094" s="6" t="inlineStr">
        <is>
          <t>2014-03-21</t>
        </is>
      </c>
      <c r="N1094" t="inlineStr">
        <is>
          <t>KRI:10C2042300</t>
        </is>
      </c>
      <c r="O1094" t="inlineStr">
        <is>
          <t>화장품 제조업</t>
        </is>
      </c>
      <c r="P1094" t="inlineStr">
        <is>
          <t>마스크팩 제조</t>
        </is>
      </c>
      <c r="Q1094" t="inlineStr">
        <is>
          <t>인천 남동구 논현동 429-1번지</t>
        </is>
      </c>
      <c r="R1094" t="inlineStr">
        <is>
          <t>인천 남동구 남동서로270번길 28</t>
        </is>
      </c>
    </row>
    <row r="1095" ht="19.2" customHeight="1" s="1">
      <c r="A1095" t="inlineStr">
        <is>
          <t>NICE:L66761</t>
        </is>
      </c>
      <c r="B1095" t="inlineStr">
        <is>
          <t>현대엘엔지해운</t>
        </is>
      </c>
      <c r="C1095" t="inlineStr">
        <is>
          <t>이규봉</t>
        </is>
      </c>
      <c r="D1095" t="inlineStr">
        <is>
          <t>02-6050-7222</t>
        </is>
      </c>
      <c r="E1095" t="inlineStr">
        <is>
          <t>02-6050-7201</t>
        </is>
      </c>
      <c r="F1095" s="3">
        <f>HYPERLINK("http://www.hls.co.kr", "http://www.hls.co.kr")</f>
        <v/>
      </c>
      <c r="G1095" t="inlineStr">
        <is>
          <t>1018689753</t>
        </is>
      </c>
      <c r="H1095" t="inlineStr">
        <is>
          <t>1101115378842</t>
        </is>
      </c>
      <c r="I1095" t="inlineStr">
        <is>
          <t>대상아님</t>
        </is>
      </c>
      <c r="J1095" t="inlineStr">
        <is>
          <t>일반법인</t>
        </is>
      </c>
      <c r="K1095" t="inlineStr">
        <is>
          <t>중견기업</t>
        </is>
      </c>
      <c r="L1095" t="inlineStr">
        <is>
          <t>외부감사대상</t>
        </is>
      </c>
      <c r="M1095" s="6" t="inlineStr">
        <is>
          <t>2014-03-31</t>
        </is>
      </c>
      <c r="N1095" t="inlineStr">
        <is>
          <t>KRI:10H5011200</t>
        </is>
      </c>
      <c r="O1095" t="inlineStr">
        <is>
          <t>외항 화물 운송업</t>
        </is>
      </c>
      <c r="P1095" t="inlineStr">
        <is>
          <t>해상화물 운송,중개,대리/창고,선박 대여</t>
        </is>
      </c>
      <c r="Q1095" t="inlineStr">
        <is>
          <t>서울 중구 남대문로4가 45번지 7층</t>
        </is>
      </c>
      <c r="R1095" t="inlineStr">
        <is>
          <t>서울 중구 세종대로 39, 7층</t>
        </is>
      </c>
    </row>
    <row r="1096" ht="19.2" customHeight="1" s="1">
      <c r="A1096" t="inlineStr">
        <is>
          <t>NICE:L68231</t>
        </is>
      </c>
      <c r="B1096" t="inlineStr">
        <is>
          <t>엔카닷컴</t>
        </is>
      </c>
      <c r="C1096" t="inlineStr">
        <is>
          <t>김상범</t>
        </is>
      </c>
      <c r="D1096" t="inlineStr">
        <is>
          <t>1599-5455</t>
        </is>
      </c>
      <c r="E1096" t="inlineStr">
        <is>
          <t>02-6190-8964</t>
        </is>
      </c>
      <c r="F1096" s="3">
        <f>HYPERLINK("http://www.encar.com", "http://www.encar.com")</f>
        <v/>
      </c>
      <c r="G1096" t="inlineStr">
        <is>
          <t>1048654476</t>
        </is>
      </c>
      <c r="H1096" t="inlineStr">
        <is>
          <t>1101115384146</t>
        </is>
      </c>
      <c r="I1096" t="inlineStr">
        <is>
          <t>대상아님</t>
        </is>
      </c>
      <c r="J1096" t="inlineStr">
        <is>
          <t>일반법인</t>
        </is>
      </c>
      <c r="K1096" t="inlineStr">
        <is>
          <t>중견기업</t>
        </is>
      </c>
      <c r="L1096" t="inlineStr">
        <is>
          <t>외부감사대상</t>
        </is>
      </c>
      <c r="M1096" s="6" t="inlineStr">
        <is>
          <t>2014-04-03</t>
        </is>
      </c>
      <c r="N1096" t="inlineStr">
        <is>
          <t>KRI:10J6399100</t>
        </is>
      </c>
      <c r="O1096" t="inlineStr">
        <is>
          <t>데이터베이스 및 온라인정보 제공업</t>
        </is>
      </c>
      <c r="P1096" t="inlineStr">
        <is>
          <t>온라인정보 제공/자동차 매매,통신판매,전자상거래/자동차 성능,상태점검,교육서비스</t>
        </is>
      </c>
      <c r="Q1096" t="inlineStr">
        <is>
          <t>서울 중구 순화동 216번지 에이아이에이타워 18층,19층</t>
        </is>
      </c>
      <c r="R1096" t="inlineStr">
        <is>
          <t>서울 중구 통일로2길 16, 18층,19층 (순화동,에이아이에이타워)</t>
        </is>
      </c>
    </row>
    <row r="1097">
      <c r="A1097" t="inlineStr">
        <is>
          <t>NICE:L69041</t>
        </is>
      </c>
      <c r="B1097" t="inlineStr">
        <is>
          <t>프리티스킨인터내셔널</t>
        </is>
      </c>
      <c r="C1097" t="inlineStr">
        <is>
          <t>정병섭</t>
        </is>
      </c>
      <c r="D1097" t="inlineStr">
        <is>
          <t>070-4159-7020</t>
        </is>
      </c>
      <c r="G1097" t="inlineStr">
        <is>
          <t>2018639456</t>
        </is>
      </c>
      <c r="H1097" t="inlineStr">
        <is>
          <t>1101140143963</t>
        </is>
      </c>
      <c r="I1097" t="inlineStr">
        <is>
          <t>대상아님</t>
        </is>
      </c>
      <c r="J1097" t="inlineStr">
        <is>
          <t>일반법인</t>
        </is>
      </c>
      <c r="K1097" t="inlineStr">
        <is>
          <t>중소기업</t>
        </is>
      </c>
      <c r="L1097" t="inlineStr">
        <is>
          <t>외부감사대상</t>
        </is>
      </c>
      <c r="M1097" s="6" t="inlineStr">
        <is>
          <t>2014-04-10</t>
        </is>
      </c>
      <c r="N1097" t="inlineStr">
        <is>
          <t>KRI:10G4781300</t>
        </is>
      </c>
      <c r="O1097" t="inlineStr">
        <is>
          <t>화장품, 비누 및 방향제 소매업</t>
        </is>
      </c>
      <c r="P1097" t="inlineStr">
        <is>
          <t>화장품,화장품,수출입업,인터넷쇼핑몰업,전대,통번역업</t>
        </is>
      </c>
      <c r="Q1097" t="inlineStr">
        <is>
          <t>서울 중구 충무로1가 23-1번지 사보이호텔 2동 1층</t>
        </is>
      </c>
      <c r="R1097" t="inlineStr">
        <is>
          <t>서울 중구 명동8나길 10, 2동 1층 (충무로1가,사보이호텔)</t>
        </is>
      </c>
    </row>
    <row r="1098">
      <c r="A1098" t="inlineStr">
        <is>
          <t>NICE:L71056</t>
        </is>
      </c>
      <c r="B1098" t="inlineStr">
        <is>
          <t>카루스</t>
        </is>
      </c>
      <c r="C1098" t="inlineStr">
        <is>
          <t>서준영</t>
        </is>
      </c>
      <c r="G1098" t="inlineStr">
        <is>
          <t>2618110873</t>
        </is>
      </c>
      <c r="H1098" t="inlineStr">
        <is>
          <t>1101115393501</t>
        </is>
      </c>
      <c r="I1098" t="inlineStr">
        <is>
          <t>대상아님</t>
        </is>
      </c>
      <c r="J1098" t="inlineStr">
        <is>
          <t>일반법인</t>
        </is>
      </c>
      <c r="K1098" t="inlineStr">
        <is>
          <t>중소기업</t>
        </is>
      </c>
      <c r="L1098" t="inlineStr">
        <is>
          <t>외부감사대상</t>
        </is>
      </c>
      <c r="M1098" s="6" t="inlineStr">
        <is>
          <t>2014-04-16</t>
        </is>
      </c>
      <c r="N1098" t="inlineStr">
        <is>
          <t>KRI:10G4512000</t>
        </is>
      </c>
      <c r="O1098" t="inlineStr">
        <is>
          <t>중고 자동차 판매업</t>
        </is>
      </c>
      <c r="P1098" t="inlineStr">
        <is>
          <t>중고 자동차</t>
        </is>
      </c>
      <c r="Q1098" t="inlineStr">
        <is>
          <t>서울 강서구 등촌동 838번지 강서오토플랙스자동차매매단지 2층 218호</t>
        </is>
      </c>
      <c r="R1098" t="inlineStr">
        <is>
          <t>서울 강서구 양천로 390, 2층 218호 (등촌동,강서오토플랙스자동차매매단지)</t>
        </is>
      </c>
    </row>
    <row r="1099" ht="19.2" customHeight="1" s="1">
      <c r="A1099" t="inlineStr">
        <is>
          <t>NICE:L75720</t>
        </is>
      </c>
      <c r="B1099" t="inlineStr">
        <is>
          <t>내포그린에너지</t>
        </is>
      </c>
      <c r="C1099" t="inlineStr">
        <is>
          <t>김태완</t>
        </is>
      </c>
      <c r="D1099" t="inlineStr">
        <is>
          <t>041-631-2901</t>
        </is>
      </c>
      <c r="E1099" t="inlineStr">
        <is>
          <t>041-337-7327</t>
        </is>
      </c>
      <c r="F1099" s="3">
        <f>HYPERLINK("http://www.npge.co.kr", "http://www.npge.co.kr")</f>
        <v/>
      </c>
      <c r="G1099" t="inlineStr">
        <is>
          <t>3118148427</t>
        </is>
      </c>
      <c r="H1099" t="inlineStr">
        <is>
          <t>1649110020901</t>
        </is>
      </c>
      <c r="I1099" t="inlineStr">
        <is>
          <t>대상아님</t>
        </is>
      </c>
      <c r="J1099" t="inlineStr">
        <is>
          <t>일반법인</t>
        </is>
      </c>
      <c r="K1099" t="inlineStr">
        <is>
          <t>중소기업</t>
        </is>
      </c>
      <c r="L1099" t="inlineStr">
        <is>
          <t>외부감사대상</t>
        </is>
      </c>
      <c r="M1099" s="6" t="inlineStr">
        <is>
          <t>2014-05-01</t>
        </is>
      </c>
      <c r="N1099" t="inlineStr">
        <is>
          <t>KRI:10D3511900</t>
        </is>
      </c>
      <c r="O1099" t="inlineStr">
        <is>
          <t>기타 발전업</t>
        </is>
      </c>
      <c r="P1099" t="inlineStr">
        <is>
          <t>발전,전기,증기,냉,온수,공기조절공급</t>
        </is>
      </c>
      <c r="Q1099" t="inlineStr">
        <is>
          <t>충남 예산군 삽교읍 목리 1257번지</t>
        </is>
      </c>
      <c r="R1099" t="inlineStr">
        <is>
          <t>충남 예산군 삽교읍 홍예로 390</t>
        </is>
      </c>
    </row>
    <row r="1100">
      <c r="A1100" t="inlineStr">
        <is>
          <t>NICE:L82704</t>
        </is>
      </c>
      <c r="B1100" t="inlineStr">
        <is>
          <t>정광</t>
        </is>
      </c>
      <c r="C1100" t="inlineStr">
        <is>
          <t>이정수</t>
        </is>
      </c>
      <c r="D1100" t="inlineStr">
        <is>
          <t>031-354-4657</t>
        </is>
      </c>
      <c r="E1100" t="inlineStr">
        <is>
          <t>031-354-4659</t>
        </is>
      </c>
      <c r="G1100" t="inlineStr">
        <is>
          <t>1438123274</t>
        </is>
      </c>
      <c r="H1100" t="inlineStr">
        <is>
          <t>1348110301789</t>
        </is>
      </c>
      <c r="I1100" t="inlineStr">
        <is>
          <t>대상아님</t>
        </is>
      </c>
      <c r="J1100" t="inlineStr">
        <is>
          <t>일반법인</t>
        </is>
      </c>
      <c r="K1100" t="inlineStr">
        <is>
          <t>중소기업</t>
        </is>
      </c>
      <c r="L1100" t="inlineStr">
        <is>
          <t>외부감사대상</t>
        </is>
      </c>
      <c r="M1100" s="6" t="inlineStr">
        <is>
          <t>2014-05-29</t>
        </is>
      </c>
      <c r="N1100" t="inlineStr">
        <is>
          <t>KRI:10C2929900</t>
        </is>
      </c>
      <c r="O1100" t="inlineStr">
        <is>
          <t>그 외 기타 특수목적용 기계 제조업</t>
        </is>
      </c>
      <c r="P1100" t="inlineStr">
        <is>
          <t>특수연초용 담배필터기계,종이가공용기기,제책용기계 제조/인쇄</t>
        </is>
      </c>
      <c r="Q1100" t="inlineStr">
        <is>
          <t>경기 화성시 만세구 팔탄면 구장리 127-2번지</t>
        </is>
      </c>
      <c r="R1100" t="inlineStr">
        <is>
          <t>경기 화성시 만세구 팔탄면 시청로940번길 42</t>
        </is>
      </c>
    </row>
    <row r="1101" ht="19.2" customHeight="1" s="1">
      <c r="A1101" t="inlineStr">
        <is>
          <t>NICE:L84812</t>
        </is>
      </c>
      <c r="B1101" t="inlineStr">
        <is>
          <t>루메나</t>
        </is>
      </c>
      <c r="C1101" t="inlineStr">
        <is>
          <t>진중헌</t>
        </is>
      </c>
      <c r="D1101" t="inlineStr">
        <is>
          <t>051-714-0492</t>
        </is>
      </c>
      <c r="E1101" t="inlineStr">
        <is>
          <t>051-714-3141</t>
        </is>
      </c>
      <c r="F1101" s="3">
        <f>HYPERLINK("https://lumena.co.kr/", "https://lumena.co.kr/")</f>
        <v/>
      </c>
      <c r="G1101" t="inlineStr">
        <is>
          <t>1308693314</t>
        </is>
      </c>
      <c r="H1101" t="inlineStr">
        <is>
          <t>1211110270488</t>
        </is>
      </c>
      <c r="I1101" t="inlineStr">
        <is>
          <t>대상아님</t>
        </is>
      </c>
      <c r="J1101" t="inlineStr">
        <is>
          <t>일반법인</t>
        </is>
      </c>
      <c r="K1101" t="inlineStr">
        <is>
          <t>중소기업</t>
        </is>
      </c>
      <c r="L1101" t="inlineStr">
        <is>
          <t>외부감사대상</t>
        </is>
      </c>
      <c r="M1101" s="6" t="inlineStr">
        <is>
          <t>2014-06-03</t>
        </is>
      </c>
      <c r="N1101" t="inlineStr">
        <is>
          <t>KRI:10C2851900</t>
        </is>
      </c>
      <c r="O1101" t="inlineStr">
        <is>
          <t>기타 가정용 전기기기 제조업</t>
        </is>
      </c>
      <c r="P1101" t="inlineStr">
        <is>
          <t>휴대용선풍기,전자기기,휴대용배터리,LED조명 제조,조립/디자인</t>
        </is>
      </c>
      <c r="Q1101" t="inlineStr">
        <is>
          <t>부산 해운대구 송정동 117-17번지</t>
        </is>
      </c>
      <c r="R1101" t="inlineStr">
        <is>
          <t>부산 해운대구 송정중앙로5번길 98</t>
        </is>
      </c>
    </row>
    <row r="1102">
      <c r="A1102" t="inlineStr">
        <is>
          <t>NICE:L87030</t>
        </is>
      </c>
      <c r="B1102" t="inlineStr">
        <is>
          <t>아이티엑스코리아</t>
        </is>
      </c>
      <c r="C1102" t="inlineStr">
        <is>
          <t>호세마누엘로마이데라꼴리나</t>
        </is>
      </c>
      <c r="D1102" t="inlineStr">
        <is>
          <t>02-3413-9848</t>
        </is>
      </c>
      <c r="E1102" t="inlineStr">
        <is>
          <t>02-3413-9899</t>
        </is>
      </c>
      <c r="G1102" t="inlineStr">
        <is>
          <t>1208814733</t>
        </is>
      </c>
      <c r="H1102" t="inlineStr">
        <is>
          <t>1101119160203</t>
        </is>
      </c>
      <c r="I1102" t="inlineStr">
        <is>
          <t>대상아님</t>
        </is>
      </c>
      <c r="J1102" t="inlineStr">
        <is>
          <t>일반법인</t>
        </is>
      </c>
      <c r="K1102" t="inlineStr">
        <is>
          <t>중소기업</t>
        </is>
      </c>
      <c r="L1102" t="inlineStr">
        <is>
          <t>외부감사대상</t>
        </is>
      </c>
      <c r="M1102" s="6" t="inlineStr">
        <is>
          <t>2014-06-16</t>
        </is>
      </c>
      <c r="N1102" t="inlineStr">
        <is>
          <t>KRI:10G4641300</t>
        </is>
      </c>
      <c r="O1102" t="inlineStr">
        <is>
          <t>남녀용 겉옷 및 셔츠 도매업</t>
        </is>
      </c>
      <c r="P1102" t="inlineStr">
        <is>
          <t>의류,악세사리,가정용품 도소매/전자상거래</t>
        </is>
      </c>
      <c r="Q1102" t="inlineStr">
        <is>
          <t>서울 강남구 삼성동 159-1번지 트레이드타워 20층 2002호</t>
        </is>
      </c>
      <c r="R1102" t="inlineStr">
        <is>
          <t>서울 강남구 영동대로 511, 20층 2002호 (삼성동,트레이드타워)</t>
        </is>
      </c>
    </row>
    <row r="1103" ht="19.2" customHeight="1" s="1">
      <c r="A1103" t="inlineStr">
        <is>
          <t>NICE:L91447</t>
        </is>
      </c>
      <c r="B1103" t="inlineStr">
        <is>
          <t>스텍</t>
        </is>
      </c>
      <c r="C1103" t="inlineStr">
        <is>
          <t>이창석</t>
        </is>
      </c>
      <c r="D1103" t="inlineStr">
        <is>
          <t>02-6235-7835</t>
        </is>
      </c>
      <c r="E1103" t="inlineStr">
        <is>
          <t>070-7610-7581</t>
        </is>
      </c>
      <c r="F1103" s="3">
        <f>HYPERLINK("http://www.stek-korea.com/", "http://www.stek-korea.com/")</f>
        <v/>
      </c>
      <c r="G1103" t="inlineStr">
        <is>
          <t>1138684386</t>
        </is>
      </c>
      <c r="H1103" t="inlineStr">
        <is>
          <t>1101115407716</t>
        </is>
      </c>
      <c r="I1103" t="inlineStr">
        <is>
          <t>대상아님</t>
        </is>
      </c>
      <c r="J1103" t="inlineStr">
        <is>
          <t>일반법인</t>
        </is>
      </c>
      <c r="K1103" t="inlineStr">
        <is>
          <t>중소기업</t>
        </is>
      </c>
      <c r="L1103" t="inlineStr">
        <is>
          <t>외부감사대상</t>
        </is>
      </c>
      <c r="M1103" s="6" t="inlineStr">
        <is>
          <t>2014-05-02</t>
        </is>
      </c>
      <c r="N1103" t="inlineStr">
        <is>
          <t>KRI:10C2229100</t>
        </is>
      </c>
      <c r="O1103" t="inlineStr">
        <is>
          <t>플라스틱 접착처리 제품 제조업</t>
        </is>
      </c>
      <c r="P1103" t="inlineStr">
        <is>
          <t>액정보호필름,자동차도장보호필름 제조,소프트웨어 개발/무역</t>
        </is>
      </c>
      <c r="Q1103" t="inlineStr">
        <is>
          <t>충남 천안시 서북구 성거읍 오목리 233번지</t>
        </is>
      </c>
      <c r="R1103" t="inlineStr">
        <is>
          <t>충남 천안시 서북구 성거읍 성거산단2로 109</t>
        </is>
      </c>
    </row>
    <row r="1104" ht="19.2" customHeight="1" s="1">
      <c r="A1104" t="inlineStr">
        <is>
          <t>NICE:L98601</t>
        </is>
      </c>
      <c r="B1104" t="inlineStr">
        <is>
          <t>화물복지재단</t>
        </is>
      </c>
      <c r="C1104" t="inlineStr">
        <is>
          <t>최광식</t>
        </is>
      </c>
      <c r="D1104" t="inlineStr">
        <is>
          <t>02-761-0200</t>
        </is>
      </c>
      <c r="E1104" t="inlineStr">
        <is>
          <t>02-761-0199</t>
        </is>
      </c>
      <c r="F1104" s="3">
        <f>HYPERLINK("http://www.fordrivers.or.kr", "http://www.fordrivers.or.kr")</f>
        <v/>
      </c>
      <c r="G1104" t="inlineStr">
        <is>
          <t>1078218374</t>
        </is>
      </c>
      <c r="H1104" t="inlineStr">
        <is>
          <t>2541220024080</t>
        </is>
      </c>
      <c r="I1104" t="inlineStr">
        <is>
          <t>대상아님</t>
        </is>
      </c>
      <c r="J1104" t="inlineStr">
        <is>
          <t>비영리법인</t>
        </is>
      </c>
      <c r="K1104" t="inlineStr">
        <is>
          <t>대상아님</t>
        </is>
      </c>
      <c r="L1104" t="inlineStr">
        <is>
          <t>외부감사비대상</t>
        </is>
      </c>
      <c r="M1104" s="6" t="inlineStr">
        <is>
          <t>2014-07-23</t>
        </is>
      </c>
      <c r="N1104" t="inlineStr">
        <is>
          <t>KRI:10S9499000</t>
        </is>
      </c>
      <c r="O1104" t="inlineStr">
        <is>
          <t>그 외 기타 협회 및 단체</t>
        </is>
      </c>
      <c r="P1104" t="inlineStr">
        <is>
          <t>협회,단체/운송,금융지원/부동산 임대</t>
        </is>
      </c>
      <c r="Q1104" t="inlineStr">
        <is>
          <t>서울 강남구 역삼동 688번지 화물재단빌딩 15층</t>
        </is>
      </c>
      <c r="R1104" t="inlineStr">
        <is>
          <t>서울 강남구 언주로 560, 15층 (역삼동,화물재단빌딩)</t>
        </is>
      </c>
    </row>
    <row r="1105">
      <c r="A1105" t="inlineStr">
        <is>
          <t>NICE:L98660</t>
        </is>
      </c>
      <c r="B1105" t="inlineStr">
        <is>
          <t>드림엔지니어링</t>
        </is>
      </c>
      <c r="C1105" t="inlineStr">
        <is>
          <t>오진택</t>
        </is>
      </c>
      <c r="D1105" t="inlineStr">
        <is>
          <t>02-831-7890</t>
        </is>
      </c>
      <c r="E1105" t="inlineStr">
        <is>
          <t>02-831-7891</t>
        </is>
      </c>
      <c r="G1105" t="inlineStr">
        <is>
          <t>1088612371</t>
        </is>
      </c>
      <c r="H1105" t="inlineStr">
        <is>
          <t>1101115472173</t>
        </is>
      </c>
      <c r="I1105" t="inlineStr">
        <is>
          <t>대상아님</t>
        </is>
      </c>
      <c r="J1105" t="inlineStr">
        <is>
          <t>일반법인</t>
        </is>
      </c>
      <c r="K1105" t="inlineStr">
        <is>
          <t>중소기업</t>
        </is>
      </c>
      <c r="L1105" t="inlineStr">
        <is>
          <t>외부감사대상</t>
        </is>
      </c>
      <c r="M1105" s="6" t="inlineStr">
        <is>
          <t>2014-07-22</t>
        </is>
      </c>
      <c r="N1105" t="inlineStr">
        <is>
          <t>KRI:10M7212100</t>
        </is>
      </c>
      <c r="O1105" t="inlineStr">
        <is>
          <t>건물 및 토목 엔지니어링 서비스업</t>
        </is>
      </c>
      <c r="P1105" t="inlineStr">
        <is>
          <t>엔지니어링/전기공사/전기기기,1차금속제품,안전장비 도소매/네트워크 구축,유지보수,소프트웨어 개발</t>
        </is>
      </c>
      <c r="Q1105" t="inlineStr">
        <is>
          <t>서울 금천구 가산동 343-7번지 드림타워 이1 15층</t>
        </is>
      </c>
      <c r="R1105" t="inlineStr">
        <is>
          <t>서울 금천구 가산디지털2로 15, 15층 (가산동,드림타워 이1)</t>
        </is>
      </c>
    </row>
    <row r="1106">
      <c r="A1106" t="inlineStr">
        <is>
          <t>NICE:LA6477</t>
        </is>
      </c>
      <c r="B1106" t="inlineStr">
        <is>
          <t>이에스알켄달스퀘어에셋1호위탁관리부동산투자회사</t>
        </is>
      </c>
      <c r="C1106" t="inlineStr">
        <is>
          <t>문동주</t>
        </is>
      </c>
      <c r="D1106" t="inlineStr">
        <is>
          <t>02-6205-0479</t>
        </is>
      </c>
      <c r="G1106" t="inlineStr">
        <is>
          <t>1908101602</t>
        </is>
      </c>
      <c r="H1106" t="inlineStr">
        <is>
          <t>1101117398228</t>
        </is>
      </c>
      <c r="I1106" t="inlineStr">
        <is>
          <t>대상아님</t>
        </is>
      </c>
      <c r="J1106" t="inlineStr">
        <is>
          <t>일반법인</t>
        </is>
      </c>
      <c r="K1106" t="inlineStr">
        <is>
          <t>중소기업</t>
        </is>
      </c>
      <c r="L1106" t="inlineStr">
        <is>
          <t>외부감사대상</t>
        </is>
      </c>
      <c r="M1106" s="6" t="inlineStr">
        <is>
          <t>2020-02-20</t>
        </is>
      </c>
      <c r="N1106" t="inlineStr">
        <is>
          <t>KRI:10L6812200</t>
        </is>
      </c>
      <c r="O1106" t="inlineStr">
        <is>
          <t>비주거용 건물 개발 및 공급업</t>
        </is>
      </c>
      <c r="P1106" t="inlineStr">
        <is>
          <t>부동산 개발,임대차증권매매,취득,관리,개량,처분</t>
        </is>
      </c>
      <c r="Q1106" t="inlineStr">
        <is>
          <t>서울 영등포구 여의도동 23번지 쓰리아이에프씨 35층</t>
        </is>
      </c>
      <c r="R1106" t="inlineStr">
        <is>
          <t>서울 영등포구 국제금융로 10, 35층 (여의도동,쓰리아이에프씨)</t>
        </is>
      </c>
    </row>
    <row r="1107" ht="19.2" customHeight="1" s="1">
      <c r="A1107" t="inlineStr">
        <is>
          <t>NICE:LC0688</t>
        </is>
      </c>
      <c r="B1107" t="inlineStr">
        <is>
          <t>코크레인에스피씨</t>
        </is>
      </c>
      <c r="C1107" t="inlineStr">
        <is>
          <t>함종범</t>
        </is>
      </c>
      <c r="D1107" t="inlineStr">
        <is>
          <t>02-6711-4955</t>
        </is>
      </c>
      <c r="E1107" t="inlineStr">
        <is>
          <t>02-6711-4901</t>
        </is>
      </c>
      <c r="F1107" s="3">
        <f>HYPERLINK("http://www.dlenergy.co.kr", "http://www.dlenergy.co.kr")</f>
        <v/>
      </c>
      <c r="G1107" t="inlineStr">
        <is>
          <t>5068601893</t>
        </is>
      </c>
      <c r="H1107" t="inlineStr">
        <is>
          <t>2844110113024</t>
        </is>
      </c>
      <c r="I1107" t="inlineStr">
        <is>
          <t>대상아님</t>
        </is>
      </c>
      <c r="J1107" t="inlineStr">
        <is>
          <t>일반법인</t>
        </is>
      </c>
      <c r="K1107" t="inlineStr">
        <is>
          <t>대기업</t>
        </is>
      </c>
      <c r="L1107" t="inlineStr">
        <is>
          <t>외부감사대상</t>
        </is>
      </c>
      <c r="M1107" s="6" t="inlineStr">
        <is>
          <t>2020-03-10</t>
        </is>
      </c>
      <c r="N1107" t="inlineStr">
        <is>
          <t>KRI:10K6420900</t>
        </is>
      </c>
      <c r="O1107" t="inlineStr">
        <is>
          <t>기타 금융 투자업</t>
        </is>
      </c>
      <c r="P1107" t="inlineStr">
        <is>
          <t>금융 투자,경영지원컨설팅</t>
        </is>
      </c>
      <c r="Q1107" t="inlineStr">
        <is>
          <t>경기 포천시 창수면 추동리 992번지</t>
        </is>
      </c>
      <c r="R1107" t="inlineStr">
        <is>
          <t>경기 포천시 창수면 포천로2797번길 17</t>
        </is>
      </c>
    </row>
    <row r="1108">
      <c r="A1108" t="inlineStr">
        <is>
          <t>NICE:LC2377</t>
        </is>
      </c>
      <c r="B1108" t="inlineStr">
        <is>
          <t>농업회사법인보람찬</t>
        </is>
      </c>
      <c r="C1108" t="inlineStr">
        <is>
          <t>박성민/김선모</t>
        </is>
      </c>
      <c r="G1108" t="inlineStr">
        <is>
          <t>5078115643</t>
        </is>
      </c>
      <c r="H1108" t="inlineStr">
        <is>
          <t>1611110030347</t>
        </is>
      </c>
      <c r="I1108" t="inlineStr">
        <is>
          <t>대상아님</t>
        </is>
      </c>
      <c r="J1108" t="inlineStr">
        <is>
          <t>일반법인</t>
        </is>
      </c>
      <c r="K1108" t="inlineStr">
        <is>
          <t>중소기업</t>
        </is>
      </c>
      <c r="L1108" t="inlineStr">
        <is>
          <t>외부감사대상</t>
        </is>
      </c>
      <c r="M1108" s="6" t="inlineStr">
        <is>
          <t>2020-03-12</t>
        </is>
      </c>
      <c r="N1108" t="inlineStr">
        <is>
          <t>KRI:10A0122000</t>
        </is>
      </c>
      <c r="O1108" t="inlineStr">
        <is>
          <t>양돈업</t>
        </is>
      </c>
      <c r="P1108" t="inlineStr">
        <is>
          <t>양돈/사료 도소매</t>
        </is>
      </c>
      <c r="Q1108" t="inlineStr">
        <is>
          <t>충남 홍성군 홍성읍 월산리 836-1번지 대은빌딩 2층</t>
        </is>
      </c>
      <c r="R1108" t="inlineStr">
        <is>
          <t>충남 홍성군 홍성읍 월산로50번길 9, 2층 (월산리,대은빌딩)</t>
        </is>
      </c>
    </row>
    <row r="1109">
      <c r="A1109" t="inlineStr">
        <is>
          <t>NICE:LC7985</t>
        </is>
      </c>
      <c r="B1109" t="inlineStr">
        <is>
          <t>센트로음성</t>
        </is>
      </c>
      <c r="C1109" t="inlineStr">
        <is>
          <t>김강우</t>
        </is>
      </c>
      <c r="D1109" t="inlineStr">
        <is>
          <t>043-878-1070</t>
        </is>
      </c>
      <c r="E1109" t="inlineStr">
        <is>
          <t>043-881-1237</t>
        </is>
      </c>
      <c r="G1109" t="inlineStr">
        <is>
          <t>6668601759</t>
        </is>
      </c>
      <c r="H1109" t="inlineStr">
        <is>
          <t>1545110088727</t>
        </is>
      </c>
      <c r="I1109" t="inlineStr">
        <is>
          <t>대상아님</t>
        </is>
      </c>
      <c r="J1109" t="inlineStr">
        <is>
          <t>일반법인</t>
        </is>
      </c>
      <c r="K1109" t="inlineStr">
        <is>
          <t>중소기업</t>
        </is>
      </c>
      <c r="L1109" t="inlineStr">
        <is>
          <t>외부감사대상</t>
        </is>
      </c>
      <c r="M1109" s="6" t="inlineStr">
        <is>
          <t>2020-03-17</t>
        </is>
      </c>
      <c r="N1109" t="inlineStr">
        <is>
          <t>KRI:10E3821000</t>
        </is>
      </c>
      <c r="O1109" t="inlineStr">
        <is>
          <t>지정 외 폐기물 처리업</t>
        </is>
      </c>
      <c r="P1109" t="inlineStr">
        <is>
          <t>폐기물 처리,재생,하수처리</t>
        </is>
      </c>
      <c r="Q1109" t="inlineStr">
        <is>
          <t>충북 음성군 금왕읍 유포리 733번지</t>
        </is>
      </c>
      <c r="R1109" t="inlineStr">
        <is>
          <t>충북 음성군 금왕읍 성본산단6로 18</t>
        </is>
      </c>
    </row>
    <row r="1110" ht="19.2" customHeight="1" s="1">
      <c r="A1110" t="inlineStr">
        <is>
          <t>NICE:LD3737</t>
        </is>
      </c>
      <c r="B1110" t="inlineStr">
        <is>
          <t>큐앤드비인터내셔날</t>
        </is>
      </c>
      <c r="C1110" t="inlineStr">
        <is>
          <t>최덕규</t>
        </is>
      </c>
      <c r="D1110" t="inlineStr">
        <is>
          <t>070-4800-4073</t>
        </is>
      </c>
      <c r="F1110" s="3">
        <f>HYPERLINK("https://www.anewgolf.com/", "https://www.anewgolf.com/")</f>
        <v/>
      </c>
      <c r="G1110" t="inlineStr">
        <is>
          <t>7828601726</t>
        </is>
      </c>
      <c r="H1110" t="inlineStr">
        <is>
          <t>1101117438850</t>
        </is>
      </c>
      <c r="I1110" t="inlineStr">
        <is>
          <t>대상아님</t>
        </is>
      </c>
      <c r="J1110" t="inlineStr">
        <is>
          <t>일반법인</t>
        </is>
      </c>
      <c r="K1110" t="inlineStr">
        <is>
          <t>중소기업</t>
        </is>
      </c>
      <c r="L1110" t="inlineStr">
        <is>
          <t>외부감사대상</t>
        </is>
      </c>
      <c r="M1110" s="6" t="inlineStr">
        <is>
          <t>2020-03-26</t>
        </is>
      </c>
      <c r="N1110" t="inlineStr">
        <is>
          <t>KRI:10C1419200</t>
        </is>
      </c>
      <c r="O1110" t="inlineStr">
        <is>
          <t>근무복, 작업복 및 유사의복 제조업</t>
        </is>
      </c>
      <c r="P1110" t="inlineStr">
        <is>
          <t>골프의류,의류,잡화 제조,도소매</t>
        </is>
      </c>
      <c r="Q1110" t="inlineStr">
        <is>
          <t>서울 강남구 논현동 277-21번지 재인빌딩 4층</t>
        </is>
      </c>
      <c r="R1110" t="inlineStr">
        <is>
          <t>서울 강남구 봉은사로 315, 4층 (논현동,재인빌딩)</t>
        </is>
      </c>
    </row>
    <row r="1111">
      <c r="A1111" t="inlineStr">
        <is>
          <t>NICE:LD8535</t>
        </is>
      </c>
      <c r="B1111" t="inlineStr">
        <is>
          <t>에스피에스엔에이</t>
        </is>
      </c>
      <c r="C1111" t="inlineStr">
        <is>
          <t>이병훈</t>
        </is>
      </c>
      <c r="D1111" t="inlineStr">
        <is>
          <t>031-684-9452</t>
        </is>
      </c>
      <c r="E1111" t="inlineStr">
        <is>
          <t>031-684-9458</t>
        </is>
      </c>
      <c r="G1111" t="inlineStr">
        <is>
          <t>4648101783</t>
        </is>
      </c>
      <c r="H1111" t="inlineStr">
        <is>
          <t>1650110072115</t>
        </is>
      </c>
      <c r="I1111" t="inlineStr">
        <is>
          <t>대상아님</t>
        </is>
      </c>
      <c r="J1111" t="inlineStr">
        <is>
          <t>일반법인</t>
        </is>
      </c>
      <c r="K1111" t="inlineStr">
        <is>
          <t>중견기업</t>
        </is>
      </c>
      <c r="L1111" t="inlineStr">
        <is>
          <t>외부감사비대상</t>
        </is>
      </c>
      <c r="M1111" s="6" t="inlineStr">
        <is>
          <t>2020-04-01</t>
        </is>
      </c>
      <c r="N1111" t="inlineStr">
        <is>
          <t>KRI:10C2331100</t>
        </is>
      </c>
      <c r="O1111" t="inlineStr">
        <is>
          <t>시멘트 제조업</t>
        </is>
      </c>
      <c r="P1111" t="inlineStr">
        <is>
          <t>슬래그,슬래그파우더 제조/무역(고로수재슬래그)</t>
        </is>
      </c>
      <c r="Q1111" t="inlineStr">
        <is>
          <t>충남 당진시 신평면 매산리 976-32번지</t>
        </is>
      </c>
      <c r="R1111" t="inlineStr">
        <is>
          <t>충남 당진시 신평면 당진항만로 97</t>
        </is>
      </c>
    </row>
    <row r="1112" ht="19.2" customHeight="1" s="1">
      <c r="A1112" t="inlineStr">
        <is>
          <t>NICE:LF2921</t>
        </is>
      </c>
      <c r="B1112" t="inlineStr">
        <is>
          <t>애경스페셜티</t>
        </is>
      </c>
      <c r="C1112" t="inlineStr">
        <is>
          <t>박태한</t>
        </is>
      </c>
      <c r="D1112" t="inlineStr">
        <is>
          <t>031-488-4678</t>
        </is>
      </c>
      <c r="E1112" t="inlineStr">
        <is>
          <t>031-498-6068</t>
        </is>
      </c>
      <c r="F1112" s="3">
        <f>HYPERLINK("https://aekyungspecialty.com", "https://aekyungspecialty.com")</f>
        <v/>
      </c>
      <c r="G1112" t="inlineStr">
        <is>
          <t>1188123128</t>
        </is>
      </c>
      <c r="H1112" t="inlineStr">
        <is>
          <t>1101117474375</t>
        </is>
      </c>
      <c r="I1112" t="inlineStr">
        <is>
          <t>대상아님</t>
        </is>
      </c>
      <c r="J1112" t="inlineStr">
        <is>
          <t>일반법인</t>
        </is>
      </c>
      <c r="K1112" t="inlineStr">
        <is>
          <t>중견기업</t>
        </is>
      </c>
      <c r="L1112" t="inlineStr">
        <is>
          <t>외부감사대상</t>
        </is>
      </c>
      <c r="M1112" s="6" t="inlineStr">
        <is>
          <t>2020-05-01</t>
        </is>
      </c>
      <c r="N1112" t="inlineStr">
        <is>
          <t>KRI:10C2041100</t>
        </is>
      </c>
      <c r="O1112" t="inlineStr">
        <is>
          <t>일반용 도료 및 관련제품 제조업</t>
        </is>
      </c>
      <c r="P1112" t="inlineStr">
        <is>
          <t>일반용도료,관련제품 제조/염료,안료,관련제품 도소매</t>
        </is>
      </c>
      <c r="Q1112" t="inlineStr">
        <is>
          <t>경기 시흥시 정왕동 1251-4번지</t>
        </is>
      </c>
      <c r="R1112" t="inlineStr">
        <is>
          <t>경기 시흥시 옥구천서로 169</t>
        </is>
      </c>
    </row>
    <row r="1113">
      <c r="A1113" t="inlineStr">
        <is>
          <t>NICE:LG4104</t>
        </is>
      </c>
      <c r="B1113" t="inlineStr">
        <is>
          <t>엔엔비코스메틱</t>
        </is>
      </c>
      <c r="C1113" t="inlineStr">
        <is>
          <t>김태훈/최호진</t>
        </is>
      </c>
      <c r="G1113" t="inlineStr">
        <is>
          <t>2768801851</t>
        </is>
      </c>
      <c r="H1113" t="inlineStr">
        <is>
          <t>1101117492632</t>
        </is>
      </c>
      <c r="I1113" t="inlineStr">
        <is>
          <t>대상아님</t>
        </is>
      </c>
      <c r="J1113" t="inlineStr">
        <is>
          <t>일반법인</t>
        </is>
      </c>
      <c r="K1113" t="inlineStr">
        <is>
          <t>중소기업</t>
        </is>
      </c>
      <c r="L1113" t="inlineStr">
        <is>
          <t>외부감사비대상</t>
        </is>
      </c>
      <c r="M1113" s="6" t="inlineStr">
        <is>
          <t>2020-05-21</t>
        </is>
      </c>
      <c r="N1113" t="inlineStr">
        <is>
          <t>KRI:10C2042300</t>
        </is>
      </c>
      <c r="O1113" t="inlineStr">
        <is>
          <t>화장품 제조업</t>
        </is>
      </c>
      <c r="P1113" t="inlineStr">
        <is>
          <t>화장품 제조업,화장품,무역업,전자상거래,부동산 전대업</t>
        </is>
      </c>
      <c r="Q1113" t="inlineStr">
        <is>
          <t>서울 성동구 성수동2가 301-51번지 백영성수센터 1105호</t>
        </is>
      </c>
      <c r="R1113" t="inlineStr">
        <is>
          <t>서울 성동구 성수일로 56, 1105호 (성수동2가,백영성수센터)</t>
        </is>
      </c>
    </row>
    <row r="1114">
      <c r="A1114" t="inlineStr">
        <is>
          <t>NICE:LH0874</t>
        </is>
      </c>
      <c r="B1114" t="inlineStr">
        <is>
          <t>와이에이치이코퍼레이션</t>
        </is>
      </c>
      <c r="C1114" t="inlineStr">
        <is>
          <t>김주환</t>
        </is>
      </c>
      <c r="D1114" t="inlineStr">
        <is>
          <t>031-980-0222</t>
        </is>
      </c>
      <c r="E1114" t="inlineStr">
        <is>
          <t>031-982-3691</t>
        </is>
      </c>
      <c r="G1114" t="inlineStr">
        <is>
          <t>2078801821</t>
        </is>
      </c>
      <c r="H1114" t="inlineStr">
        <is>
          <t>1244110268020</t>
        </is>
      </c>
      <c r="I1114" t="inlineStr">
        <is>
          <t>대상아님</t>
        </is>
      </c>
      <c r="J1114" t="inlineStr">
        <is>
          <t>일반법인</t>
        </is>
      </c>
      <c r="K1114" t="inlineStr">
        <is>
          <t>중소기업</t>
        </is>
      </c>
      <c r="L1114" t="inlineStr">
        <is>
          <t>외부감사대상</t>
        </is>
      </c>
      <c r="M1114" s="6" t="inlineStr">
        <is>
          <t>2020-06-03</t>
        </is>
      </c>
      <c r="N1114" t="inlineStr">
        <is>
          <t>KRI:10C2927100</t>
        </is>
      </c>
      <c r="O1114" t="inlineStr">
        <is>
          <t>반도체 제조용 기계 제조업</t>
        </is>
      </c>
      <c r="P1114" t="inlineStr">
        <is>
          <t>반도체장비부품 제조/무역</t>
        </is>
      </c>
      <c r="Q1114" t="inlineStr">
        <is>
          <t>경기 김포시 양촌읍 대포리 479번지</t>
        </is>
      </c>
      <c r="R1114" t="inlineStr">
        <is>
          <t>경기 김포시 양촌읍 대포산단로 24</t>
        </is>
      </c>
    </row>
    <row r="1115" ht="19.2" customHeight="1" s="1">
      <c r="A1115" t="inlineStr">
        <is>
          <t>NICE:LI8786</t>
        </is>
      </c>
      <c r="B1115" t="inlineStr">
        <is>
          <t>인터불고엑스코</t>
        </is>
      </c>
      <c r="C1115" t="inlineStr">
        <is>
          <t>이진수</t>
        </is>
      </c>
      <c r="D1115" t="inlineStr">
        <is>
          <t>053-380-0114</t>
        </is>
      </c>
      <c r="E1115" t="inlineStr">
        <is>
          <t>053-380-0409</t>
        </is>
      </c>
      <c r="F1115" s="3">
        <f>HYPERLINK("http://www.ibhotel.com", "http://www.ibhotel.com")</f>
        <v/>
      </c>
      <c r="G1115" t="inlineStr">
        <is>
          <t>2718601643</t>
        </is>
      </c>
      <c r="H1115" t="inlineStr">
        <is>
          <t>1701110779390</t>
        </is>
      </c>
      <c r="I1115" t="inlineStr">
        <is>
          <t>대상아님</t>
        </is>
      </c>
      <c r="J1115" t="inlineStr">
        <is>
          <t>일반법인</t>
        </is>
      </c>
      <c r="K1115" t="inlineStr">
        <is>
          <t>중소기업</t>
        </is>
      </c>
      <c r="L1115" t="inlineStr">
        <is>
          <t>외부감사대상</t>
        </is>
      </c>
      <c r="M1115" s="6" t="inlineStr">
        <is>
          <t>2020-07-08</t>
        </is>
      </c>
      <c r="N1115" t="inlineStr">
        <is>
          <t>KRI:10I5510100</t>
        </is>
      </c>
      <c r="O1115" t="inlineStr">
        <is>
          <t>호텔업</t>
        </is>
      </c>
      <c r="P1115" t="inlineStr">
        <is>
          <t>관광호텔</t>
        </is>
      </c>
      <c r="Q1115" t="inlineStr">
        <is>
          <t>대구 북구 산격동 1674번지</t>
        </is>
      </c>
      <c r="R1115" t="inlineStr">
        <is>
          <t>대구 북구 유통단지로 80</t>
        </is>
      </c>
    </row>
    <row r="1116">
      <c r="A1116" t="inlineStr">
        <is>
          <t>NICE:LJ1234</t>
        </is>
      </c>
      <c r="B1116" t="inlineStr">
        <is>
          <t>코람코가치투자부동산제3호위탁관리모부동산투자회사</t>
        </is>
      </c>
      <c r="C1116" t="inlineStr">
        <is>
          <t>(주)코람코자산신탁</t>
        </is>
      </c>
      <c r="D1116" t="inlineStr">
        <is>
          <t>02-787-0000</t>
        </is>
      </c>
      <c r="G1116" t="inlineStr">
        <is>
          <t>6348701588</t>
        </is>
      </c>
      <c r="H1116" t="inlineStr">
        <is>
          <t>1101117548609</t>
        </is>
      </c>
      <c r="I1116" t="inlineStr">
        <is>
          <t>대상아님</t>
        </is>
      </c>
      <c r="J1116" t="inlineStr">
        <is>
          <t>일반법인</t>
        </is>
      </c>
      <c r="K1116" t="inlineStr">
        <is>
          <t>중소기업</t>
        </is>
      </c>
      <c r="L1116" t="inlineStr">
        <is>
          <t>외부감사대상</t>
        </is>
      </c>
      <c r="M1116" s="6" t="inlineStr">
        <is>
          <t>2020-07-08</t>
        </is>
      </c>
      <c r="N1116" t="inlineStr">
        <is>
          <t>KRI:10K6420100</t>
        </is>
      </c>
      <c r="O1116" t="inlineStr">
        <is>
          <t>신탁업 및 집합투자업</t>
        </is>
      </c>
      <c r="P1116" t="inlineStr">
        <is>
          <t>신탁,집합투자/부동산 임대</t>
        </is>
      </c>
      <c r="Q1116" t="inlineStr">
        <is>
          <t>서울 강남구 삼성동 144-17번지 아이콘삼성 4층</t>
        </is>
      </c>
      <c r="R1116" t="inlineStr">
        <is>
          <t>서울 강남구 삼성로 511, 4층 (삼성동,아이콘삼성)</t>
        </is>
      </c>
    </row>
    <row r="1117" ht="19.2" customHeight="1" s="1">
      <c r="A1117" t="inlineStr">
        <is>
          <t>NICE:LS4544</t>
        </is>
      </c>
      <c r="B1117" t="inlineStr">
        <is>
          <t>인플로우</t>
        </is>
      </c>
      <c r="C1117" t="inlineStr">
        <is>
          <t>오창균/정홍교</t>
        </is>
      </c>
      <c r="D1117" t="inlineStr">
        <is>
          <t>1533-6636</t>
        </is>
      </c>
      <c r="E1117" t="inlineStr">
        <is>
          <t>070-4015-0870</t>
        </is>
      </c>
      <c r="F1117" s="3">
        <f>HYPERLINK("http://www.tayota.co.kr/", "http://www.tayota.co.kr/")</f>
        <v/>
      </c>
      <c r="G1117" t="inlineStr">
        <is>
          <t>2858701799</t>
        </is>
      </c>
      <c r="H1117" t="inlineStr">
        <is>
          <t>1244110274118</t>
        </is>
      </c>
      <c r="I1117" t="inlineStr">
        <is>
          <t>대상아님</t>
        </is>
      </c>
      <c r="J1117" t="inlineStr">
        <is>
          <t>일반법인</t>
        </is>
      </c>
      <c r="K1117" t="inlineStr">
        <is>
          <t>중소기업</t>
        </is>
      </c>
      <c r="L1117" t="inlineStr">
        <is>
          <t>외부감사대상</t>
        </is>
      </c>
      <c r="M1117" s="6" t="inlineStr">
        <is>
          <t>2020-08-13</t>
        </is>
      </c>
      <c r="N1117" t="inlineStr">
        <is>
          <t>KRI:10N7619000</t>
        </is>
      </c>
      <c r="O1117" t="inlineStr">
        <is>
          <t>기타 운송장비 임대업</t>
        </is>
      </c>
      <c r="P1117" t="inlineStr">
        <is>
          <t>배달용오토바이 임대/응용소프트웨어 개발,공급/이륜차부품 도소매,전자상거래/비주거용건물 임대</t>
        </is>
      </c>
      <c r="Q1117" t="inlineStr">
        <is>
          <t>경기 김포시 운양동 1307-3번지 골든타임 707호</t>
        </is>
      </c>
      <c r="R1117" t="inlineStr">
        <is>
          <t>경기 김포시 김포한강1로 250, 707호 (운양동,골든타임)</t>
        </is>
      </c>
    </row>
    <row r="1118">
      <c r="A1118" t="inlineStr">
        <is>
          <t>NICE:LT3396</t>
        </is>
      </c>
      <c r="B1118" t="inlineStr">
        <is>
          <t>지민건설</t>
        </is>
      </c>
      <c r="C1118" t="inlineStr">
        <is>
          <t>윤주형</t>
        </is>
      </c>
      <c r="D1118" t="inlineStr">
        <is>
          <t>051-333-8998</t>
        </is>
      </c>
      <c r="E1118" t="inlineStr">
        <is>
          <t>051-333-8997</t>
        </is>
      </c>
      <c r="G1118" t="inlineStr">
        <is>
          <t>8338102090</t>
        </is>
      </c>
      <c r="H1118" t="inlineStr">
        <is>
          <t>1801111312048</t>
        </is>
      </c>
      <c r="I1118" t="inlineStr">
        <is>
          <t>대상아님</t>
        </is>
      </c>
      <c r="J1118" t="inlineStr">
        <is>
          <t>일반법인</t>
        </is>
      </c>
      <c r="K1118" t="inlineStr">
        <is>
          <t>중소기업</t>
        </is>
      </c>
      <c r="L1118" t="inlineStr">
        <is>
          <t>외부감사대상</t>
        </is>
      </c>
      <c r="M1118" s="6" t="inlineStr">
        <is>
          <t>2020-08-26</t>
        </is>
      </c>
      <c r="N1118" t="inlineStr">
        <is>
          <t>KRI:10L6812100</t>
        </is>
      </c>
      <c r="O1118" t="inlineStr">
        <is>
          <t>주거용 건물 개발 및 공급업</t>
        </is>
      </c>
      <c r="P1118" t="inlineStr">
        <is>
          <t>부동산 개발,공급,관리/건축공사</t>
        </is>
      </c>
      <c r="Q1118" t="inlineStr">
        <is>
          <t>부산 북구 덕천동 396-4번지 이수빌딩 1003호</t>
        </is>
      </c>
      <c r="R1118" t="inlineStr">
        <is>
          <t>부산 북구 기찰로 12, 1003호 (덕천동,이수빌딩)</t>
        </is>
      </c>
    </row>
    <row r="1119">
      <c r="A1119" t="inlineStr">
        <is>
          <t>NICE:LT8920</t>
        </is>
      </c>
      <c r="B1119" t="inlineStr">
        <is>
          <t>대한항공씨앤디서비스</t>
        </is>
      </c>
      <c r="C1119" t="inlineStr">
        <is>
          <t>최덕진</t>
        </is>
      </c>
      <c r="D1119" t="inlineStr">
        <is>
          <t>02-2656-6596</t>
        </is>
      </c>
      <c r="E1119" t="inlineStr">
        <is>
          <t>02-6003-0209</t>
        </is>
      </c>
      <c r="G1119" t="inlineStr">
        <is>
          <t>7328602017</t>
        </is>
      </c>
      <c r="H1119" t="inlineStr">
        <is>
          <t>1101117612917</t>
        </is>
      </c>
      <c r="I1119" t="inlineStr">
        <is>
          <t>대상아님</t>
        </is>
      </c>
      <c r="J1119" t="inlineStr">
        <is>
          <t>일반법인</t>
        </is>
      </c>
      <c r="K1119" t="inlineStr">
        <is>
          <t>중소기업</t>
        </is>
      </c>
      <c r="L1119" t="inlineStr">
        <is>
          <t>외부감사대상</t>
        </is>
      </c>
      <c r="M1119" s="6" t="inlineStr">
        <is>
          <t>2020-09-04</t>
        </is>
      </c>
      <c r="N1119" t="inlineStr">
        <is>
          <t>KRI:10C1075100</t>
        </is>
      </c>
      <c r="O1119" t="inlineStr">
        <is>
          <t>도시락류 제조업</t>
        </is>
      </c>
      <c r="P1119" t="inlineStr">
        <is>
          <t>항공기내식 제조/주류,항공기내식,잡화,담배 도소매,통신 판매/창고,보세창고</t>
        </is>
      </c>
      <c r="Q1119" t="inlineStr">
        <is>
          <t>서울 종로구 수송동 146-1번지 이마빌딩 10층 5,6,7호실</t>
        </is>
      </c>
      <c r="R1119" t="inlineStr">
        <is>
          <t>서울 종로구 종로1길 42, 10층 5,6,7호실 (수송동,이마빌딩)</t>
        </is>
      </c>
    </row>
    <row r="1120">
      <c r="A1120" t="inlineStr">
        <is>
          <t>NICE:LX6843</t>
        </is>
      </c>
      <c r="B1120" t="inlineStr">
        <is>
          <t>가제트코리아</t>
        </is>
      </c>
      <c r="C1120" t="inlineStr">
        <is>
          <t>유상혁</t>
        </is>
      </c>
      <c r="G1120" t="inlineStr">
        <is>
          <t>7868701837</t>
        </is>
      </c>
      <c r="H1120" t="inlineStr">
        <is>
          <t>1341110565769</t>
        </is>
      </c>
      <c r="I1120" t="inlineStr">
        <is>
          <t>대상아님</t>
        </is>
      </c>
      <c r="J1120" t="inlineStr">
        <is>
          <t>일반법인</t>
        </is>
      </c>
      <c r="K1120" t="inlineStr">
        <is>
          <t>중소기업</t>
        </is>
      </c>
      <c r="L1120" t="inlineStr">
        <is>
          <t>외부감사대상</t>
        </is>
      </c>
      <c r="M1120" s="6" t="inlineStr">
        <is>
          <t>2020-11-09</t>
        </is>
      </c>
      <c r="N1120" t="inlineStr">
        <is>
          <t>KRI:10J6129100</t>
        </is>
      </c>
      <c r="O1120" t="inlineStr">
        <is>
          <t>통신 재판매업</t>
        </is>
      </c>
      <c r="P1120" t="inlineStr">
        <is>
          <t>통신 재판매업</t>
        </is>
      </c>
      <c r="Q1120" t="inlineStr">
        <is>
          <t>서울 강서구 마곡동 759-2번지 9층</t>
        </is>
      </c>
      <c r="R1120" t="inlineStr">
        <is>
          <t>서울 강서구 마곡중앙5로 22, 9층</t>
        </is>
      </c>
    </row>
    <row r="1121" ht="19.2" customHeight="1" s="1">
      <c r="A1121" t="inlineStr">
        <is>
          <t>NICE:LY4098</t>
        </is>
      </c>
      <c r="B1121" t="inlineStr">
        <is>
          <t>이엔비에어</t>
        </is>
      </c>
      <c r="C1121" t="inlineStr">
        <is>
          <t>김창원</t>
        </is>
      </c>
      <c r="D1121" t="inlineStr">
        <is>
          <t>043-421-3312</t>
        </is>
      </c>
      <c r="E1121" t="inlineStr">
        <is>
          <t>043-422-3312</t>
        </is>
      </c>
      <c r="F1121" s="3">
        <f>HYPERLINK("http://www.enbair.co.kr", "http://www.enbair.co.kr")</f>
        <v/>
      </c>
      <c r="G1121" t="inlineStr">
        <is>
          <t>7808701824</t>
        </is>
      </c>
      <c r="H1121" t="inlineStr">
        <is>
          <t>1101117689156</t>
        </is>
      </c>
      <c r="I1121" t="inlineStr">
        <is>
          <t>대상아님</t>
        </is>
      </c>
      <c r="J1121" t="inlineStr">
        <is>
          <t>일반법인</t>
        </is>
      </c>
      <c r="K1121" t="inlineStr">
        <is>
          <t>중소기업</t>
        </is>
      </c>
      <c r="L1121" t="inlineStr">
        <is>
          <t>외부감사대상</t>
        </is>
      </c>
      <c r="M1121" s="6" t="inlineStr">
        <is>
          <t>2020-11-19</t>
        </is>
      </c>
      <c r="N1121" t="inlineStr">
        <is>
          <t>KRI:10H5120000</t>
        </is>
      </c>
      <c r="O1121" t="inlineStr">
        <is>
          <t>항공 화물 운송업</t>
        </is>
      </c>
      <c r="P1121" t="inlineStr">
        <is>
          <t>항공기 화물운송,사용,정비/항공기부품 도소매/헬기,헬기부품 도매</t>
        </is>
      </c>
      <c r="Q1121" t="inlineStr">
        <is>
          <t>충북 단양군 매포읍 우덕리 897번지</t>
        </is>
      </c>
      <c r="R1121" t="inlineStr">
        <is>
          <t>충북 단양군 매포읍 단양산업단지2로 88-23</t>
        </is>
      </c>
    </row>
    <row r="1122">
      <c r="A1122" t="inlineStr">
        <is>
          <t>NICE:LY7363</t>
        </is>
      </c>
      <c r="B1122" t="inlineStr">
        <is>
          <t>케이에스에이치파트너스</t>
        </is>
      </c>
      <c r="C1122" t="inlineStr">
        <is>
          <t>김세훈</t>
        </is>
      </c>
      <c r="D1122" t="inlineStr">
        <is>
          <t>02-2632-9995</t>
        </is>
      </c>
      <c r="E1122" t="inlineStr">
        <is>
          <t>02-3489-8855</t>
        </is>
      </c>
      <c r="G1122" t="inlineStr">
        <is>
          <t>1508701834</t>
        </is>
      </c>
      <c r="H1122" t="inlineStr">
        <is>
          <t>1101117694733</t>
        </is>
      </c>
      <c r="I1122" t="inlineStr">
        <is>
          <t>대상아님</t>
        </is>
      </c>
      <c r="J1122" t="inlineStr">
        <is>
          <t>일반법인</t>
        </is>
      </c>
      <c r="K1122" t="inlineStr">
        <is>
          <t>중소기업</t>
        </is>
      </c>
      <c r="L1122" t="inlineStr">
        <is>
          <t>외부감사대상</t>
        </is>
      </c>
      <c r="M1122" s="6" t="inlineStr">
        <is>
          <t>2020-11-25</t>
        </is>
      </c>
      <c r="N1122" t="inlineStr">
        <is>
          <t>KRI:10L6812100</t>
        </is>
      </c>
      <c r="O1122" t="inlineStr">
        <is>
          <t>주거용 건물 개발 및 공급업</t>
        </is>
      </c>
      <c r="P1122" t="inlineStr">
        <is>
          <t>부동산 개발,공급</t>
        </is>
      </c>
      <c r="Q1122" t="inlineStr">
        <is>
          <t>서울 금천구 가산동 233-5번지 B동 333호</t>
        </is>
      </c>
      <c r="R1122" t="inlineStr">
        <is>
          <t>서울 금천구 디지털로10길 69, B동 333호</t>
        </is>
      </c>
    </row>
    <row r="1123">
      <c r="A1123" t="inlineStr">
        <is>
          <t>NICE:M00949</t>
        </is>
      </c>
      <c r="B1123" t="inlineStr">
        <is>
          <t>수니코리아엘엘씨</t>
        </is>
      </c>
      <c r="C1123" t="inlineStr">
        <is>
          <t>아써에이치리</t>
        </is>
      </c>
      <c r="G1123" t="inlineStr">
        <is>
          <t>1318400677</t>
        </is>
      </c>
      <c r="H1123" t="inlineStr">
        <is>
          <t>1201850000112</t>
        </is>
      </c>
      <c r="I1123" t="inlineStr">
        <is>
          <t>대상아님</t>
        </is>
      </c>
      <c r="J1123" t="inlineStr">
        <is>
          <t>일반법인</t>
        </is>
      </c>
      <c r="K1123" t="inlineStr">
        <is>
          <t>중소기업</t>
        </is>
      </c>
      <c r="L1123" t="inlineStr">
        <is>
          <t>외부감사비대상</t>
        </is>
      </c>
      <c r="M1123" s="6" t="inlineStr">
        <is>
          <t>2010-03-24</t>
        </is>
      </c>
      <c r="N1123" t="inlineStr">
        <is>
          <t>KRI:10P8530200</t>
        </is>
      </c>
      <c r="O1123" t="inlineStr">
        <is>
          <t>대학교</t>
        </is>
      </c>
      <c r="P1123" t="inlineStr">
        <is>
          <t>외국대학교</t>
        </is>
      </c>
      <c r="Q1123" t="inlineStr">
        <is>
          <t>인천 연수구 송도동 187번지</t>
        </is>
      </c>
      <c r="R1123" t="inlineStr">
        <is>
          <t>인천 연수구 송도문화로 119-2</t>
        </is>
      </c>
    </row>
    <row r="1124" ht="19.2" customHeight="1" s="1">
      <c r="A1124" t="inlineStr">
        <is>
          <t>NICE:M01199</t>
        </is>
      </c>
      <c r="B1124" t="inlineStr">
        <is>
          <t>스킨메드인터내셔널</t>
        </is>
      </c>
      <c r="C1124" t="inlineStr">
        <is>
          <t>함정한</t>
        </is>
      </c>
      <c r="D1124" t="inlineStr">
        <is>
          <t>02-6261-8133</t>
        </is>
      </c>
      <c r="F1124" s="3">
        <f>HYPERLINK("http://www.lagom.kr/", "http://www.lagom.kr/")</f>
        <v/>
      </c>
      <c r="G1124" t="inlineStr">
        <is>
          <t>2018641253</t>
        </is>
      </c>
      <c r="H1124" t="inlineStr">
        <is>
          <t>1101115480192</t>
        </is>
      </c>
      <c r="I1124" t="inlineStr">
        <is>
          <t>대상아님</t>
        </is>
      </c>
      <c r="J1124" t="inlineStr">
        <is>
          <t>일반법인</t>
        </is>
      </c>
      <c r="K1124" t="inlineStr">
        <is>
          <t>중소기업</t>
        </is>
      </c>
      <c r="L1124" t="inlineStr">
        <is>
          <t>외부감사대상</t>
        </is>
      </c>
      <c r="M1124" s="6" t="inlineStr">
        <is>
          <t>2014-07-31</t>
        </is>
      </c>
      <c r="N1124" t="inlineStr">
        <is>
          <t>KRI:10C2042300</t>
        </is>
      </c>
      <c r="O1124" t="inlineStr">
        <is>
          <t>화장품 제조업</t>
        </is>
      </c>
      <c r="P1124" t="inlineStr">
        <is>
          <t>화장품,화장품 및 미용관련용품,가방 및 여행용품,전자상거래업</t>
        </is>
      </c>
      <c r="Q1124" t="inlineStr">
        <is>
          <t>서울 중구 명동1가 5-1번지 9층 902호</t>
        </is>
      </c>
      <c r="R1124" t="inlineStr">
        <is>
          <t>서울 중구 명동길 65, 9층 902호</t>
        </is>
      </c>
    </row>
    <row r="1125">
      <c r="A1125" t="inlineStr">
        <is>
          <t>NICE:M01593</t>
        </is>
      </c>
      <c r="B1125" t="inlineStr">
        <is>
          <t>스미토모세이카폴리머스코리아</t>
        </is>
      </c>
      <c r="C1125" t="inlineStr">
        <is>
          <t>후쿠도메신야</t>
        </is>
      </c>
      <c r="D1125" t="inlineStr">
        <is>
          <t>061-689-6800</t>
        </is>
      </c>
      <c r="E1125" t="inlineStr">
        <is>
          <t>061-680-6870</t>
        </is>
      </c>
      <c r="G1125" t="inlineStr">
        <is>
          <t>4178149423</t>
        </is>
      </c>
      <c r="H1125" t="inlineStr">
        <is>
          <t>2062110052642</t>
        </is>
      </c>
      <c r="I1125" t="inlineStr">
        <is>
          <t>대상아님</t>
        </is>
      </c>
      <c r="J1125" t="inlineStr">
        <is>
          <t>일반법인</t>
        </is>
      </c>
      <c r="K1125" t="inlineStr">
        <is>
          <t>중견기업</t>
        </is>
      </c>
      <c r="L1125" t="inlineStr">
        <is>
          <t>외부감사대상</t>
        </is>
      </c>
      <c r="M1125" s="6" t="inlineStr">
        <is>
          <t>2014-07-31</t>
        </is>
      </c>
      <c r="N1125" t="inlineStr">
        <is>
          <t>KRI:10C2020200</t>
        </is>
      </c>
      <c r="O1125" t="inlineStr">
        <is>
          <t>합성수지 및 기타 플라스틱 물질 제조업</t>
        </is>
      </c>
      <c r="P1125" t="inlineStr">
        <is>
          <t>합성수지,플라스틱물질 제조,도매</t>
        </is>
      </c>
      <c r="Q1125" t="inlineStr">
        <is>
          <t>전남 여수시 중흥동 1761-1번지</t>
        </is>
      </c>
      <c r="R1125" t="inlineStr">
        <is>
          <t>전남 여수시 중흥2로 66</t>
        </is>
      </c>
    </row>
    <row r="1126" ht="19.2" customHeight="1" s="1">
      <c r="A1126" t="inlineStr">
        <is>
          <t>NICE:M01878</t>
        </is>
      </c>
      <c r="B1126" t="inlineStr">
        <is>
          <t>그린에코사이클</t>
        </is>
      </c>
      <c r="C1126" t="inlineStr">
        <is>
          <t>이의진</t>
        </is>
      </c>
      <c r="D1126" t="inlineStr">
        <is>
          <t>031-683-7704</t>
        </is>
      </c>
      <c r="E1126" t="inlineStr">
        <is>
          <t>031-684-7703</t>
        </is>
      </c>
      <c r="F1126" s="3">
        <f>HYPERLINK("http://www.eco-solutions.kr", "http://www.eco-solutions.kr")</f>
        <v/>
      </c>
      <c r="G1126" t="inlineStr">
        <is>
          <t>1058806651</t>
        </is>
      </c>
      <c r="H1126" t="inlineStr">
        <is>
          <t>1101115481554</t>
        </is>
      </c>
      <c r="I1126" t="inlineStr">
        <is>
          <t>대상아님</t>
        </is>
      </c>
      <c r="J1126" t="inlineStr">
        <is>
          <t>일반법인</t>
        </is>
      </c>
      <c r="K1126" t="inlineStr">
        <is>
          <t>중견기업</t>
        </is>
      </c>
      <c r="L1126" t="inlineStr">
        <is>
          <t>외부감사대상</t>
        </is>
      </c>
      <c r="M1126" s="6" t="inlineStr">
        <is>
          <t>2014-08-01</t>
        </is>
      </c>
      <c r="N1126" t="inlineStr">
        <is>
          <t>KRI:10E3811000</t>
        </is>
      </c>
      <c r="O1126" t="inlineStr">
        <is>
          <t>지정 외 폐기물 수집, 운반업</t>
        </is>
      </c>
      <c r="P1126" t="inlineStr">
        <is>
          <t>지정외폐기물 수집,운반/고형연료제품 제조/화물 운송</t>
        </is>
      </c>
      <c r="Q1126" t="inlineStr">
        <is>
          <t>경기 평택시 안중읍 용성리 736-8번지</t>
        </is>
      </c>
      <c r="R1126" t="inlineStr">
        <is>
          <t>경기 평택시 안중읍 서해로 1219-6</t>
        </is>
      </c>
    </row>
    <row r="1127">
      <c r="A1127" t="inlineStr">
        <is>
          <t>NICE:M03491</t>
        </is>
      </c>
      <c r="B1127" t="inlineStr">
        <is>
          <t>전주파워</t>
        </is>
      </c>
      <c r="C1127" t="inlineStr">
        <is>
          <t>박홍주</t>
        </is>
      </c>
      <c r="D1127" t="inlineStr">
        <is>
          <t>063-210-8141</t>
        </is>
      </c>
      <c r="E1127" t="inlineStr">
        <is>
          <t>063-210-8909</t>
        </is>
      </c>
      <c r="G1127" t="inlineStr">
        <is>
          <t>4188150715</t>
        </is>
      </c>
      <c r="H1127" t="inlineStr">
        <is>
          <t>2101110099757</t>
        </is>
      </c>
      <c r="I1127" t="inlineStr">
        <is>
          <t>대상아님</t>
        </is>
      </c>
      <c r="J1127" t="inlineStr">
        <is>
          <t>일반법인</t>
        </is>
      </c>
      <c r="K1127" t="inlineStr">
        <is>
          <t>중견기업</t>
        </is>
      </c>
      <c r="L1127" t="inlineStr">
        <is>
          <t>외부감사대상</t>
        </is>
      </c>
      <c r="M1127" s="6" t="inlineStr">
        <is>
          <t>2014-08-08</t>
        </is>
      </c>
      <c r="N1127" t="inlineStr">
        <is>
          <t>KRI:10D3511300</t>
        </is>
      </c>
      <c r="O1127" t="inlineStr">
        <is>
          <t>화력 발전업</t>
        </is>
      </c>
      <c r="P1127" t="inlineStr">
        <is>
          <t>열병합 발전(바이오매스발전)/전기,열,REC 도매</t>
        </is>
      </c>
      <c r="Q1127" t="inlineStr">
        <is>
          <t>전북 전주시 덕진구 팔복동2가 180번지</t>
        </is>
      </c>
      <c r="R1127" t="inlineStr">
        <is>
          <t>전북 전주시 덕진구 팔복로 59</t>
        </is>
      </c>
    </row>
    <row r="1128" ht="19.2" customHeight="1" s="1">
      <c r="A1128" t="inlineStr">
        <is>
          <t>NICE:M04075</t>
        </is>
      </c>
      <c r="B1128" t="inlineStr">
        <is>
          <t>코앤컴</t>
        </is>
      </c>
      <c r="C1128" t="inlineStr">
        <is>
          <t>백명곤</t>
        </is>
      </c>
      <c r="D1128" t="inlineStr">
        <is>
          <t>02-2239-1427</t>
        </is>
      </c>
      <c r="E1128" t="inlineStr">
        <is>
          <t>02-540-0833</t>
        </is>
      </c>
      <c r="F1128" s="3">
        <f>HYPERLINK("http://www.codesinner.kr", "http://www.codesinner.kr")</f>
        <v/>
      </c>
      <c r="G1128" t="inlineStr">
        <is>
          <t>2618116353</t>
        </is>
      </c>
      <c r="H1128" t="inlineStr">
        <is>
          <t>1101115487362</t>
        </is>
      </c>
      <c r="I1128" t="inlineStr">
        <is>
          <t>대상아님</t>
        </is>
      </c>
      <c r="J1128" t="inlineStr">
        <is>
          <t>일반법인</t>
        </is>
      </c>
      <c r="K1128" t="inlineStr">
        <is>
          <t>중소기업</t>
        </is>
      </c>
      <c r="L1128" t="inlineStr">
        <is>
          <t>외부감사대상</t>
        </is>
      </c>
      <c r="M1128" s="6" t="inlineStr">
        <is>
          <t>2014-08-11</t>
        </is>
      </c>
      <c r="N1128" t="inlineStr">
        <is>
          <t>KRI:10C1412000</t>
        </is>
      </c>
      <c r="O1128" t="inlineStr">
        <is>
          <t>속옷 및 잠옷 제조업</t>
        </is>
      </c>
      <c r="P1128" t="inlineStr">
        <is>
          <t>속옷,의류 제조,도소매,무역,전자상거래(통신판매)</t>
        </is>
      </c>
      <c r="Q1128" t="inlineStr">
        <is>
          <t>서울 강남구 논현동 41-5번지 5층</t>
        </is>
      </c>
      <c r="R1128" t="inlineStr">
        <is>
          <t>서울 강남구 강남대로136길 64, 5층</t>
        </is>
      </c>
    </row>
    <row r="1129" ht="19.2" customHeight="1" s="1">
      <c r="A1129" t="inlineStr">
        <is>
          <t>NICE:M04083</t>
        </is>
      </c>
      <c r="B1129" t="inlineStr">
        <is>
          <t>인터코스코리아</t>
        </is>
      </c>
      <c r="C1129" t="inlineStr">
        <is>
          <t>안나다토</t>
        </is>
      </c>
      <c r="D1129" t="inlineStr">
        <is>
          <t>031-8065-7500</t>
        </is>
      </c>
      <c r="E1129" t="inlineStr">
        <is>
          <t>031-8065-7574</t>
        </is>
      </c>
      <c r="F1129" s="3">
        <f>HYPERLINK("http://www.intercoskr.com", "http://www.intercoskr.com")</f>
        <v/>
      </c>
      <c r="G1129" t="inlineStr">
        <is>
          <t>1018692296</t>
        </is>
      </c>
      <c r="H1129" t="inlineStr">
        <is>
          <t>1311110431666</t>
        </is>
      </c>
      <c r="I1129" t="inlineStr">
        <is>
          <t>대상아님</t>
        </is>
      </c>
      <c r="J1129" t="inlineStr">
        <is>
          <t>일반법인</t>
        </is>
      </c>
      <c r="K1129" t="inlineStr">
        <is>
          <t>중소기업</t>
        </is>
      </c>
      <c r="L1129" t="inlineStr">
        <is>
          <t>외부감사대상</t>
        </is>
      </c>
      <c r="M1129" s="6" t="inlineStr">
        <is>
          <t>2015-12-11</t>
        </is>
      </c>
      <c r="N1129" t="inlineStr">
        <is>
          <t>KRI:10C2042300</t>
        </is>
      </c>
      <c r="O1129" t="inlineStr">
        <is>
          <t>화장품 제조업</t>
        </is>
      </c>
      <c r="P1129" t="inlineStr">
        <is>
          <t>화장품 제조,도소매</t>
        </is>
      </c>
      <c r="Q1129" t="inlineStr">
        <is>
          <t>경기 오산시 가장동 387-2번지 5층</t>
        </is>
      </c>
      <c r="R1129" t="inlineStr">
        <is>
          <t>경기 오산시 가장산업서북로 40-38, 5층</t>
        </is>
      </c>
    </row>
    <row r="1130" ht="19.2" customHeight="1" s="1">
      <c r="A1130" t="inlineStr">
        <is>
          <t>NICE:M17029</t>
        </is>
      </c>
      <c r="B1130" t="inlineStr">
        <is>
          <t>올데이프레쉬</t>
        </is>
      </c>
      <c r="C1130" t="inlineStr">
        <is>
          <t>전진형</t>
        </is>
      </c>
      <c r="D1130" t="inlineStr">
        <is>
          <t>02-6427-0203</t>
        </is>
      </c>
      <c r="E1130" t="inlineStr">
        <is>
          <t>02-6091-1010</t>
        </is>
      </c>
      <c r="F1130" s="3">
        <f>HYPERLINK("https://샤브올데이.com", "https://샤브올데이.com")</f>
        <v/>
      </c>
      <c r="G1130" t="inlineStr">
        <is>
          <t>2158795283</t>
        </is>
      </c>
      <c r="H1130" t="inlineStr">
        <is>
          <t>1101115514991</t>
        </is>
      </c>
      <c r="I1130" t="inlineStr">
        <is>
          <t>대상아님</t>
        </is>
      </c>
      <c r="J1130" t="inlineStr">
        <is>
          <t>일반법인</t>
        </is>
      </c>
      <c r="K1130" t="inlineStr">
        <is>
          <t>중소기업</t>
        </is>
      </c>
      <c r="L1130" t="inlineStr">
        <is>
          <t>외부감사대상</t>
        </is>
      </c>
      <c r="M1130" s="6" t="inlineStr">
        <is>
          <t>2014-09-17</t>
        </is>
      </c>
      <c r="N1130" t="inlineStr">
        <is>
          <t>KRI:10M7153100</t>
        </is>
      </c>
      <c r="O1130" t="inlineStr">
        <is>
          <t>경영 컨설팅업</t>
        </is>
      </c>
      <c r="P1130" t="inlineStr">
        <is>
          <t>프랜차이즈가맹,가맹점 관리/주방가전 집기 도소매</t>
        </is>
      </c>
      <c r="Q1130" t="inlineStr">
        <is>
          <t>서울 송파구 가락동 114번지 몬로스타 5층</t>
        </is>
      </c>
      <c r="R1130" t="inlineStr">
        <is>
          <t>서울 송파구 중대로12길 10, 5층 (가락동,몬로스타)</t>
        </is>
      </c>
    </row>
    <row r="1131" ht="19.2" customHeight="1" s="1">
      <c r="A1131" t="inlineStr">
        <is>
          <t>NICE:M19066</t>
        </is>
      </c>
      <c r="B1131" t="inlineStr">
        <is>
          <t>정우엔텍</t>
        </is>
      </c>
      <c r="C1131" t="inlineStr">
        <is>
          <t>신광선</t>
        </is>
      </c>
      <c r="D1131" t="inlineStr">
        <is>
          <t>031-227-2920</t>
        </is>
      </c>
      <c r="E1131" t="inlineStr">
        <is>
          <t>031-227-2970</t>
        </is>
      </c>
      <c r="F1131" s="3">
        <f>HYPERLINK("http://www.joungwoontech.co.kr", "http://www.joungwoontech.co.kr")</f>
        <v/>
      </c>
      <c r="G1131" t="inlineStr">
        <is>
          <t>1248753051</t>
        </is>
      </c>
      <c r="H1131" t="inlineStr">
        <is>
          <t>1358110255498</t>
        </is>
      </c>
      <c r="I1131" t="inlineStr">
        <is>
          <t>대상아님</t>
        </is>
      </c>
      <c r="J1131" t="inlineStr">
        <is>
          <t>일반법인</t>
        </is>
      </c>
      <c r="K1131" t="inlineStr">
        <is>
          <t>중소기업</t>
        </is>
      </c>
      <c r="L1131" t="inlineStr">
        <is>
          <t>외부감사대상</t>
        </is>
      </c>
      <c r="M1131" s="6" t="inlineStr">
        <is>
          <t>2014-09-24</t>
        </is>
      </c>
      <c r="N1131" t="inlineStr">
        <is>
          <t>KRI:10C2927100</t>
        </is>
      </c>
      <c r="O1131" t="inlineStr">
        <is>
          <t>반도체 제조용 기계 제조업</t>
        </is>
      </c>
      <c r="P1131" t="inlineStr">
        <is>
          <t>반도체,LCD제조장비,부품 제조</t>
        </is>
      </c>
      <c r="Q1131" t="inlineStr">
        <is>
          <t>경기 수원시 권선구 고색동 1074번지</t>
        </is>
      </c>
      <c r="R1131" t="inlineStr">
        <is>
          <t>경기 수원시 권선구 산업로156번길 78</t>
        </is>
      </c>
    </row>
    <row r="1132" ht="19.2" customHeight="1" s="1">
      <c r="A1132" t="inlineStr">
        <is>
          <t>NICE:M22335</t>
        </is>
      </c>
      <c r="B1132" t="inlineStr">
        <is>
          <t>스킨이데아</t>
        </is>
      </c>
      <c r="C1132" t="inlineStr">
        <is>
          <t>위현종</t>
        </is>
      </c>
      <c r="D1132" t="inlineStr">
        <is>
          <t>1644-0465</t>
        </is>
      </c>
      <c r="E1132" t="inlineStr">
        <is>
          <t>02-6491-5600</t>
        </is>
      </c>
      <c r="F1132" s="3">
        <f>HYPERLINK("http://www.skinidea.co.kr", "http://www.skinidea.co.kr")</f>
        <v/>
      </c>
      <c r="G1132" t="inlineStr">
        <is>
          <t>1328630770</t>
        </is>
      </c>
      <c r="H1132" t="inlineStr">
        <is>
          <t>2842110071789</t>
        </is>
      </c>
      <c r="I1132" t="inlineStr">
        <is>
          <t>대상아님</t>
        </is>
      </c>
      <c r="J1132" t="inlineStr">
        <is>
          <t>일반법인</t>
        </is>
      </c>
      <c r="K1132" t="inlineStr">
        <is>
          <t>중소기업</t>
        </is>
      </c>
      <c r="L1132" t="inlineStr">
        <is>
          <t>외부감사대상</t>
        </is>
      </c>
      <c r="M1132" s="6" t="inlineStr">
        <is>
          <t>2014-10-06</t>
        </is>
      </c>
      <c r="N1132" t="inlineStr">
        <is>
          <t>KRI:10C2042300</t>
        </is>
      </c>
      <c r="O1132" t="inlineStr">
        <is>
          <t>화장품 제조업</t>
        </is>
      </c>
      <c r="P1132" t="inlineStr">
        <is>
          <t>화장품 제조,판매</t>
        </is>
      </c>
      <c r="Q1132" t="inlineStr">
        <is>
          <t>서울 강남구 논현동 105-7번지 두산빌딩 2층</t>
        </is>
      </c>
      <c r="R1132" t="inlineStr">
        <is>
          <t>서울 강남구 언주로 726, 2층 (논현동,두산빌딩)</t>
        </is>
      </c>
    </row>
    <row r="1133">
      <c r="A1133" t="inlineStr">
        <is>
          <t>NICE:M22818</t>
        </is>
      </c>
      <c r="B1133" t="inlineStr">
        <is>
          <t>케이알에너지</t>
        </is>
      </c>
      <c r="C1133" t="inlineStr">
        <is>
          <t>김진우/이강용</t>
        </is>
      </c>
      <c r="D1133" t="inlineStr">
        <is>
          <t>052-227-5564</t>
        </is>
      </c>
      <c r="E1133" t="inlineStr">
        <is>
          <t>052-227-5576</t>
        </is>
      </c>
      <c r="G1133" t="inlineStr">
        <is>
          <t>6108631089</t>
        </is>
      </c>
      <c r="H1133" t="inlineStr">
        <is>
          <t>2301110228724</t>
        </is>
      </c>
      <c r="I1133" t="inlineStr">
        <is>
          <t>대상아님</t>
        </is>
      </c>
      <c r="J1133" t="inlineStr">
        <is>
          <t>일반법인</t>
        </is>
      </c>
      <c r="K1133" t="inlineStr">
        <is>
          <t>중소기업</t>
        </is>
      </c>
      <c r="L1133" t="inlineStr">
        <is>
          <t>외부감사대상</t>
        </is>
      </c>
      <c r="M1133" s="6" t="inlineStr">
        <is>
          <t>2014-10-07</t>
        </is>
      </c>
      <c r="N1133" t="inlineStr">
        <is>
          <t>KRI:10D3530000</t>
        </is>
      </c>
      <c r="O1133" t="inlineStr">
        <is>
          <t>증기, 냉ㆍ온수 및 공기조절 공급업</t>
        </is>
      </c>
      <c r="P1133" t="inlineStr">
        <is>
          <t>증기(스팀),온수 공급/태양광 발전</t>
        </is>
      </c>
      <c r="Q1133" t="inlineStr">
        <is>
          <t>울산 남구 매암동 391-144번지</t>
        </is>
      </c>
      <c r="R1133" t="inlineStr">
        <is>
          <t>울산 남구 장생포고래로29번길 7</t>
        </is>
      </c>
    </row>
    <row r="1134" ht="19.2" customHeight="1" s="1">
      <c r="A1134" t="inlineStr">
        <is>
          <t>NICE:M26860</t>
        </is>
      </c>
      <c r="B1134" t="inlineStr">
        <is>
          <t>한진인천컨테이너터미널</t>
        </is>
      </c>
      <c r="C1134" t="inlineStr">
        <is>
          <t>윤준광</t>
        </is>
      </c>
      <c r="D1134" t="inlineStr">
        <is>
          <t>032-202-4900</t>
        </is>
      </c>
      <c r="E1134" t="inlineStr">
        <is>
          <t>032-821-9073</t>
        </is>
      </c>
      <c r="F1134" s="3">
        <f>HYPERLINK("http://www.hjit.co.kr", "http://www.hjit.co.kr")</f>
        <v/>
      </c>
      <c r="G1134" t="inlineStr">
        <is>
          <t>1318666125</t>
        </is>
      </c>
      <c r="H1134" t="inlineStr">
        <is>
          <t>1201110730821</t>
        </is>
      </c>
      <c r="I1134" t="inlineStr">
        <is>
          <t>대상아님</t>
        </is>
      </c>
      <c r="J1134" t="inlineStr">
        <is>
          <t>일반법인</t>
        </is>
      </c>
      <c r="K1134" t="inlineStr">
        <is>
          <t>대기업</t>
        </is>
      </c>
      <c r="L1134" t="inlineStr">
        <is>
          <t>외부감사대상</t>
        </is>
      </c>
      <c r="M1134" s="6" t="inlineStr">
        <is>
          <t>2014-10-22</t>
        </is>
      </c>
      <c r="N1134" t="inlineStr">
        <is>
          <t>KRI:10H5292100</t>
        </is>
      </c>
      <c r="O1134" t="inlineStr">
        <is>
          <t>항구 및 기타 해상 터미널 운영업</t>
        </is>
      </c>
      <c r="P1134" t="inlineStr">
        <is>
          <t>항만시설 운영,관리,건설/항만 하역/산업기계장비 수리/부동산 임대</t>
        </is>
      </c>
      <c r="Q1134" t="inlineStr">
        <is>
          <t>인천 연수구 송도동 406번지 운영본부</t>
        </is>
      </c>
      <c r="R1134" t="inlineStr">
        <is>
          <t>인천 연수구 인천신항대로 777, 운영본부</t>
        </is>
      </c>
    </row>
    <row r="1135">
      <c r="A1135" t="inlineStr">
        <is>
          <t>NICE:M28691</t>
        </is>
      </c>
      <c r="B1135" t="inlineStr">
        <is>
          <t>샤프도앤코코리아</t>
        </is>
      </c>
      <c r="C1135" t="inlineStr">
        <is>
          <t>백순석</t>
        </is>
      </c>
      <c r="D1135" t="inlineStr">
        <is>
          <t>032-453-3611</t>
        </is>
      </c>
      <c r="G1135" t="inlineStr">
        <is>
          <t>1218638016</t>
        </is>
      </c>
      <c r="H1135" t="inlineStr">
        <is>
          <t>1201140007571</t>
        </is>
      </c>
      <c r="I1135" t="inlineStr">
        <is>
          <t>대상아님</t>
        </is>
      </c>
      <c r="J1135" t="inlineStr">
        <is>
          <t>일반법인</t>
        </is>
      </c>
      <c r="K1135" t="inlineStr">
        <is>
          <t>중견기업</t>
        </is>
      </c>
      <c r="L1135" t="inlineStr">
        <is>
          <t>외부감사대상</t>
        </is>
      </c>
      <c r="M1135" s="6" t="inlineStr">
        <is>
          <t>2014-10-28</t>
        </is>
      </c>
      <c r="N1135" t="inlineStr">
        <is>
          <t>KRI:10C1075100</t>
        </is>
      </c>
      <c r="O1135" t="inlineStr">
        <is>
          <t>도시락류 제조업</t>
        </is>
      </c>
      <c r="P1135" t="inlineStr">
        <is>
          <t>도시락류 제조/프랜차이즈</t>
        </is>
      </c>
      <c r="Q1135" t="inlineStr">
        <is>
          <t>인천 중구 운서동 2840-13번지</t>
        </is>
      </c>
      <c r="R1135" t="inlineStr">
        <is>
          <t>인천 중구 공항동로465번길 84</t>
        </is>
      </c>
    </row>
    <row r="1136" ht="19.2" customHeight="1" s="1">
      <c r="A1136" t="inlineStr">
        <is>
          <t>NICE:M29912</t>
        </is>
      </c>
      <c r="B1136" t="inlineStr">
        <is>
          <t>글랜에어코리아</t>
        </is>
      </c>
      <c r="C1136" t="inlineStr">
        <is>
          <t>배승원/가렛크로프트</t>
        </is>
      </c>
      <c r="D1136" t="inlineStr">
        <is>
          <t>031-8068-1090</t>
        </is>
      </c>
      <c r="E1136" t="inlineStr">
        <is>
          <t>0504-326-4549</t>
        </is>
      </c>
      <c r="F1136" s="3">
        <f>HYPERLINK("http://www.glenair.com", "http://www.glenair.com")</f>
        <v/>
      </c>
      <c r="G1136" t="inlineStr">
        <is>
          <t>1238646171</t>
        </is>
      </c>
      <c r="H1136" t="inlineStr">
        <is>
          <t>1341110396049</t>
        </is>
      </c>
      <c r="I1136" t="inlineStr">
        <is>
          <t>대상아님</t>
        </is>
      </c>
      <c r="J1136" t="inlineStr">
        <is>
          <t>일반법인</t>
        </is>
      </c>
      <c r="K1136" t="inlineStr">
        <is>
          <t>중소기업</t>
        </is>
      </c>
      <c r="L1136" t="inlineStr">
        <is>
          <t>외부감사대상</t>
        </is>
      </c>
      <c r="M1136" s="6" t="inlineStr">
        <is>
          <t>2014-10-31</t>
        </is>
      </c>
      <c r="N1136" t="inlineStr">
        <is>
          <t>KRI:10G4659500</t>
        </is>
      </c>
      <c r="O1136" t="inlineStr">
        <is>
          <t>전기용 기계ㆍ장비 및 관련 기자재 도매업</t>
        </is>
      </c>
      <c r="P1136" t="inlineStr">
        <is>
          <t>전자전기부품 도소매/전기커넥터 제조</t>
        </is>
      </c>
      <c r="Q1136" t="inlineStr">
        <is>
          <t>경기 용인시 기흥구 공세동 707-1번지</t>
        </is>
      </c>
      <c r="R1136" t="inlineStr">
        <is>
          <t>경기 용인시 기흥구 탑실로58번길 6-21</t>
        </is>
      </c>
    </row>
    <row r="1137" ht="19.2" customHeight="1" s="1">
      <c r="A1137" t="inlineStr">
        <is>
          <t>NICE:M29924</t>
        </is>
      </c>
      <c r="B1137" t="inlineStr">
        <is>
          <t>지에스포천그린에너지</t>
        </is>
      </c>
      <c r="C1137" t="inlineStr">
        <is>
          <t>김근일</t>
        </is>
      </c>
      <c r="D1137" t="inlineStr">
        <is>
          <t>031-8089-5600</t>
        </is>
      </c>
      <c r="E1137" t="inlineStr">
        <is>
          <t>031-8089-5890</t>
        </is>
      </c>
      <c r="F1137" s="3">
        <f>HYPERLINK("http://www.gspoge.com", "http://www.gspoge.com")</f>
        <v/>
      </c>
      <c r="G1137" t="inlineStr">
        <is>
          <t>2318107775</t>
        </is>
      </c>
      <c r="H1137" t="inlineStr">
        <is>
          <t>2844110079755</t>
        </is>
      </c>
      <c r="I1137" t="inlineStr">
        <is>
          <t>대상아님</t>
        </is>
      </c>
      <c r="J1137" t="inlineStr">
        <is>
          <t>일반법인</t>
        </is>
      </c>
      <c r="K1137" t="inlineStr">
        <is>
          <t>대기업</t>
        </is>
      </c>
      <c r="L1137" t="inlineStr">
        <is>
          <t>외부감사대상</t>
        </is>
      </c>
      <c r="M1137" s="6" t="inlineStr">
        <is>
          <t>2014-10-31</t>
        </is>
      </c>
      <c r="N1137" t="inlineStr">
        <is>
          <t>KRI:10D3530000</t>
        </is>
      </c>
      <c r="O1137" t="inlineStr">
        <is>
          <t>증기, 냉ㆍ온수 및 공기조절 공급업</t>
        </is>
      </c>
      <c r="P1137" t="inlineStr">
        <is>
          <t>증기,냉온수,공기조절 공급</t>
        </is>
      </c>
      <c r="Q1137" t="inlineStr">
        <is>
          <t>경기 포천시 신북면 신평리 661번지</t>
        </is>
      </c>
      <c r="R1137" t="inlineStr">
        <is>
          <t>경기 포천시 신북면 장자경제로 78</t>
        </is>
      </c>
    </row>
    <row r="1138">
      <c r="A1138" t="inlineStr">
        <is>
          <t>NICE:M31064</t>
        </is>
      </c>
      <c r="B1138" t="inlineStr">
        <is>
          <t>세진</t>
        </is>
      </c>
      <c r="C1138" t="inlineStr">
        <is>
          <t>이상엽</t>
        </is>
      </c>
      <c r="D1138" t="inlineStr">
        <is>
          <t>053-608-5131</t>
        </is>
      </c>
      <c r="E1138" t="inlineStr">
        <is>
          <t>0505-720-5161</t>
        </is>
      </c>
      <c r="G1138" t="inlineStr">
        <is>
          <t>5038616174</t>
        </is>
      </c>
      <c r="H1138" t="inlineStr">
        <is>
          <t>1701110545965</t>
        </is>
      </c>
      <c r="I1138" t="inlineStr">
        <is>
          <t>대상아님</t>
        </is>
      </c>
      <c r="J1138" t="inlineStr">
        <is>
          <t>일반법인</t>
        </is>
      </c>
      <c r="K1138" t="inlineStr">
        <is>
          <t>중소기업</t>
        </is>
      </c>
      <c r="L1138" t="inlineStr">
        <is>
          <t>외부감사대상</t>
        </is>
      </c>
      <c r="M1138" s="6" t="inlineStr">
        <is>
          <t>2014-11-04</t>
        </is>
      </c>
      <c r="N1138" t="inlineStr">
        <is>
          <t>KRI:10C3039900</t>
        </is>
      </c>
      <c r="O1138" t="inlineStr">
        <is>
          <t>그 외 자동차용 신품 부품 제조업</t>
        </is>
      </c>
      <c r="P1138" t="inlineStr">
        <is>
          <t>자동차부품 제조,도매,수출입</t>
        </is>
      </c>
      <c r="Q1138" t="inlineStr">
        <is>
          <t>경북 성주군 성주읍 학산리 929번지</t>
        </is>
      </c>
      <c r="R1138" t="inlineStr">
        <is>
          <t>경북 성주군 성주읍 성주산업단지로5길 73</t>
        </is>
      </c>
    </row>
    <row r="1139" ht="19.2" customHeight="1" s="1">
      <c r="A1139" t="inlineStr">
        <is>
          <t>NICE:M34055</t>
        </is>
      </c>
      <c r="B1139" t="inlineStr">
        <is>
          <t>아레텍</t>
        </is>
      </c>
      <c r="C1139" t="inlineStr">
        <is>
          <t>이학원</t>
        </is>
      </c>
      <c r="D1139" t="inlineStr">
        <is>
          <t>053-588-1740</t>
        </is>
      </c>
      <c r="E1139" t="inlineStr">
        <is>
          <t>053-592-1740</t>
        </is>
      </c>
      <c r="F1139" s="3">
        <f>HYPERLINK("http://www.are-tech.co.kr", "http://www.are-tech.co.kr")</f>
        <v/>
      </c>
      <c r="G1139" t="inlineStr">
        <is>
          <t>5148196800</t>
        </is>
      </c>
      <c r="H1139" t="inlineStr">
        <is>
          <t>1701110547086</t>
        </is>
      </c>
      <c r="I1139" t="inlineStr">
        <is>
          <t>대상아님</t>
        </is>
      </c>
      <c r="J1139" t="inlineStr">
        <is>
          <t>일반법인</t>
        </is>
      </c>
      <c r="K1139" t="inlineStr">
        <is>
          <t>중소기업</t>
        </is>
      </c>
      <c r="L1139" t="inlineStr">
        <is>
          <t>외부감사대상</t>
        </is>
      </c>
      <c r="M1139" s="6" t="inlineStr">
        <is>
          <t>2014-11-14</t>
        </is>
      </c>
      <c r="N1139" t="inlineStr">
        <is>
          <t>KRI:10C2612900</t>
        </is>
      </c>
      <c r="O1139" t="inlineStr">
        <is>
          <t>기타 반도체소자 제조업</t>
        </is>
      </c>
      <c r="P1139" t="inlineStr">
        <is>
          <t>반도체디스플레이장비 제조/부동산 임대/컴퓨터,주변기기 도소매</t>
        </is>
      </c>
      <c r="Q1139" t="inlineStr">
        <is>
          <t>대구 달성군 다사읍 세천리 1668-10번지 2동</t>
        </is>
      </c>
      <c r="R1139" t="inlineStr">
        <is>
          <t>대구 달성군 다사읍 세천로7길 17-10, 2동</t>
        </is>
      </c>
    </row>
    <row r="1140">
      <c r="A1140" t="inlineStr">
        <is>
          <t>NICE:M36040</t>
        </is>
      </c>
      <c r="B1140" t="inlineStr">
        <is>
          <t>인하에이앤티</t>
        </is>
      </c>
      <c r="C1140" t="inlineStr">
        <is>
          <t>윤복남</t>
        </is>
      </c>
      <c r="D1140" t="inlineStr">
        <is>
          <t>032-813-8250</t>
        </is>
      </c>
      <c r="E1140" t="inlineStr">
        <is>
          <t>032-813-8256</t>
        </is>
      </c>
      <c r="G1140" t="inlineStr">
        <is>
          <t>1378650897</t>
        </is>
      </c>
      <c r="H1140" t="inlineStr">
        <is>
          <t>1201110735813</t>
        </is>
      </c>
      <c r="I1140" t="inlineStr">
        <is>
          <t>대상아님</t>
        </is>
      </c>
      <c r="J1140" t="inlineStr">
        <is>
          <t>일반법인</t>
        </is>
      </c>
      <c r="K1140" t="inlineStr">
        <is>
          <t>중소기업</t>
        </is>
      </c>
      <c r="L1140" t="inlineStr">
        <is>
          <t>외부감사대상</t>
        </is>
      </c>
      <c r="M1140" s="6" t="inlineStr">
        <is>
          <t>2014-11-25</t>
        </is>
      </c>
      <c r="N1140" t="inlineStr">
        <is>
          <t>KRI:10C2929900</t>
        </is>
      </c>
      <c r="O1140" t="inlineStr">
        <is>
          <t>그 외 기타 특수목적용 기계 제조업</t>
        </is>
      </c>
      <c r="P1140" t="inlineStr">
        <is>
          <t>산업용기계부품 제조</t>
        </is>
      </c>
      <c r="Q1140" t="inlineStr">
        <is>
          <t>인천 남동구 고잔동 643-18번지</t>
        </is>
      </c>
      <c r="R1140" t="inlineStr">
        <is>
          <t>인천 남동구 남동동로183번길 14</t>
        </is>
      </c>
    </row>
    <row r="1141">
      <c r="A1141" t="inlineStr">
        <is>
          <t>NICE:M37416</t>
        </is>
      </c>
      <c r="B1141" t="inlineStr">
        <is>
          <t>해태산업</t>
        </is>
      </c>
      <c r="C1141" t="inlineStr">
        <is>
          <t>오희영</t>
        </is>
      </c>
      <c r="D1141" t="inlineStr">
        <is>
          <t>042-826-5595</t>
        </is>
      </c>
      <c r="E1141" t="inlineStr">
        <is>
          <t>042-824-5594</t>
        </is>
      </c>
      <c r="G1141" t="inlineStr">
        <is>
          <t>3188105638</t>
        </is>
      </c>
      <c r="H1141" t="inlineStr">
        <is>
          <t>1601110385991</t>
        </is>
      </c>
      <c r="I1141" t="inlineStr">
        <is>
          <t>대상아님</t>
        </is>
      </c>
      <c r="J1141" t="inlineStr">
        <is>
          <t>일반법인</t>
        </is>
      </c>
      <c r="K1141" t="inlineStr">
        <is>
          <t>중소기업</t>
        </is>
      </c>
      <c r="L1141" t="inlineStr">
        <is>
          <t>외부감사대상</t>
        </is>
      </c>
      <c r="M1141" s="6" t="inlineStr">
        <is>
          <t>2014-11-28</t>
        </is>
      </c>
      <c r="N1141" t="inlineStr">
        <is>
          <t>KRI:10S9699100</t>
        </is>
      </c>
      <c r="O1141" t="inlineStr">
        <is>
          <t>예식장업</t>
        </is>
      </c>
      <c r="P1141" t="inlineStr">
        <is>
          <t>예식장 운영</t>
        </is>
      </c>
      <c r="Q1141" t="inlineStr">
        <is>
          <t>대전 유성구 원신흥동 578-6번지</t>
        </is>
      </c>
      <c r="R1141" t="inlineStr">
        <is>
          <t>대전 유성구 동서대로 639</t>
        </is>
      </c>
    </row>
    <row r="1142" ht="19.2" customHeight="1" s="1">
      <c r="A1142" t="inlineStr">
        <is>
          <t>NICE:M38690</t>
        </is>
      </c>
      <c r="B1142" t="inlineStr">
        <is>
          <t>에스지씨그린파워</t>
        </is>
      </c>
      <c r="C1142" t="inlineStr">
        <is>
          <t>박준영</t>
        </is>
      </c>
      <c r="D1142" t="inlineStr">
        <is>
          <t>063-460-7200</t>
        </is>
      </c>
      <c r="E1142" t="inlineStr">
        <is>
          <t>063-469-7200</t>
        </is>
      </c>
      <c r="F1142" s="3">
        <f>HYPERLINK("http://www.sgcgreenpower.co.kr", "http://www.sgcgreenpower.co.kr")</f>
        <v/>
      </c>
      <c r="G1142" t="inlineStr">
        <is>
          <t>4018156346</t>
        </is>
      </c>
      <c r="H1142" t="inlineStr">
        <is>
          <t>2111110042698</t>
        </is>
      </c>
      <c r="I1142" t="inlineStr">
        <is>
          <t>대상아님</t>
        </is>
      </c>
      <c r="J1142" t="inlineStr">
        <is>
          <t>일반법인</t>
        </is>
      </c>
      <c r="K1142" t="inlineStr">
        <is>
          <t>대기업</t>
        </is>
      </c>
      <c r="L1142" t="inlineStr">
        <is>
          <t>외부감사대상</t>
        </is>
      </c>
      <c r="M1142" s="6" t="inlineStr">
        <is>
          <t>2014-12-04</t>
        </is>
      </c>
      <c r="N1142" t="inlineStr">
        <is>
          <t>KRI:10D3511300</t>
        </is>
      </c>
      <c r="O1142" t="inlineStr">
        <is>
          <t>화력 발전업</t>
        </is>
      </c>
      <c r="P1142" t="inlineStr">
        <is>
          <t>화력 발전,전기/건축자재 도소매</t>
        </is>
      </c>
      <c r="Q1142" t="inlineStr">
        <is>
          <t>전북 군산시 비응도동 36-23번지</t>
        </is>
      </c>
      <c r="R1142" t="inlineStr">
        <is>
          <t>전북 군산시 외항로 1331</t>
        </is>
      </c>
    </row>
    <row r="1143" ht="19.2" customHeight="1" s="1">
      <c r="A1143" t="inlineStr">
        <is>
          <t>NICE:M44603</t>
        </is>
      </c>
      <c r="B1143" t="inlineStr">
        <is>
          <t>임페리얼스포츠</t>
        </is>
      </c>
      <c r="C1143" t="inlineStr">
        <is>
          <t>오가현</t>
        </is>
      </c>
      <c r="D1143" t="inlineStr">
        <is>
          <t>02-460-9608</t>
        </is>
      </c>
      <c r="E1143" t="inlineStr">
        <is>
          <t>031-595-9823</t>
        </is>
      </c>
      <c r="F1143" s="3">
        <f>HYPERLINK("http://www.ipsl.co.kr", "http://www.ipsl.co.kr")</f>
        <v/>
      </c>
      <c r="G1143" t="inlineStr">
        <is>
          <t>1048629512</t>
        </is>
      </c>
      <c r="H1143" t="inlineStr">
        <is>
          <t>2841110257505</t>
        </is>
      </c>
      <c r="I1143" t="inlineStr">
        <is>
          <t>대상아님</t>
        </is>
      </c>
      <c r="J1143" t="inlineStr">
        <is>
          <t>일반법인</t>
        </is>
      </c>
      <c r="K1143" t="inlineStr">
        <is>
          <t>중소기업</t>
        </is>
      </c>
      <c r="L1143" t="inlineStr">
        <is>
          <t>외부감사대상</t>
        </is>
      </c>
      <c r="M1143" s="6" t="inlineStr">
        <is>
          <t>2013-05-16</t>
        </is>
      </c>
      <c r="N1143" t="inlineStr">
        <is>
          <t>KRI:10G4641300</t>
        </is>
      </c>
      <c r="O1143" t="inlineStr">
        <is>
          <t>남녀용 겉옷 및 셔츠 도매업</t>
        </is>
      </c>
      <c r="P1143" t="inlineStr">
        <is>
          <t>의류,신발 도소매,전자상거래,통신판매,무역/의류,신발,스포츠용품,등산용품 제조/태양력 발전,신재생에너지/부동산 임대/소프트웨어 자문,개발,공급</t>
        </is>
      </c>
      <c r="Q1143" t="inlineStr">
        <is>
          <t>경기 남양주시 수동면 송천리 297-24번지</t>
        </is>
      </c>
      <c r="R1143" t="inlineStr">
        <is>
          <t>경기 남양주시 수동면 비룡로586번안길 29-63</t>
        </is>
      </c>
    </row>
    <row r="1144" ht="19.2" customHeight="1" s="1">
      <c r="A1144" t="inlineStr">
        <is>
          <t>NICE:MA4223</t>
        </is>
      </c>
      <c r="B1144" t="inlineStr">
        <is>
          <t>제이앤쉬핑</t>
        </is>
      </c>
      <c r="C1144" t="inlineStr">
        <is>
          <t>허광식</t>
        </is>
      </c>
      <c r="D1144" t="inlineStr">
        <is>
          <t>02-3775-1938</t>
        </is>
      </c>
      <c r="E1144" t="inlineStr">
        <is>
          <t>02-3775-1936</t>
        </is>
      </c>
      <c r="F1144" s="3">
        <f>HYPERLINK("http://www.jnshipping.co.kr", "http://www.jnshipping.co.kr")</f>
        <v/>
      </c>
      <c r="G1144" t="inlineStr">
        <is>
          <t>5418601993</t>
        </is>
      </c>
      <c r="H1144" t="inlineStr">
        <is>
          <t>1348110592859</t>
        </is>
      </c>
      <c r="I1144" t="inlineStr">
        <is>
          <t>대상아님</t>
        </is>
      </c>
      <c r="J1144" t="inlineStr">
        <is>
          <t>일반법인</t>
        </is>
      </c>
      <c r="K1144" t="inlineStr">
        <is>
          <t>중소기업</t>
        </is>
      </c>
      <c r="L1144" t="inlineStr">
        <is>
          <t>외부감사대상</t>
        </is>
      </c>
      <c r="M1144" s="6" t="inlineStr">
        <is>
          <t>2020-12-10</t>
        </is>
      </c>
      <c r="N1144" t="inlineStr">
        <is>
          <t>KRI:10H5294200</t>
        </is>
      </c>
      <c r="O1144" t="inlineStr">
        <is>
          <t>수상 화물 취급업</t>
        </is>
      </c>
      <c r="P1144" t="inlineStr">
        <is>
          <t>해상 운송</t>
        </is>
      </c>
      <c r="Q1144" t="inlineStr">
        <is>
          <t>서울 영등포구 여의도동 14-5번지 여의도아크로폴리스 601호</t>
        </is>
      </c>
      <c r="R1144" t="inlineStr">
        <is>
          <t>서울 영등포구 국회대로72길 6, 601호 (여의도동,여의도아크로폴리스)</t>
        </is>
      </c>
    </row>
    <row r="1145">
      <c r="A1145" t="inlineStr">
        <is>
          <t>NICE:MB2084</t>
        </is>
      </c>
      <c r="B1145" t="inlineStr">
        <is>
          <t>화코스텍인터내셔널</t>
        </is>
      </c>
      <c r="C1145" t="inlineStr">
        <is>
          <t>계세찬</t>
        </is>
      </c>
      <c r="D1145" t="inlineStr">
        <is>
          <t>031-718-7226</t>
        </is>
      </c>
      <c r="E1145" t="inlineStr">
        <is>
          <t>031-718-7223</t>
        </is>
      </c>
      <c r="G1145" t="inlineStr">
        <is>
          <t>5798601848</t>
        </is>
      </c>
      <c r="H1145" t="inlineStr">
        <is>
          <t>1311110616268</t>
        </is>
      </c>
      <c r="I1145" t="inlineStr">
        <is>
          <t>대상아님</t>
        </is>
      </c>
      <c r="J1145" t="inlineStr">
        <is>
          <t>일반법인</t>
        </is>
      </c>
      <c r="K1145" t="inlineStr">
        <is>
          <t>중소기업</t>
        </is>
      </c>
      <c r="L1145" t="inlineStr">
        <is>
          <t>외부감사대상</t>
        </is>
      </c>
      <c r="M1145" s="6" t="inlineStr">
        <is>
          <t>2020-12-29</t>
        </is>
      </c>
      <c r="N1145" t="inlineStr">
        <is>
          <t>KRI:10G4673900</t>
        </is>
      </c>
      <c r="O1145" t="inlineStr">
        <is>
          <t>기타 화학물질 및 화학제품 도매업</t>
        </is>
      </c>
      <c r="P1145" t="inlineStr">
        <is>
          <t>화장품원료 도소매,제조/무역,오퍼상/부동산 임대</t>
        </is>
      </c>
      <c r="Q1145" t="inlineStr">
        <is>
          <t>경기 성남시 분당구 운중동 1017-2번지 이레빌딩 4층</t>
        </is>
      </c>
      <c r="R1145" t="inlineStr">
        <is>
          <t>경기 성남시 분당구 운중로 194, 4층 (운중동,이레빌딩)</t>
        </is>
      </c>
    </row>
    <row r="1146" ht="19.2" customHeight="1" s="1">
      <c r="A1146" t="inlineStr">
        <is>
          <t>NICE:MB2181</t>
        </is>
      </c>
      <c r="B1146" t="inlineStr">
        <is>
          <t>엠피에스</t>
        </is>
      </c>
      <c r="C1146" t="inlineStr">
        <is>
          <t>김대웅</t>
        </is>
      </c>
      <c r="D1146" t="inlineStr">
        <is>
          <t>062-961-0322</t>
        </is>
      </c>
      <c r="E1146" t="inlineStr">
        <is>
          <t>062-962-0322</t>
        </is>
      </c>
      <c r="F1146" s="3">
        <f>HYPERLINK("http://mpsglobal.co.kr/", "http://mpsglobal.co.kr/")</f>
        <v/>
      </c>
      <c r="G1146" t="inlineStr">
        <is>
          <t>4308701986</t>
        </is>
      </c>
      <c r="H1146" t="inlineStr">
        <is>
          <t>1358110409235</t>
        </is>
      </c>
      <c r="I1146" t="inlineStr">
        <is>
          <t>대상아님</t>
        </is>
      </c>
      <c r="J1146" t="inlineStr">
        <is>
          <t>일반법인</t>
        </is>
      </c>
      <c r="K1146" t="inlineStr">
        <is>
          <t>중소기업</t>
        </is>
      </c>
      <c r="L1146" t="inlineStr">
        <is>
          <t>외부감사대상</t>
        </is>
      </c>
      <c r="M1146" s="6" t="inlineStr">
        <is>
          <t>2020-12-28</t>
        </is>
      </c>
      <c r="N1146" t="inlineStr">
        <is>
          <t>KRI:10C2629900</t>
        </is>
      </c>
      <c r="O1146" t="inlineStr">
        <is>
          <t>그 외 기타 전자부품 제조업</t>
        </is>
      </c>
      <c r="P1146" t="inlineStr">
        <is>
          <t>전자제품 부품소재 제조/부동산 임대</t>
        </is>
      </c>
      <c r="Q1146" t="inlineStr">
        <is>
          <t>광주 광산구 오선동 547-27번지</t>
        </is>
      </c>
      <c r="R1146" t="inlineStr">
        <is>
          <t>광주 광산구 하남산단8번로 114</t>
        </is>
      </c>
    </row>
    <row r="1147">
      <c r="A1147" t="inlineStr">
        <is>
          <t>NICE:ME0820</t>
        </is>
      </c>
      <c r="B1147" t="inlineStr">
        <is>
          <t>다이와로얄코리아</t>
        </is>
      </c>
      <c r="C1147" t="inlineStr">
        <is>
          <t>타카츠카쿠니미츠</t>
        </is>
      </c>
      <c r="D1147" t="inlineStr">
        <is>
          <t>02-3702-0300</t>
        </is>
      </c>
      <c r="E1147" t="inlineStr">
        <is>
          <t>02-3702-0301</t>
        </is>
      </c>
      <c r="G1147" t="inlineStr">
        <is>
          <t>3258802055</t>
        </is>
      </c>
      <c r="H1147" t="inlineStr">
        <is>
          <t>1101117779238</t>
        </is>
      </c>
      <c r="I1147" t="inlineStr">
        <is>
          <t>대상아님</t>
        </is>
      </c>
      <c r="J1147" t="inlineStr">
        <is>
          <t>일반법인</t>
        </is>
      </c>
      <c r="K1147" t="inlineStr">
        <is>
          <t>중소기업</t>
        </is>
      </c>
      <c r="L1147" t="inlineStr">
        <is>
          <t>외부감사대상</t>
        </is>
      </c>
      <c r="M1147" s="6" t="inlineStr">
        <is>
          <t>2021-02-05</t>
        </is>
      </c>
      <c r="N1147" t="inlineStr">
        <is>
          <t>KRI:10I5510100</t>
        </is>
      </c>
      <c r="O1147" t="inlineStr">
        <is>
          <t>호텔업</t>
        </is>
      </c>
      <c r="P1147" t="inlineStr">
        <is>
          <t>관광호텔/관광기념품,편의점,제과점 도소매</t>
        </is>
      </c>
      <c r="Q1147" t="inlineStr">
        <is>
          <t>서울 마포구 도화동 573번지 3층</t>
        </is>
      </c>
      <c r="R1147" t="inlineStr">
        <is>
          <t>서울 마포구 마포대로 67, 3층</t>
        </is>
      </c>
    </row>
    <row r="1148">
      <c r="A1148" t="inlineStr">
        <is>
          <t>NICE:ME2425</t>
        </is>
      </c>
      <c r="B1148" t="inlineStr">
        <is>
          <t>라온어스</t>
        </is>
      </c>
      <c r="C1148" t="inlineStr">
        <is>
          <t>김주용</t>
        </is>
      </c>
      <c r="D1148" t="inlineStr">
        <is>
          <t>02-6010-1999</t>
        </is>
      </c>
      <c r="G1148" t="inlineStr">
        <is>
          <t>2378102201</t>
        </is>
      </c>
      <c r="H1148" t="inlineStr">
        <is>
          <t>1101117787463</t>
        </is>
      </c>
      <c r="I1148" t="inlineStr">
        <is>
          <t>대상아님</t>
        </is>
      </c>
      <c r="J1148" t="inlineStr">
        <is>
          <t>일반법인</t>
        </is>
      </c>
      <c r="K1148" t="inlineStr">
        <is>
          <t>중소기업</t>
        </is>
      </c>
      <c r="L1148" t="inlineStr">
        <is>
          <t>외부감사비대상</t>
        </is>
      </c>
      <c r="M1148" s="6" t="inlineStr">
        <is>
          <t>2021-02-17</t>
        </is>
      </c>
      <c r="N1148" t="inlineStr">
        <is>
          <t>KRI:10G4651000</t>
        </is>
      </c>
      <c r="O1148" t="inlineStr">
        <is>
          <t>컴퓨터 및 주변장치, 소프트웨어 도매업</t>
        </is>
      </c>
      <c r="P1148" t="inlineStr">
        <is>
          <t>컴퓨터,주변기기 도소매/부동산임대/컴퓨터시스템 통합자문,구축,소프트웨어 유지보수,개발,공급</t>
        </is>
      </c>
      <c r="Q1148" t="inlineStr">
        <is>
          <t>서울 마포구 대흥동 169-1번지 201호 301호</t>
        </is>
      </c>
      <c r="R1148" t="inlineStr">
        <is>
          <t>서울 마포구 백범로15길 11-6, 201호 301호</t>
        </is>
      </c>
    </row>
    <row r="1149" ht="19.2" customHeight="1" s="1">
      <c r="A1149" t="inlineStr">
        <is>
          <t>NICE:ME7700</t>
        </is>
      </c>
      <c r="B1149" t="inlineStr">
        <is>
          <t>부산신항웅동개발</t>
        </is>
      </c>
      <c r="C1149" t="inlineStr">
        <is>
          <t>김석환</t>
        </is>
      </c>
      <c r="D1149" t="inlineStr">
        <is>
          <t>055-551-1160</t>
        </is>
      </c>
      <c r="E1149" t="inlineStr">
        <is>
          <t>055-551-1161</t>
        </is>
      </c>
      <c r="F1149" s="3">
        <f>HYPERLINK("http://www.부산신항웅동개발.com", "http://www.부산신항웅동개발.com")</f>
        <v/>
      </c>
      <c r="G1149" t="inlineStr">
        <is>
          <t>4628602082</t>
        </is>
      </c>
      <c r="H1149" t="inlineStr">
        <is>
          <t>1942110330762</t>
        </is>
      </c>
      <c r="I1149" t="inlineStr">
        <is>
          <t>대상아님</t>
        </is>
      </c>
      <c r="J1149" t="inlineStr">
        <is>
          <t>일반법인</t>
        </is>
      </c>
      <c r="K1149" t="inlineStr">
        <is>
          <t>대기업</t>
        </is>
      </c>
      <c r="L1149" t="inlineStr">
        <is>
          <t>외부감사대상</t>
        </is>
      </c>
      <c r="M1149" s="6" t="inlineStr">
        <is>
          <t>2021-02-26</t>
        </is>
      </c>
      <c r="N1149" t="inlineStr">
        <is>
          <t>KRI:10L6821200</t>
        </is>
      </c>
      <c r="O1149" t="inlineStr">
        <is>
          <t>비주거용 부동산 관리업</t>
        </is>
      </c>
      <c r="P1149" t="inlineStr">
        <is>
          <t>부동산 관리,개발,공급</t>
        </is>
      </c>
      <c r="Q1149" t="inlineStr">
        <is>
          <t>경남 창원시 진해구 용원동 1343-5번지 신항에비뉴타워 4층</t>
        </is>
      </c>
      <c r="R1149" t="inlineStr">
        <is>
          <t>경남 창원시 진해구 신항4로 47-14, 4층 (용원동,신항에비뉴타워)</t>
        </is>
      </c>
    </row>
    <row r="1150">
      <c r="A1150" t="inlineStr">
        <is>
          <t>NICE:MH2828</t>
        </is>
      </c>
      <c r="B1150" t="inlineStr">
        <is>
          <t>인천검단3차피에프브이</t>
        </is>
      </c>
      <c r="C1150" t="inlineStr">
        <is>
          <t>노재영</t>
        </is>
      </c>
      <c r="D1150" t="inlineStr">
        <is>
          <t>02-586-5400</t>
        </is>
      </c>
      <c r="E1150" t="inlineStr">
        <is>
          <t>02-586-5401</t>
        </is>
      </c>
      <c r="G1150" t="inlineStr">
        <is>
          <t>6738602023</t>
        </is>
      </c>
      <c r="H1150" t="inlineStr">
        <is>
          <t>1201111133743</t>
        </is>
      </c>
      <c r="I1150" t="inlineStr">
        <is>
          <t>대상아님</t>
        </is>
      </c>
      <c r="J1150" t="inlineStr">
        <is>
          <t>일반법인</t>
        </is>
      </c>
      <c r="K1150" t="inlineStr">
        <is>
          <t>중소기업</t>
        </is>
      </c>
      <c r="L1150" t="inlineStr">
        <is>
          <t>외부감사대상</t>
        </is>
      </c>
      <c r="M1150" s="6" t="inlineStr">
        <is>
          <t>2021-03-04</t>
        </is>
      </c>
      <c r="N1150" t="inlineStr">
        <is>
          <t>KRI:10L6812100</t>
        </is>
      </c>
      <c r="O1150" t="inlineStr">
        <is>
          <t>주거용 건물 개발 및 공급업</t>
        </is>
      </c>
      <c r="P1150" t="inlineStr">
        <is>
          <t>부동산 개발,공급</t>
        </is>
      </c>
      <c r="Q1150" t="inlineStr">
        <is>
          <t>인천 중구 중산동 1911-2번지 한신더휴스카이파크 상가동 106호</t>
        </is>
      </c>
      <c r="R1150" t="inlineStr">
        <is>
          <t>인천 중구 은하수로 229, 상가동 106호 (중산동,한신더휴스카이파크)</t>
        </is>
      </c>
    </row>
    <row r="1151">
      <c r="A1151" t="inlineStr">
        <is>
          <t>NICE:MI1750</t>
        </is>
      </c>
      <c r="B1151" t="inlineStr">
        <is>
          <t>스페이스플래닝</t>
        </is>
      </c>
      <c r="C1151" t="inlineStr">
        <is>
          <t>신현욱/정우석</t>
        </is>
      </c>
      <c r="D1151" t="inlineStr">
        <is>
          <t>02-558-0415</t>
        </is>
      </c>
      <c r="E1151" t="inlineStr">
        <is>
          <t>02-567-0233</t>
        </is>
      </c>
      <c r="G1151" t="inlineStr">
        <is>
          <t>6888102239</t>
        </is>
      </c>
      <c r="H1151" t="inlineStr">
        <is>
          <t>1101117824041</t>
        </is>
      </c>
      <c r="I1151" t="inlineStr">
        <is>
          <t>대상아님</t>
        </is>
      </c>
      <c r="J1151" t="inlineStr">
        <is>
          <t>일반법인</t>
        </is>
      </c>
      <c r="K1151" t="inlineStr">
        <is>
          <t>중소기업</t>
        </is>
      </c>
      <c r="L1151" t="inlineStr">
        <is>
          <t>외부감사대상</t>
        </is>
      </c>
      <c r="M1151" s="6" t="inlineStr">
        <is>
          <t>2021-03-22</t>
        </is>
      </c>
      <c r="N1151" t="inlineStr">
        <is>
          <t>KRI:10F4112100</t>
        </is>
      </c>
      <c r="O1151" t="inlineStr">
        <is>
          <t>사무ㆍ상업용 및 공공기관용 건물 건설업</t>
        </is>
      </c>
      <c r="P1151" t="inlineStr">
        <is>
          <t>실내건축공사,인테리어공사/가구 도소매/부동산 임대/인테리어 디자인</t>
        </is>
      </c>
      <c r="Q1151" t="inlineStr">
        <is>
          <t>서울 강남구 대치동 995-23번지 5층</t>
        </is>
      </c>
      <c r="R1151" t="inlineStr">
        <is>
          <t>서울 강남구 테헤란로104길 12, 5층</t>
        </is>
      </c>
    </row>
    <row r="1152">
      <c r="A1152" t="inlineStr">
        <is>
          <t>NICE:MI6070</t>
        </is>
      </c>
      <c r="B1152" t="inlineStr">
        <is>
          <t>파세스</t>
        </is>
      </c>
      <c r="C1152" t="inlineStr">
        <is>
          <t>이태교</t>
        </is>
      </c>
      <c r="G1152" t="inlineStr">
        <is>
          <t>6238801945</t>
        </is>
      </c>
      <c r="H1152" t="inlineStr">
        <is>
          <t>2001110630032</t>
        </is>
      </c>
      <c r="I1152" t="inlineStr">
        <is>
          <t>대상아님</t>
        </is>
      </c>
      <c r="J1152" t="inlineStr">
        <is>
          <t>일반법인</t>
        </is>
      </c>
      <c r="K1152" t="inlineStr">
        <is>
          <t>중소기업</t>
        </is>
      </c>
      <c r="L1152" t="inlineStr">
        <is>
          <t>외부감사비대상</t>
        </is>
      </c>
      <c r="M1152" s="6" t="inlineStr">
        <is>
          <t>2021-03-25</t>
        </is>
      </c>
      <c r="N1152" t="inlineStr">
        <is>
          <t>KRI:10G4719000</t>
        </is>
      </c>
      <c r="O1152" t="inlineStr">
        <is>
          <t>그 외 기타 종합 소매업</t>
        </is>
      </c>
      <c r="P1152" t="inlineStr">
        <is>
          <t>안전용품,시설물설치,자동차 중고 부품 및 내장품 판매업,자동차용 전용 신품 부품 판매업,식자재,골재 판매업,의료용 기구 소매업,전자상거래 소매업</t>
        </is>
      </c>
      <c r="Q1152" t="inlineStr">
        <is>
          <t>충남 당진시 합덕읍 소소리 627번지 관리동 3층</t>
        </is>
      </c>
      <c r="R1152" t="inlineStr">
        <is>
          <t>충남 당진시 합덕읍 합덕산단2로 68, 관리동 3층</t>
        </is>
      </c>
    </row>
    <row r="1153" ht="19.2" customHeight="1" s="1">
      <c r="A1153" t="inlineStr">
        <is>
          <t>NICE:MP2426</t>
        </is>
      </c>
      <c r="B1153" t="inlineStr">
        <is>
          <t>휴온스바이오파마</t>
        </is>
      </c>
      <c r="C1153" t="inlineStr">
        <is>
          <t>김영목</t>
        </is>
      </c>
      <c r="D1153" t="inlineStr">
        <is>
          <t>070-7492-5891</t>
        </is>
      </c>
      <c r="E1153" t="inlineStr">
        <is>
          <t>031-624-7880</t>
        </is>
      </c>
      <c r="F1153" s="3">
        <f>HYPERLINK("http://huonsbiopharma.com", "http://huonsbiopharma.com")</f>
        <v/>
      </c>
      <c r="G1153" t="inlineStr">
        <is>
          <t>1818602034</t>
        </is>
      </c>
      <c r="H1153" t="inlineStr">
        <is>
          <t>1311110626704</t>
        </is>
      </c>
      <c r="I1153" t="inlineStr">
        <is>
          <t>대상아님</t>
        </is>
      </c>
      <c r="J1153" t="inlineStr">
        <is>
          <t>일반법인</t>
        </is>
      </c>
      <c r="K1153" t="inlineStr">
        <is>
          <t>중소기업</t>
        </is>
      </c>
      <c r="L1153" t="inlineStr">
        <is>
          <t>외부감사대상</t>
        </is>
      </c>
      <c r="M1153" s="6" t="inlineStr">
        <is>
          <t>2021-04-02</t>
        </is>
      </c>
      <c r="N1153" t="inlineStr">
        <is>
          <t>KRI:10C2121000</t>
        </is>
      </c>
      <c r="O1153" t="inlineStr">
        <is>
          <t>완제 의약품 제조업</t>
        </is>
      </c>
      <c r="P1153" t="inlineStr">
        <is>
          <t>의약품,의약외품,합성수지가공,동물용의약품,생물학적제제,의료기기,이산화탄소저감장치 제조</t>
        </is>
      </c>
      <c r="Q1153" t="inlineStr">
        <is>
          <t>경기 성남시 수정구 시흥동 339번지 판교아이스퀘어 A동 7층</t>
        </is>
      </c>
      <c r="R1153" t="inlineStr">
        <is>
          <t>경기 성남시 수정구 창업로 17, A동 7층 (시흥동,판교 아이스퀘어)</t>
        </is>
      </c>
    </row>
    <row r="1154">
      <c r="A1154" t="inlineStr">
        <is>
          <t>NICE:NC7832</t>
        </is>
      </c>
      <c r="B1154" t="inlineStr">
        <is>
          <t>이엠코리아</t>
        </is>
      </c>
      <c r="C1154" t="inlineStr">
        <is>
          <t>허상준</t>
        </is>
      </c>
      <c r="D1154" t="inlineStr">
        <is>
          <t>070-4496-4646</t>
        </is>
      </c>
      <c r="G1154" t="inlineStr">
        <is>
          <t>7148602232</t>
        </is>
      </c>
      <c r="H1154" t="inlineStr">
        <is>
          <t>1348110613324</t>
        </is>
      </c>
      <c r="I1154" t="inlineStr">
        <is>
          <t>대상아님</t>
        </is>
      </c>
      <c r="J1154" t="inlineStr">
        <is>
          <t>일반법인</t>
        </is>
      </c>
      <c r="K1154" t="inlineStr">
        <is>
          <t>중소기업</t>
        </is>
      </c>
      <c r="L1154" t="inlineStr">
        <is>
          <t>외부감사대상</t>
        </is>
      </c>
      <c r="M1154" s="6" t="inlineStr">
        <is>
          <t>2021-04-08</t>
        </is>
      </c>
      <c r="N1154" t="inlineStr">
        <is>
          <t>KRI:10G4511000</t>
        </is>
      </c>
      <c r="O1154" t="inlineStr">
        <is>
          <t>자동차 신품 판매업</t>
        </is>
      </c>
      <c r="P1154" t="inlineStr">
        <is>
          <t>전기차 판매/전기충전소 운영</t>
        </is>
      </c>
      <c r="Q1154" t="inlineStr">
        <is>
          <t>경기 화성시 병점구 안녕동 157-1번지</t>
        </is>
      </c>
      <c r="R1154" t="inlineStr">
        <is>
          <t>경기 화성시 병점구 안녕남로 111</t>
        </is>
      </c>
    </row>
    <row r="1155">
      <c r="A1155" t="inlineStr">
        <is>
          <t>NICE:NN5275</t>
        </is>
      </c>
      <c r="B1155" t="inlineStr">
        <is>
          <t>현민건설</t>
        </is>
      </c>
      <c r="C1155" t="inlineStr">
        <is>
          <t>송명근</t>
        </is>
      </c>
      <c r="D1155" t="inlineStr">
        <is>
          <t>042-286-1002</t>
        </is>
      </c>
      <c r="E1155" t="inlineStr">
        <is>
          <t>042-285-1102</t>
        </is>
      </c>
      <c r="G1155" t="inlineStr">
        <is>
          <t>4288601818</t>
        </is>
      </c>
      <c r="H1155" t="inlineStr">
        <is>
          <t>1601110589452</t>
        </is>
      </c>
      <c r="I1155" t="inlineStr">
        <is>
          <t>대상아님</t>
        </is>
      </c>
      <c r="J1155" t="inlineStr">
        <is>
          <t>일반법인</t>
        </is>
      </c>
      <c r="K1155" t="inlineStr">
        <is>
          <t>중견기업</t>
        </is>
      </c>
      <c r="L1155" t="inlineStr">
        <is>
          <t>외부감사대상</t>
        </is>
      </c>
      <c r="M1155" s="6" t="inlineStr">
        <is>
          <t>2021-04-23</t>
        </is>
      </c>
      <c r="N1155" t="inlineStr">
        <is>
          <t>KRI:10F4213200</t>
        </is>
      </c>
      <c r="O1155" t="inlineStr">
        <is>
          <t>콘크리트 및 철근 공사업</t>
        </is>
      </c>
      <c r="P1155" t="inlineStr">
        <is>
          <t>철근콘크리트공사업,비계공사업</t>
        </is>
      </c>
      <c r="Q1155" t="inlineStr">
        <is>
          <t>대전 동구 중동 75-10번지 2층</t>
        </is>
      </c>
      <c r="R1155" t="inlineStr">
        <is>
          <t>대전 동구 대전로 788-1, 2층</t>
        </is>
      </c>
    </row>
    <row r="1156">
      <c r="A1156" t="inlineStr">
        <is>
          <t>NICE:O38207</t>
        </is>
      </c>
      <c r="B1156" t="inlineStr">
        <is>
          <t>쉐브론사우스코리아아이피홀딩스</t>
        </is>
      </c>
      <c r="C1156" t="inlineStr">
        <is>
          <t>페인브라이언크리스토퍼</t>
        </is>
      </c>
      <c r="D1156" t="inlineStr">
        <is>
          <t>02-2005-6035</t>
        </is>
      </c>
      <c r="E1156" t="inlineStr">
        <is>
          <t>02-565-7588</t>
        </is>
      </c>
      <c r="G1156" t="inlineStr">
        <is>
          <t>2208753586</t>
        </is>
      </c>
      <c r="H1156" t="inlineStr">
        <is>
          <t>1101140069953</t>
        </is>
      </c>
      <c r="I1156" t="inlineStr">
        <is>
          <t>대상아님</t>
        </is>
      </c>
      <c r="J1156" t="inlineStr">
        <is>
          <t>일반법인</t>
        </is>
      </c>
      <c r="K1156" t="inlineStr">
        <is>
          <t>중소기업</t>
        </is>
      </c>
      <c r="L1156" t="inlineStr">
        <is>
          <t>외부감사비대상</t>
        </is>
      </c>
      <c r="M1156" s="6" t="inlineStr">
        <is>
          <t>2007-08-30</t>
        </is>
      </c>
      <c r="N1156" t="inlineStr">
        <is>
          <t>KRI:10K6420900</t>
        </is>
      </c>
      <c r="O1156" t="inlineStr">
        <is>
          <t>기타 금융 투자업</t>
        </is>
      </c>
      <c r="P1156" t="inlineStr">
        <is>
          <t>투자기관</t>
        </is>
      </c>
      <c r="Q1156" t="inlineStr">
        <is>
          <t>서울 강남구 역삼동 679번지 지에스타워 33층</t>
        </is>
      </c>
      <c r="R1156" t="inlineStr">
        <is>
          <t>서울 강남구 논현로 508, 33층 (역삼동,지에스타워)</t>
        </is>
      </c>
    </row>
    <row r="1157">
      <c r="A1157" t="inlineStr">
        <is>
          <t>NICE:OE5616</t>
        </is>
      </c>
      <c r="B1157" t="inlineStr">
        <is>
          <t>픽톤</t>
        </is>
      </c>
      <c r="C1157" t="inlineStr">
        <is>
          <t>이병훈</t>
        </is>
      </c>
      <c r="G1157" t="inlineStr">
        <is>
          <t>1968102410</t>
        </is>
      </c>
      <c r="H1157" t="inlineStr">
        <is>
          <t>1101117883633</t>
        </is>
      </c>
      <c r="I1157" t="inlineStr">
        <is>
          <t>대상아님</t>
        </is>
      </c>
      <c r="J1157" t="inlineStr">
        <is>
          <t>일반법인</t>
        </is>
      </c>
      <c r="K1157" t="inlineStr">
        <is>
          <t>중소기업</t>
        </is>
      </c>
      <c r="L1157" t="inlineStr">
        <is>
          <t>외부감사대상</t>
        </is>
      </c>
      <c r="M1157" s="6" t="inlineStr">
        <is>
          <t>2021-05-12</t>
        </is>
      </c>
      <c r="N1157" t="inlineStr">
        <is>
          <t>KRI:10G4644300</t>
        </is>
      </c>
      <c r="O1157" t="inlineStr">
        <is>
          <t>화장품 및 화장용품 도매업</t>
        </is>
      </c>
      <c r="P1157" t="inlineStr">
        <is>
          <t>화장품</t>
        </is>
      </c>
      <c r="Q1157" t="inlineStr">
        <is>
          <t>서울 마포구 성산동 63번지</t>
        </is>
      </c>
      <c r="R1157" t="inlineStr">
        <is>
          <t>서울 마포구 월드컵북로15길 45</t>
        </is>
      </c>
    </row>
    <row r="1158" ht="19.2" customHeight="1" s="1">
      <c r="A1158" t="inlineStr">
        <is>
          <t>NICE:OK4222</t>
        </is>
      </c>
      <c r="B1158" t="inlineStr">
        <is>
          <t>비엔세라</t>
        </is>
      </c>
      <c r="C1158" t="inlineStr">
        <is>
          <t>라흐맛조다자혼기르/파르비즈라흐맛조다</t>
        </is>
      </c>
      <c r="D1158" t="inlineStr">
        <is>
          <t>032-822-9958</t>
        </is>
      </c>
      <c r="E1158" t="inlineStr">
        <is>
          <t>032-822-9959</t>
        </is>
      </c>
      <c r="F1158" s="3">
        <f>HYPERLINK("http://www.mybncglobal.com/", "http://www.mybncglobal.com/")</f>
        <v/>
      </c>
      <c r="G1158" t="inlineStr">
        <is>
          <t>1378802104</t>
        </is>
      </c>
      <c r="H1158" t="inlineStr">
        <is>
          <t>1201111152636</t>
        </is>
      </c>
      <c r="I1158" t="inlineStr">
        <is>
          <t>대상아님</t>
        </is>
      </c>
      <c r="J1158" t="inlineStr">
        <is>
          <t>일반법인</t>
        </is>
      </c>
      <c r="K1158" t="inlineStr">
        <is>
          <t>중소기업</t>
        </is>
      </c>
      <c r="L1158" t="inlineStr">
        <is>
          <t>외부감사대상</t>
        </is>
      </c>
      <c r="M1158" s="6" t="inlineStr">
        <is>
          <t>2021-05-25</t>
        </is>
      </c>
      <c r="N1158" t="inlineStr">
        <is>
          <t>KRI:10G4644100</t>
        </is>
      </c>
      <c r="O1158" t="inlineStr">
        <is>
          <t>의약품 도매업</t>
        </is>
      </c>
      <c r="P1158" t="inlineStr">
        <is>
          <t>의약품,의료기기,화장품 도소매,무역/부동산 임대/포장,충전</t>
        </is>
      </c>
      <c r="Q1158" t="inlineStr">
        <is>
          <t>인천 연수구 송도동 172-1번지 송도테크노파크아이티센터 M동 2804호</t>
        </is>
      </c>
      <c r="R1158" t="inlineStr">
        <is>
          <t>인천 연수구 송도과학로 32, M동 2804호 (송도동,송도테크노파크아이티센터)</t>
        </is>
      </c>
    </row>
    <row r="1159">
      <c r="A1159" t="inlineStr">
        <is>
          <t>NICE:OL7793</t>
        </is>
      </c>
      <c r="B1159" t="inlineStr">
        <is>
          <t>코람코지속성장오피스제1호위탁관리모부동산투자회사</t>
        </is>
      </c>
      <c r="C1159" t="inlineStr">
        <is>
          <t>(주)코람코자산신탁</t>
        </is>
      </c>
      <c r="D1159" t="inlineStr">
        <is>
          <t>02-787-0083</t>
        </is>
      </c>
      <c r="G1159" t="inlineStr">
        <is>
          <t>2728801975</t>
        </is>
      </c>
      <c r="H1159" t="inlineStr">
        <is>
          <t>1101117921392</t>
        </is>
      </c>
      <c r="I1159" t="inlineStr">
        <is>
          <t>대상아님</t>
        </is>
      </c>
      <c r="J1159" t="inlineStr">
        <is>
          <t>일반법인</t>
        </is>
      </c>
      <c r="K1159" t="inlineStr">
        <is>
          <t>중소기업</t>
        </is>
      </c>
      <c r="L1159" t="inlineStr">
        <is>
          <t>외부감사대상</t>
        </is>
      </c>
      <c r="M1159" s="6" t="inlineStr">
        <is>
          <t>2021-06-14</t>
        </is>
      </c>
      <c r="N1159" t="inlineStr">
        <is>
          <t>KRI:10L6811200</t>
        </is>
      </c>
      <c r="O1159" t="inlineStr">
        <is>
          <t>비주거용 건물 임대업</t>
        </is>
      </c>
      <c r="P1159" t="inlineStr">
        <is>
          <t>부동산 임대,관리</t>
        </is>
      </c>
      <c r="Q1159" t="inlineStr">
        <is>
          <t>서울 강남구 삼성동 144-17번지 골든타워 코람코자산신탁 내</t>
        </is>
      </c>
      <c r="R1159" t="inlineStr">
        <is>
          <t>서울 강남구 삼성로 511, 코람코자산신탁 내 (삼성동,골든타워)</t>
        </is>
      </c>
    </row>
    <row r="1160">
      <c r="A1160" t="inlineStr">
        <is>
          <t>NICE:OM2388</t>
        </is>
      </c>
      <c r="B1160" t="inlineStr">
        <is>
          <t>서진팜</t>
        </is>
      </c>
      <c r="C1160" t="inlineStr">
        <is>
          <t>권순호</t>
        </is>
      </c>
      <c r="G1160" t="inlineStr">
        <is>
          <t>3158702143</t>
        </is>
      </c>
      <c r="H1160" t="inlineStr">
        <is>
          <t>1711110049510</t>
        </is>
      </c>
      <c r="I1160" t="inlineStr">
        <is>
          <t>대상아님</t>
        </is>
      </c>
      <c r="J1160" t="inlineStr">
        <is>
          <t>일반법인</t>
        </is>
      </c>
      <c r="K1160" t="inlineStr">
        <is>
          <t>중소기업</t>
        </is>
      </c>
      <c r="L1160" t="inlineStr">
        <is>
          <t>외부감사대상</t>
        </is>
      </c>
      <c r="M1160" s="6" t="inlineStr">
        <is>
          <t>2021-06-25</t>
        </is>
      </c>
      <c r="N1160" t="inlineStr">
        <is>
          <t>KRI:10G4644100</t>
        </is>
      </c>
      <c r="O1160" t="inlineStr">
        <is>
          <t>의약품 도매업</t>
        </is>
      </c>
      <c r="P1160" t="inlineStr">
        <is>
          <t>의약품 도매업</t>
        </is>
      </c>
      <c r="Q1160" t="inlineStr">
        <is>
          <t>경북 안동시 용상동 1517-255번지 성곡하우스 2층 202호</t>
        </is>
      </c>
      <c r="R1160" t="inlineStr">
        <is>
          <t>경북 안동시 중평길 107-22, 2층 202호 (용상동,성곡하우스)</t>
        </is>
      </c>
    </row>
    <row r="1161" ht="19.2" customHeight="1" s="1">
      <c r="A1161" t="inlineStr">
        <is>
          <t>NICE:OM9764</t>
        </is>
      </c>
      <c r="B1161" t="inlineStr">
        <is>
          <t>그린에코넥서스</t>
        </is>
      </c>
      <c r="C1161" t="inlineStr">
        <is>
          <t>이의진</t>
        </is>
      </c>
      <c r="D1161" t="inlineStr">
        <is>
          <t>031-683-7704</t>
        </is>
      </c>
      <c r="E1161" t="inlineStr">
        <is>
          <t>031-684-7703</t>
        </is>
      </c>
      <c r="F1161" s="3">
        <f>HYPERLINK("http://www.eco-solutions.kr", "http://www.eco-solutions.kr")</f>
        <v/>
      </c>
      <c r="G1161" t="inlineStr">
        <is>
          <t>3228602066</t>
        </is>
      </c>
      <c r="H1161" t="inlineStr">
        <is>
          <t>1101117952305</t>
        </is>
      </c>
      <c r="I1161" t="inlineStr">
        <is>
          <t>대상아님</t>
        </is>
      </c>
      <c r="J1161" t="inlineStr">
        <is>
          <t>일반법인</t>
        </is>
      </c>
      <c r="K1161" t="inlineStr">
        <is>
          <t>중견기업</t>
        </is>
      </c>
      <c r="L1161" t="inlineStr">
        <is>
          <t>외부감사대상</t>
        </is>
      </c>
      <c r="M1161" s="6" t="inlineStr">
        <is>
          <t>2021-07-09</t>
        </is>
      </c>
      <c r="N1161" t="inlineStr">
        <is>
          <t>KRI:10E3811000</t>
        </is>
      </c>
      <c r="O1161" t="inlineStr">
        <is>
          <t>지정 외 폐기물 수집, 운반업</t>
        </is>
      </c>
      <c r="P1161" t="inlineStr">
        <is>
          <t>폐기물 수집,운반/과학,환경기술 서비스/산업용기계,장비 임대</t>
        </is>
      </c>
      <c r="Q1161" t="inlineStr">
        <is>
          <t>경기 용인시 처인구 남사읍 북리 84-1번지</t>
        </is>
      </c>
      <c r="R1161" t="inlineStr">
        <is>
          <t>경기 용인시 처인구 남사읍 경기동로256번길 19</t>
        </is>
      </c>
    </row>
    <row r="1162" ht="19.2" customHeight="1" s="1">
      <c r="A1162" t="inlineStr">
        <is>
          <t>NICE:ON0067</t>
        </is>
      </c>
      <c r="B1162" t="inlineStr">
        <is>
          <t>농업회사법인조인팜스</t>
        </is>
      </c>
      <c r="C1162" t="inlineStr">
        <is>
          <t>권봉수/한재권</t>
        </is>
      </c>
      <c r="D1162" t="inlineStr">
        <is>
          <t>031-282-6230</t>
        </is>
      </c>
      <c r="E1162" t="inlineStr">
        <is>
          <t>031-282-2975</t>
        </is>
      </c>
      <c r="F1162" s="3">
        <f>HYPERLINK("http://www.joinbio.co.kr", "http://www.joinbio.co.kr")</f>
        <v/>
      </c>
      <c r="G1162" t="inlineStr">
        <is>
          <t>4068702304</t>
        </is>
      </c>
      <c r="H1162" t="inlineStr">
        <is>
          <t>1313110260590</t>
        </is>
      </c>
      <c r="I1162" t="inlineStr">
        <is>
          <t>대상아님</t>
        </is>
      </c>
      <c r="J1162" t="inlineStr">
        <is>
          <t>일반법인</t>
        </is>
      </c>
      <c r="K1162" t="inlineStr">
        <is>
          <t>중소기업</t>
        </is>
      </c>
      <c r="L1162" t="inlineStr">
        <is>
          <t>외부감사대상</t>
        </is>
      </c>
      <c r="M1162" s="6" t="inlineStr">
        <is>
          <t>2021-07-01</t>
        </is>
      </c>
      <c r="N1162" t="inlineStr">
        <is>
          <t>KRI:10A0123100</t>
        </is>
      </c>
      <c r="O1162" t="inlineStr">
        <is>
          <t>양계업</t>
        </is>
      </c>
      <c r="P1162" t="inlineStr">
        <is>
          <t>양계(부화,계란생산)가금 축산/가금,달걀 도소매</t>
        </is>
      </c>
      <c r="Q1162" t="inlineStr">
        <is>
          <t>경기 평택시 청북읍 고잔리 1496-3번지</t>
        </is>
      </c>
      <c r="R1162" t="inlineStr">
        <is>
          <t>경기 평택시 청북읍 고잔7길 69-94</t>
        </is>
      </c>
    </row>
    <row r="1163">
      <c r="A1163" t="inlineStr">
        <is>
          <t>NICE:ON0136</t>
        </is>
      </c>
      <c r="B1163" t="inlineStr">
        <is>
          <t>와일드웨스트</t>
        </is>
      </c>
      <c r="C1163" t="inlineStr">
        <is>
          <t>원진호</t>
        </is>
      </c>
      <c r="D1163" t="inlineStr">
        <is>
          <t>070-8833-0643</t>
        </is>
      </c>
      <c r="E1163" t="inlineStr">
        <is>
          <t>031-376-0643</t>
        </is>
      </c>
      <c r="G1163" t="inlineStr">
        <is>
          <t>2538802070</t>
        </is>
      </c>
      <c r="H1163" t="inlineStr">
        <is>
          <t>1348110630766</t>
        </is>
      </c>
      <c r="I1163" t="inlineStr">
        <is>
          <t>대상아님</t>
        </is>
      </c>
      <c r="J1163" t="inlineStr">
        <is>
          <t>일반법인</t>
        </is>
      </c>
      <c r="K1163" t="inlineStr">
        <is>
          <t>중소기업</t>
        </is>
      </c>
      <c r="L1163" t="inlineStr">
        <is>
          <t>외부감사대상</t>
        </is>
      </c>
      <c r="M1163" s="6" t="inlineStr">
        <is>
          <t>2021-07-09</t>
        </is>
      </c>
      <c r="N1163" t="inlineStr">
        <is>
          <t>KRI:10C2913300</t>
        </is>
      </c>
      <c r="O1163" t="inlineStr">
        <is>
          <t>탭, 밸브 및 유사장치 제조업</t>
        </is>
      </c>
      <c r="P1163" t="inlineStr">
        <is>
          <t>배관 설치,제작,보수,도매</t>
        </is>
      </c>
      <c r="Q1163" t="inlineStr">
        <is>
          <t>경기 화성시 만세구 향남읍 수직리 310-3번지</t>
        </is>
      </c>
      <c r="R1163" t="inlineStr">
        <is>
          <t>경기 화성시 만세구 향남읍 발안로 702-37</t>
        </is>
      </c>
    </row>
    <row r="1164">
      <c r="A1164" t="inlineStr">
        <is>
          <t>NICE:ON5066</t>
        </is>
      </c>
      <c r="B1164" t="inlineStr">
        <is>
          <t>이에스알켄달스퀘어에셋2호위탁관리부동산투자회사</t>
        </is>
      </c>
      <c r="C1164" t="inlineStr">
        <is>
          <t>강신우</t>
        </is>
      </c>
      <c r="D1164" t="inlineStr">
        <is>
          <t>02-6205-0477</t>
        </is>
      </c>
      <c r="G1164" t="inlineStr">
        <is>
          <t>5028802123</t>
        </is>
      </c>
      <c r="H1164" t="inlineStr">
        <is>
          <t>1101117963469</t>
        </is>
      </c>
      <c r="I1164" t="inlineStr">
        <is>
          <t>대상아님</t>
        </is>
      </c>
      <c r="J1164" t="inlineStr">
        <is>
          <t>일반법인</t>
        </is>
      </c>
      <c r="K1164" t="inlineStr">
        <is>
          <t>중소기업</t>
        </is>
      </c>
      <c r="L1164" t="inlineStr">
        <is>
          <t>외부감사대상</t>
        </is>
      </c>
      <c r="M1164" s="6" t="inlineStr">
        <is>
          <t>2021-07-20</t>
        </is>
      </c>
      <c r="N1164" t="inlineStr">
        <is>
          <t>KRI:10L6812200</t>
        </is>
      </c>
      <c r="O1164" t="inlineStr">
        <is>
          <t>비주거용 건물 개발 및 공급업</t>
        </is>
      </c>
      <c r="P1164" t="inlineStr">
        <is>
          <t>부동산 개발,임대차증권매매,취득,관리,개량,처분</t>
        </is>
      </c>
      <c r="Q1164" t="inlineStr">
        <is>
          <t>서울 영등포구 여의도동 23번지 쓰리아이에프씨 35층</t>
        </is>
      </c>
      <c r="R1164" t="inlineStr">
        <is>
          <t>서울 영등포구 국제금융로 10, 35층 (여의도동,쓰리아이에프씨)</t>
        </is>
      </c>
    </row>
    <row r="1165" ht="19.2" customHeight="1" s="1">
      <c r="A1165" t="inlineStr">
        <is>
          <t>NICE:OO1581</t>
        </is>
      </c>
      <c r="B1165" t="inlineStr">
        <is>
          <t>요아정</t>
        </is>
      </c>
      <c r="C1165" t="inlineStr">
        <is>
          <t>박현희</t>
        </is>
      </c>
      <c r="D1165" t="inlineStr">
        <is>
          <t>1551-8106</t>
        </is>
      </c>
      <c r="F1165" s="3">
        <f>HYPERLINK("http://yoajung.co.kr", "http://yoajung.co.kr")</f>
        <v/>
      </c>
      <c r="G1165" t="inlineStr">
        <is>
          <t>6968602195</t>
        </is>
      </c>
      <c r="H1165" t="inlineStr">
        <is>
          <t>1101117976454</t>
        </is>
      </c>
      <c r="I1165" t="inlineStr">
        <is>
          <t>대상아님</t>
        </is>
      </c>
      <c r="J1165" t="inlineStr">
        <is>
          <t>일반법인</t>
        </is>
      </c>
      <c r="K1165" t="inlineStr">
        <is>
          <t>중소기업</t>
        </is>
      </c>
      <c r="L1165" t="inlineStr">
        <is>
          <t>외부감사대상</t>
        </is>
      </c>
      <c r="M1165" s="6" t="inlineStr">
        <is>
          <t>2021-08-02</t>
        </is>
      </c>
      <c r="N1165" t="inlineStr">
        <is>
          <t>KRI:10G4632500</t>
        </is>
      </c>
      <c r="O1165" t="inlineStr">
        <is>
          <t>커피 및 차류 도매업</t>
        </is>
      </c>
      <c r="P1165" t="inlineStr">
        <is>
          <t>커피,차류 도매/경영컨설팅</t>
        </is>
      </c>
      <c r="Q1165" t="inlineStr">
        <is>
          <t>서울 성동구 성수동2가 280번지 1201호, 1202호, 1203호, 1204호, 1205호</t>
        </is>
      </c>
      <c r="R1165" t="inlineStr">
        <is>
          <t>서울 성동구 아차산로17길 48, 1201호, 1202호, 1203호, 1204호, 1205호</t>
        </is>
      </c>
    </row>
    <row r="1166">
      <c r="A1166" t="inlineStr">
        <is>
          <t>NICE:OO2917</t>
        </is>
      </c>
      <c r="B1166" t="inlineStr">
        <is>
          <t>지엠티홀딩스</t>
        </is>
      </c>
      <c r="C1166" t="inlineStr">
        <is>
          <t>김인환</t>
        </is>
      </c>
      <c r="D1166" t="inlineStr">
        <is>
          <t>052-240-7500</t>
        </is>
      </c>
      <c r="E1166" t="inlineStr">
        <is>
          <t>055-380-5299</t>
        </is>
      </c>
      <c r="G1166" t="inlineStr">
        <is>
          <t>2448602112</t>
        </is>
      </c>
      <c r="H1166" t="inlineStr">
        <is>
          <t>2301110356624</t>
        </is>
      </c>
      <c r="I1166" t="inlineStr">
        <is>
          <t>대상아님</t>
        </is>
      </c>
      <c r="J1166" t="inlineStr">
        <is>
          <t>일반법인</t>
        </is>
      </c>
      <c r="K1166" t="inlineStr">
        <is>
          <t>중견기업</t>
        </is>
      </c>
      <c r="L1166" t="inlineStr">
        <is>
          <t>외부감사대상</t>
        </is>
      </c>
      <c r="M1166" s="6" t="inlineStr">
        <is>
          <t>2021-08-09</t>
        </is>
      </c>
      <c r="N1166" t="inlineStr">
        <is>
          <t>KRI:10K6499900</t>
        </is>
      </c>
      <c r="O1166" t="inlineStr">
        <is>
          <t>그 외 기타 분류 안된 금융업</t>
        </is>
      </c>
      <c r="P1166" t="inlineStr">
        <is>
          <t>기타 금융</t>
        </is>
      </c>
      <c r="Q1166" t="inlineStr">
        <is>
          <t>울산 울주군 온산읍 처용리 581번지</t>
        </is>
      </c>
      <c r="R1166" t="inlineStr">
        <is>
          <t>울산 울주군 온산읍 처용산업2길 12</t>
        </is>
      </c>
    </row>
    <row r="1167" ht="19.2" customHeight="1" s="1">
      <c r="A1167" t="inlineStr">
        <is>
          <t>NICE:OQ0066</t>
        </is>
      </c>
      <c r="B1167" t="inlineStr">
        <is>
          <t>딥다이브</t>
        </is>
      </c>
      <c r="C1167" t="inlineStr">
        <is>
          <t>이성은</t>
        </is>
      </c>
      <c r="D1167" t="inlineStr">
        <is>
          <t>070-4138-2860</t>
        </is>
      </c>
      <c r="F1167" s="3">
        <f>HYPERLINK("https://www.verish.me", "https://www.verish.me")</f>
        <v/>
      </c>
      <c r="G1167" t="inlineStr">
        <is>
          <t>8058602222</t>
        </is>
      </c>
      <c r="H1167" t="inlineStr">
        <is>
          <t>1101118023379</t>
        </is>
      </c>
      <c r="I1167" t="inlineStr">
        <is>
          <t>대상아님</t>
        </is>
      </c>
      <c r="J1167" t="inlineStr">
        <is>
          <t>일반법인</t>
        </is>
      </c>
      <c r="K1167" t="inlineStr">
        <is>
          <t>중소기업</t>
        </is>
      </c>
      <c r="L1167" t="inlineStr">
        <is>
          <t>외부감사대상</t>
        </is>
      </c>
      <c r="M1167" s="6" t="inlineStr">
        <is>
          <t>2021-09-13</t>
        </is>
      </c>
      <c r="N1167" t="inlineStr">
        <is>
          <t>KRI:10C1412000</t>
        </is>
      </c>
      <c r="O1167" t="inlineStr">
        <is>
          <t>속옷 및 잠옷 제조업</t>
        </is>
      </c>
      <c r="P1167" t="inlineStr">
        <is>
          <t>속옷,잠옷 제조/전자상거래/광고 대행</t>
        </is>
      </c>
      <c r="Q1167" t="inlineStr">
        <is>
          <t>서울 강남구 삼성동 143-44번지 , 14-15층</t>
        </is>
      </c>
      <c r="R1167" t="inlineStr">
        <is>
          <t>서울 강남구 테헤란로 431, , 14-15층</t>
        </is>
      </c>
    </row>
    <row r="1168" ht="19.2" customHeight="1" s="1">
      <c r="A1168" t="inlineStr">
        <is>
          <t>NICE:OQ9547</t>
        </is>
      </c>
      <c r="B1168" t="inlineStr">
        <is>
          <t>에스케이어스온</t>
        </is>
      </c>
      <c r="C1168" t="inlineStr">
        <is>
          <t>명성</t>
        </is>
      </c>
      <c r="D1168" t="inlineStr">
        <is>
          <t>02-2121-5114</t>
        </is>
      </c>
      <c r="E1168" t="inlineStr">
        <is>
          <t>02-2121-2218</t>
        </is>
      </c>
      <c r="F1168" s="3">
        <f>HYPERLINK("http://www.skearthon.com", "http://www.skearthon.com")</f>
        <v/>
      </c>
      <c r="G1168" t="inlineStr">
        <is>
          <t>5898102311</t>
        </is>
      </c>
      <c r="H1168" t="inlineStr">
        <is>
          <t>1101118042361</t>
        </is>
      </c>
      <c r="I1168" t="inlineStr">
        <is>
          <t>대상아님</t>
        </is>
      </c>
      <c r="J1168" t="inlineStr">
        <is>
          <t>일반법인</t>
        </is>
      </c>
      <c r="K1168" t="inlineStr">
        <is>
          <t>대기업</t>
        </is>
      </c>
      <c r="L1168" t="inlineStr">
        <is>
          <t>외부감사대상</t>
        </is>
      </c>
      <c r="M1168" s="6" t="inlineStr">
        <is>
          <t>2021-10-01</t>
        </is>
      </c>
      <c r="N1168" t="inlineStr">
        <is>
          <t>KRI:10B0520000</t>
        </is>
      </c>
      <c r="O1168" t="inlineStr">
        <is>
          <t>원유 및 천연가스 채굴업</t>
        </is>
      </c>
      <c r="P1168" t="inlineStr">
        <is>
          <t>원유,천연가스 채굴</t>
        </is>
      </c>
      <c r="Q1168" t="inlineStr">
        <is>
          <t>서울 종로구 서린동 99번지</t>
        </is>
      </c>
      <c r="R1168" t="inlineStr">
        <is>
          <t>서울 종로구 종로 26</t>
        </is>
      </c>
    </row>
    <row r="1169" ht="19.2" customHeight="1" s="1">
      <c r="A1169" t="inlineStr">
        <is>
          <t>NICE:OS2554</t>
        </is>
      </c>
      <c r="B1169" t="inlineStr">
        <is>
          <t>브라운앤드왓슨인터내셔널</t>
        </is>
      </c>
      <c r="C1169" t="inlineStr">
        <is>
          <t>이경욱</t>
        </is>
      </c>
      <c r="D1169" t="inlineStr">
        <is>
          <t>1670-4813</t>
        </is>
      </c>
      <c r="E1169" t="inlineStr">
        <is>
          <t>031-373-4817</t>
        </is>
      </c>
      <c r="F1169" s="3">
        <f>HYPERLINK("http://brownwatson.co.kr", "http://brownwatson.co.kr")</f>
        <v/>
      </c>
      <c r="G1169" t="inlineStr">
        <is>
          <t>3738602180</t>
        </is>
      </c>
      <c r="H1169" t="inlineStr">
        <is>
          <t>1101140285781</t>
        </is>
      </c>
      <c r="I1169" t="inlineStr">
        <is>
          <t>대상아님</t>
        </is>
      </c>
      <c r="J1169" t="inlineStr">
        <is>
          <t>일반법인</t>
        </is>
      </c>
      <c r="K1169" t="inlineStr">
        <is>
          <t>중견기업</t>
        </is>
      </c>
      <c r="L1169" t="inlineStr">
        <is>
          <t>외부감사대상</t>
        </is>
      </c>
      <c r="M1169" s="6" t="inlineStr">
        <is>
          <t>2021-11-04</t>
        </is>
      </c>
      <c r="N1169" t="inlineStr">
        <is>
          <t>KRI:10C2842200</t>
        </is>
      </c>
      <c r="O1169" t="inlineStr">
        <is>
          <t>일반용 전기 조명장치 제조업</t>
        </is>
      </c>
      <c r="P1169" t="inlineStr">
        <is>
          <t>LED조명기구 제조</t>
        </is>
      </c>
      <c r="Q1169" t="inlineStr">
        <is>
          <t>경기 화성시 동탄구 방교동 825-3번지</t>
        </is>
      </c>
      <c r="R1169" t="inlineStr">
        <is>
          <t>경기 화성시 동탄구 동탄산단9길 23-7</t>
        </is>
      </c>
    </row>
    <row r="1170" ht="19.2" customHeight="1" s="1">
      <c r="A1170" t="inlineStr">
        <is>
          <t>NICE:OT2192</t>
        </is>
      </c>
      <c r="B1170" t="inlineStr">
        <is>
          <t>아이엠엠홀딩스</t>
        </is>
      </c>
      <c r="C1170" t="inlineStr">
        <is>
          <t>송인준</t>
        </is>
      </c>
      <c r="D1170" t="inlineStr">
        <is>
          <t>02-2112-1780</t>
        </is>
      </c>
      <c r="E1170" t="inlineStr">
        <is>
          <t>02-2112-1781</t>
        </is>
      </c>
      <c r="F1170" s="3">
        <f>HYPERLINK("http://www.immholdings.co.kr/", "http://www.immholdings.co.kr/")</f>
        <v/>
      </c>
      <c r="G1170" t="inlineStr">
        <is>
          <t>1698602524</t>
        </is>
      </c>
      <c r="H1170" t="inlineStr">
        <is>
          <t>1101118100987</t>
        </is>
      </c>
      <c r="I1170" t="inlineStr">
        <is>
          <t>대상아님</t>
        </is>
      </c>
      <c r="J1170" t="inlineStr">
        <is>
          <t>일반법인</t>
        </is>
      </c>
      <c r="K1170" t="inlineStr">
        <is>
          <t>대기업</t>
        </is>
      </c>
      <c r="L1170" t="inlineStr">
        <is>
          <t>외부감사대상</t>
        </is>
      </c>
      <c r="M1170" s="6" t="inlineStr">
        <is>
          <t>2021-11-22</t>
        </is>
      </c>
      <c r="N1170" t="inlineStr">
        <is>
          <t>KRI:10K6499200</t>
        </is>
      </c>
      <c r="O1170" t="inlineStr">
        <is>
          <t>지주회사</t>
        </is>
      </c>
      <c r="P1170" t="inlineStr">
        <is>
          <t>자회사 출자,지배,경영관리,자금지원,경영자문,지원</t>
        </is>
      </c>
      <c r="Q1170" t="inlineStr">
        <is>
          <t>서울 강남구 역삼동 737번지 강남파이낸스센터 12층</t>
        </is>
      </c>
      <c r="R1170" t="inlineStr">
        <is>
          <t>서울 강남구 테헤란로 152, 12층 (역삼동,강남파이낸스센터)</t>
        </is>
      </c>
    </row>
    <row r="1171" ht="19.2" customHeight="1" s="1">
      <c r="A1171" t="inlineStr">
        <is>
          <t>NICE:OT5828</t>
        </is>
      </c>
      <c r="B1171" t="inlineStr">
        <is>
          <t>에스케이스페셜티</t>
        </is>
      </c>
      <c r="C1171" t="inlineStr">
        <is>
          <t>김양택</t>
        </is>
      </c>
      <c r="D1171" t="inlineStr">
        <is>
          <t>054-630-8114</t>
        </is>
      </c>
      <c r="E1171" t="inlineStr">
        <is>
          <t>02-728-0998</t>
        </is>
      </c>
      <c r="F1171" s="3">
        <f>HYPERLINK("http://www.skspecialty.com", "http://www.skspecialty.com")</f>
        <v/>
      </c>
      <c r="G1171" t="inlineStr">
        <is>
          <t>4598802246</t>
        </is>
      </c>
      <c r="H1171" t="inlineStr">
        <is>
          <t>1756110025475</t>
        </is>
      </c>
      <c r="I1171" t="inlineStr">
        <is>
          <t>대상아님</t>
        </is>
      </c>
      <c r="J1171" t="inlineStr">
        <is>
          <t>일반법인</t>
        </is>
      </c>
      <c r="K1171" t="inlineStr">
        <is>
          <t>중견기업</t>
        </is>
      </c>
      <c r="L1171" t="inlineStr">
        <is>
          <t>외부감사대상</t>
        </is>
      </c>
      <c r="M1171" s="6" t="inlineStr">
        <is>
          <t>2021-12-01</t>
        </is>
      </c>
      <c r="N1171" t="inlineStr">
        <is>
          <t>KRI:10C2012900</t>
        </is>
      </c>
      <c r="O1171" t="inlineStr">
        <is>
          <t>기타 기초 무기 화학물질 제조업</t>
        </is>
      </c>
      <c r="P1171" t="inlineStr">
        <is>
          <t>기초무기화학물질 제조</t>
        </is>
      </c>
      <c r="Q1171" t="inlineStr">
        <is>
          <t>경북 영주시 상줄동 706번지</t>
        </is>
      </c>
      <c r="R1171" t="inlineStr">
        <is>
          <t>경북 영주시 가흥공단로 63</t>
        </is>
      </c>
    </row>
    <row r="1172">
      <c r="A1172" t="inlineStr">
        <is>
          <t>NICE:OU0948</t>
        </is>
      </c>
      <c r="B1172" t="inlineStr">
        <is>
          <t>홀로직코리아</t>
        </is>
      </c>
      <c r="C1172" t="inlineStr">
        <is>
          <t>미켈란젤로스테파니/존브래드포드맥밀란</t>
        </is>
      </c>
      <c r="G1172" t="inlineStr">
        <is>
          <t>3458102157</t>
        </is>
      </c>
      <c r="H1172" t="inlineStr">
        <is>
          <t>1101140287927</t>
        </is>
      </c>
      <c r="I1172" t="inlineStr">
        <is>
          <t>대상아님</t>
        </is>
      </c>
      <c r="J1172" t="inlineStr">
        <is>
          <t>일반법인</t>
        </is>
      </c>
      <c r="K1172" t="inlineStr">
        <is>
          <t>중소기업</t>
        </is>
      </c>
      <c r="L1172" t="inlineStr">
        <is>
          <t>외부감사대상</t>
        </is>
      </c>
      <c r="M1172" s="6" t="inlineStr">
        <is>
          <t>2021-12-13</t>
        </is>
      </c>
      <c r="N1172" t="inlineStr">
        <is>
          <t>KRI:10G4659200</t>
        </is>
      </c>
      <c r="O1172" t="inlineStr">
        <is>
          <t>의료기기 도매업</t>
        </is>
      </c>
      <c r="P1172" t="inlineStr">
        <is>
          <t>의료기기 판매,수입,임대/유지보수/마케팅</t>
        </is>
      </c>
      <c r="Q1172" t="inlineStr">
        <is>
          <t>서울 중구 남대문로5가 541번지 서울스퀘어 14동 101호</t>
        </is>
      </c>
      <c r="R1172" t="inlineStr">
        <is>
          <t>서울 중구 한강대로 416, 14동 101호 (남대문로5가,서울스퀘어)</t>
        </is>
      </c>
    </row>
    <row r="1173">
      <c r="A1173" t="inlineStr">
        <is>
          <t>NICE:OU8659</t>
        </is>
      </c>
      <c r="B1173" t="inlineStr">
        <is>
          <t>에프이브이에테르노</t>
        </is>
      </c>
      <c r="C1173" t="inlineStr">
        <is>
          <t>김은혜</t>
        </is>
      </c>
      <c r="G1173" t="inlineStr">
        <is>
          <t>5838102481</t>
        </is>
      </c>
      <c r="H1173" t="inlineStr">
        <is>
          <t>1101118149399</t>
        </is>
      </c>
      <c r="I1173" t="inlineStr">
        <is>
          <t>대상아님</t>
        </is>
      </c>
      <c r="J1173" t="inlineStr">
        <is>
          <t>일반법인</t>
        </is>
      </c>
      <c r="K1173" t="inlineStr">
        <is>
          <t>중소기업</t>
        </is>
      </c>
      <c r="L1173" t="inlineStr">
        <is>
          <t>외부감사대상</t>
        </is>
      </c>
      <c r="M1173" s="6" t="inlineStr">
        <is>
          <t>2021-12-31</t>
        </is>
      </c>
      <c r="N1173" t="inlineStr">
        <is>
          <t>KRI:10C1411200</t>
        </is>
      </c>
      <c r="O1173" t="inlineStr">
        <is>
          <t>여자용 겉옷 제조업</t>
        </is>
      </c>
      <c r="P1173" t="inlineStr">
        <is>
          <t>여자용 겉옷 제조업</t>
        </is>
      </c>
      <c r="Q1173" t="inlineStr">
        <is>
          <t>서울 구로구 구로동 235-3번지 대륭포스트타워8차 R동 808호</t>
        </is>
      </c>
      <c r="R1173" t="inlineStr">
        <is>
          <t>서울 구로구 디지털로26길 43, R동 808호 (구로동,대륭포스트타워8차)</t>
        </is>
      </c>
    </row>
    <row r="1174">
      <c r="A1174" t="inlineStr">
        <is>
          <t>NICE:OV0344</t>
        </is>
      </c>
      <c r="B1174" t="inlineStr">
        <is>
          <t>덕산피앤브이</t>
        </is>
      </c>
      <c r="C1174" t="inlineStr">
        <is>
          <t>정희철</t>
        </is>
      </c>
      <c r="D1174" t="inlineStr">
        <is>
          <t>051-923-0001</t>
        </is>
      </c>
      <c r="E1174" t="inlineStr">
        <is>
          <t>051-923-0002</t>
        </is>
      </c>
      <c r="G1174" t="inlineStr">
        <is>
          <t>3148667296</t>
        </is>
      </c>
      <c r="H1174" t="inlineStr">
        <is>
          <t>1801111414555</t>
        </is>
      </c>
      <c r="I1174" t="inlineStr">
        <is>
          <t>대상아님</t>
        </is>
      </c>
      <c r="J1174" t="inlineStr">
        <is>
          <t>일반법인</t>
        </is>
      </c>
      <c r="K1174" t="inlineStr">
        <is>
          <t>중소기업</t>
        </is>
      </c>
      <c r="L1174" t="inlineStr">
        <is>
          <t>외부감사대상</t>
        </is>
      </c>
      <c r="M1174" s="6" t="inlineStr">
        <is>
          <t>2022-01-05</t>
        </is>
      </c>
      <c r="N1174" t="inlineStr">
        <is>
          <t>KRI:10H5011200</t>
        </is>
      </c>
      <c r="O1174" t="inlineStr">
        <is>
          <t>외항 화물 운송업</t>
        </is>
      </c>
      <c r="P1174" t="inlineStr">
        <is>
          <t>외항화물 운송,해운 중개/무역</t>
        </is>
      </c>
      <c r="Q1174" t="inlineStr">
        <is>
          <t>부산 중구 중앙동4가 53-11번지 2층</t>
        </is>
      </c>
      <c r="R1174" t="inlineStr">
        <is>
          <t>부산 중구 중앙대로 87, 2층</t>
        </is>
      </c>
    </row>
    <row r="1175">
      <c r="A1175" t="inlineStr">
        <is>
          <t>NICE:OW6922</t>
        </is>
      </c>
      <c r="B1175" t="inlineStr">
        <is>
          <t>엘비엠</t>
        </is>
      </c>
      <c r="C1175" t="inlineStr">
        <is>
          <t>서혜욱</t>
        </is>
      </c>
      <c r="D1175" t="inlineStr">
        <is>
          <t>070-4116-7669</t>
        </is>
      </c>
      <c r="E1175" t="inlineStr">
        <is>
          <t>02-6020-8492</t>
        </is>
      </c>
      <c r="G1175" t="inlineStr">
        <is>
          <t>2198802288</t>
        </is>
      </c>
      <c r="H1175" t="inlineStr">
        <is>
          <t>1101118191100</t>
        </is>
      </c>
      <c r="I1175" t="inlineStr">
        <is>
          <t>대상아님</t>
        </is>
      </c>
      <c r="J1175" t="inlineStr">
        <is>
          <t>일반법인</t>
        </is>
      </c>
      <c r="K1175" t="inlineStr">
        <is>
          <t>중소기업</t>
        </is>
      </c>
      <c r="L1175" t="inlineStr">
        <is>
          <t>외부감사대상</t>
        </is>
      </c>
      <c r="M1175" s="6" t="inlineStr">
        <is>
          <t>2022-02-08</t>
        </is>
      </c>
      <c r="N1175" t="inlineStr">
        <is>
          <t>KRI:10I5619100</t>
        </is>
      </c>
      <c r="O1175" t="inlineStr">
        <is>
          <t>제과점업</t>
        </is>
      </c>
      <c r="P1175" t="inlineStr">
        <is>
          <t>제과점/경영 컨설팅/식품 도소매/기념품,관광 민예품,장식용품 소매</t>
        </is>
      </c>
      <c r="Q1175" t="inlineStr">
        <is>
          <t>서울 종로구 안국동 164번지 안국한국빌딩</t>
        </is>
      </c>
      <c r="R1175" t="inlineStr">
        <is>
          <t>서울 종로구 율곡로 45 (안국동,안국한국빌딩)</t>
        </is>
      </c>
    </row>
    <row r="1176">
      <c r="A1176" t="inlineStr">
        <is>
          <t>NICE:OX7522</t>
        </is>
      </c>
      <c r="B1176" t="inlineStr">
        <is>
          <t>키움</t>
        </is>
      </c>
      <c r="C1176" t="inlineStr">
        <is>
          <t>이주형</t>
        </is>
      </c>
      <c r="G1176" t="inlineStr">
        <is>
          <t>8508102455</t>
        </is>
      </c>
      <c r="H1176" t="inlineStr">
        <is>
          <t>1747110060511</t>
        </is>
      </c>
      <c r="I1176" t="inlineStr">
        <is>
          <t>대상아님</t>
        </is>
      </c>
      <c r="J1176" t="inlineStr">
        <is>
          <t>일반법인</t>
        </is>
      </c>
      <c r="K1176" t="inlineStr">
        <is>
          <t>중소기업</t>
        </is>
      </c>
      <c r="L1176" t="inlineStr">
        <is>
          <t>외부감사대상</t>
        </is>
      </c>
      <c r="M1176" s="6" t="inlineStr">
        <is>
          <t>2022-02-28</t>
        </is>
      </c>
      <c r="N1176" t="inlineStr">
        <is>
          <t>KRI:10F4213900</t>
        </is>
      </c>
      <c r="O1176" t="inlineStr">
        <is>
          <t>기타 옥외 시설물 축조 관련 전문공사업</t>
        </is>
      </c>
      <c r="P1176" t="inlineStr">
        <is>
          <t>태양광발전구조물시공,전기공사업,태양광발전구조물,태양광발전구조물,신재생에너지 연구개발업,건축 및 토목 엔지니어링 서비스업,발전사업관리 및 유지보수업,</t>
        </is>
      </c>
      <c r="Q1176" t="inlineStr">
        <is>
          <t>경북 영천시 청통면 보성리 771-1번지</t>
        </is>
      </c>
      <c r="R1176" t="inlineStr">
        <is>
          <t>경북 영천시 청통면 봉수길 63</t>
        </is>
      </c>
    </row>
    <row r="1177">
      <c r="A1177" t="inlineStr">
        <is>
          <t>NICE:OY4024</t>
        </is>
      </c>
      <c r="B1177" t="inlineStr">
        <is>
          <t>코람코가치투자제4호위탁관리모부동산투자회사</t>
        </is>
      </c>
      <c r="C1177" t="inlineStr">
        <is>
          <t>(주)코람코자산신탁</t>
        </is>
      </c>
      <c r="D1177" t="inlineStr">
        <is>
          <t>02-6714-4773</t>
        </is>
      </c>
      <c r="G1177" t="inlineStr">
        <is>
          <t>3268602637</t>
        </is>
      </c>
      <c r="H1177" t="inlineStr">
        <is>
          <t>1101118229703</t>
        </is>
      </c>
      <c r="I1177" t="inlineStr">
        <is>
          <t>대상아님</t>
        </is>
      </c>
      <c r="J1177" t="inlineStr">
        <is>
          <t>일반법인</t>
        </is>
      </c>
      <c r="K1177" t="inlineStr">
        <is>
          <t>중소기업</t>
        </is>
      </c>
      <c r="L1177" t="inlineStr">
        <is>
          <t>외부감사대상</t>
        </is>
      </c>
      <c r="M1177" s="6" t="inlineStr">
        <is>
          <t>2022-03-15</t>
        </is>
      </c>
      <c r="N1177" t="inlineStr">
        <is>
          <t>KRI:10L6811200</t>
        </is>
      </c>
      <c r="O1177" t="inlineStr">
        <is>
          <t>비주거용 건물 임대업</t>
        </is>
      </c>
      <c r="P1177" t="inlineStr">
        <is>
          <t>부동산 임대</t>
        </is>
      </c>
      <c r="Q1177" t="inlineStr">
        <is>
          <t>서울 강남구 삼성동 144-17번지 아이콘삼성 4층</t>
        </is>
      </c>
      <c r="R1177" t="inlineStr">
        <is>
          <t>서울 강남구 삼성로 511, 4층 (삼성동,아이콘삼성)</t>
        </is>
      </c>
    </row>
    <row r="1178">
      <c r="A1178" t="inlineStr">
        <is>
          <t>NICE:OY8545</t>
        </is>
      </c>
      <c r="B1178" t="inlineStr">
        <is>
          <t>창조종합건설</t>
        </is>
      </c>
      <c r="C1178" t="inlineStr">
        <is>
          <t>김규원</t>
        </is>
      </c>
      <c r="D1178" t="inlineStr">
        <is>
          <t>043-229-2477</t>
        </is>
      </c>
      <c r="G1178" t="inlineStr">
        <is>
          <t>2028702570</t>
        </is>
      </c>
      <c r="H1178" t="inlineStr">
        <is>
          <t>1501110326806</t>
        </is>
      </c>
      <c r="I1178" t="inlineStr">
        <is>
          <t>대상아님</t>
        </is>
      </c>
      <c r="J1178" t="inlineStr">
        <is>
          <t>일반법인</t>
        </is>
      </c>
      <c r="K1178" t="inlineStr">
        <is>
          <t>중소기업</t>
        </is>
      </c>
      <c r="L1178" t="inlineStr">
        <is>
          <t>외부감사대상</t>
        </is>
      </c>
      <c r="M1178" s="6" t="inlineStr">
        <is>
          <t>2022-03-24</t>
        </is>
      </c>
      <c r="N1178" t="inlineStr">
        <is>
          <t>KRI:10F4122000</t>
        </is>
      </c>
      <c r="O1178" t="inlineStr">
        <is>
          <t>토목시설물 건설업</t>
        </is>
      </c>
      <c r="P1178" t="inlineStr">
        <is>
          <t>토목공사</t>
        </is>
      </c>
      <c r="Q1178" t="inlineStr">
        <is>
          <t>충북 청주시 상당구 북문로2가 116-166번지</t>
        </is>
      </c>
      <c r="R1178" t="inlineStr">
        <is>
          <t>충북 청주시 상당구 상당로 127</t>
        </is>
      </c>
    </row>
    <row r="1179">
      <c r="A1179" t="inlineStr">
        <is>
          <t>NICE:PA0164</t>
        </is>
      </c>
      <c r="B1179" t="inlineStr">
        <is>
          <t>웜클라우드</t>
        </is>
      </c>
      <c r="C1179" t="inlineStr">
        <is>
          <t>김대훈</t>
        </is>
      </c>
      <c r="G1179" t="inlineStr">
        <is>
          <t>5758802325</t>
        </is>
      </c>
      <c r="H1179" t="inlineStr">
        <is>
          <t>1342110264624</t>
        </is>
      </c>
      <c r="I1179" t="inlineStr">
        <is>
          <t>대상아님</t>
        </is>
      </c>
      <c r="J1179" t="inlineStr">
        <is>
          <t>일반법인</t>
        </is>
      </c>
      <c r="K1179" t="inlineStr">
        <is>
          <t>중소기업</t>
        </is>
      </c>
      <c r="L1179" t="inlineStr">
        <is>
          <t>외부감사비대상</t>
        </is>
      </c>
      <c r="M1179" s="6" t="inlineStr">
        <is>
          <t>2022-04-12</t>
        </is>
      </c>
      <c r="N1179" t="inlineStr">
        <is>
          <t>KRI:10C1079100</t>
        </is>
      </c>
      <c r="O1179" t="inlineStr">
        <is>
          <t>커피 가공업</t>
        </is>
      </c>
      <c r="P1179" t="inlineStr">
        <is>
          <t>커피 가공업,커피 및 차류 도매업,기타 식료품 소매업</t>
        </is>
      </c>
      <c r="Q1179" t="inlineStr">
        <is>
          <t>경기 광주시 초월읍 무갑리 617-3번지 16</t>
        </is>
      </c>
      <c r="R1179" t="inlineStr">
        <is>
          <t>경기 광주시 초월읍 무갑길 12, 16</t>
        </is>
      </c>
    </row>
    <row r="1180" ht="19.2" customHeight="1" s="1">
      <c r="A1180" t="inlineStr">
        <is>
          <t>NICE:PH3147</t>
        </is>
      </c>
      <c r="B1180" t="inlineStr">
        <is>
          <t>코어엔텍</t>
        </is>
      </c>
      <c r="C1180" t="inlineStr">
        <is>
          <t>김상태</t>
        </is>
      </c>
      <c r="D1180" t="inlineStr">
        <is>
          <t>031-488-1125</t>
        </is>
      </c>
      <c r="E1180" t="inlineStr">
        <is>
          <t>031-499-1472</t>
        </is>
      </c>
      <c r="F1180" s="3">
        <f>HYPERLINK("http://www.coreentech.co.kr", "http://www.coreentech.co.kr")</f>
        <v/>
      </c>
      <c r="G1180" t="inlineStr">
        <is>
          <t>7398602584</t>
        </is>
      </c>
      <c r="H1180" t="inlineStr">
        <is>
          <t>1355110404174</t>
        </is>
      </c>
      <c r="I1180" t="inlineStr">
        <is>
          <t>대상아님</t>
        </is>
      </c>
      <c r="J1180" t="inlineStr">
        <is>
          <t>일반법인</t>
        </is>
      </c>
      <c r="K1180" t="inlineStr">
        <is>
          <t>중견기업</t>
        </is>
      </c>
      <c r="L1180" t="inlineStr">
        <is>
          <t>외부감사대상</t>
        </is>
      </c>
      <c r="M1180" s="6" t="inlineStr">
        <is>
          <t>2022-05-02</t>
        </is>
      </c>
      <c r="N1180" t="inlineStr">
        <is>
          <t>KRI:10E3822000</t>
        </is>
      </c>
      <c r="O1180" t="inlineStr">
        <is>
          <t>지정 폐기물 처리업</t>
        </is>
      </c>
      <c r="P1180" t="inlineStr">
        <is>
          <t>지정외폐기물 처리</t>
        </is>
      </c>
      <c r="Q1180" t="inlineStr">
        <is>
          <t>경기 시흥시 정왕동 1235-7번지</t>
        </is>
      </c>
      <c r="R1180" t="inlineStr">
        <is>
          <t>경기 시흥시 소망공원로 5</t>
        </is>
      </c>
    </row>
    <row r="1181">
      <c r="A1181" t="inlineStr">
        <is>
          <t>NICE:PI9515</t>
        </is>
      </c>
      <c r="B1181" t="inlineStr">
        <is>
          <t>석문그린에너지</t>
        </is>
      </c>
      <c r="C1181" t="inlineStr">
        <is>
          <t>이상돈</t>
        </is>
      </c>
      <c r="D1181" t="inlineStr">
        <is>
          <t>041-358-9251</t>
        </is>
      </c>
      <c r="G1181" t="inlineStr">
        <is>
          <t>2768802559</t>
        </is>
      </c>
      <c r="H1181" t="inlineStr">
        <is>
          <t>1650110084384</t>
        </is>
      </c>
      <c r="I1181" t="inlineStr">
        <is>
          <t>대상아님</t>
        </is>
      </c>
      <c r="J1181" t="inlineStr">
        <is>
          <t>일반법인</t>
        </is>
      </c>
      <c r="K1181" t="inlineStr">
        <is>
          <t>중소기업</t>
        </is>
      </c>
      <c r="L1181" t="inlineStr">
        <is>
          <t>외부감사대상</t>
        </is>
      </c>
      <c r="M1181" s="6" t="inlineStr">
        <is>
          <t>2022-06-02</t>
        </is>
      </c>
      <c r="N1181" t="inlineStr">
        <is>
          <t>KRI:10D3511900</t>
        </is>
      </c>
      <c r="O1181" t="inlineStr">
        <is>
          <t>기타 발전업</t>
        </is>
      </c>
      <c r="P1181" t="inlineStr">
        <is>
          <t>연료전지 발전</t>
        </is>
      </c>
      <c r="Q1181" t="inlineStr">
        <is>
          <t>충남 당진시 석문면 통정리 1414-1번지</t>
        </is>
      </c>
      <c r="R1181" t="inlineStr">
        <is>
          <t>충남 당진시 석문면 산단2로 16</t>
        </is>
      </c>
    </row>
    <row r="1182">
      <c r="A1182" t="inlineStr">
        <is>
          <t>NICE:PJ9832</t>
        </is>
      </c>
      <c r="B1182" t="inlineStr">
        <is>
          <t>바론</t>
        </is>
      </c>
      <c r="C1182" t="inlineStr">
        <is>
          <t>김기남</t>
        </is>
      </c>
      <c r="D1182" t="inlineStr">
        <is>
          <t>041-541-1783</t>
        </is>
      </c>
      <c r="E1182" t="inlineStr">
        <is>
          <t>041-541-1784</t>
        </is>
      </c>
      <c r="G1182" t="inlineStr">
        <is>
          <t>1638602642</t>
        </is>
      </c>
      <c r="H1182" t="inlineStr">
        <is>
          <t>1648110160329</t>
        </is>
      </c>
      <c r="I1182" t="inlineStr">
        <is>
          <t>대상아님</t>
        </is>
      </c>
      <c r="J1182" t="inlineStr">
        <is>
          <t>일반법인</t>
        </is>
      </c>
      <c r="K1182" t="inlineStr">
        <is>
          <t>중소기업</t>
        </is>
      </c>
      <c r="L1182" t="inlineStr">
        <is>
          <t>외부감사비대상</t>
        </is>
      </c>
      <c r="M1182" s="6" t="inlineStr">
        <is>
          <t>2022-07-04</t>
        </is>
      </c>
      <c r="N1182" t="inlineStr">
        <is>
          <t>KRI:10G4680000</t>
        </is>
      </c>
      <c r="O1182" t="inlineStr">
        <is>
          <t>상품 종합 도매업</t>
        </is>
      </c>
      <c r="P1182" t="inlineStr">
        <is>
          <t>무역/반도체장비부품,디스플레이장비,부품 연구개발,제조판매</t>
        </is>
      </c>
      <c r="Q1182" t="inlineStr">
        <is>
          <t>충남 아산시 음봉면 산동리 243-39번지</t>
        </is>
      </c>
      <c r="R1182" t="inlineStr">
        <is>
          <t>충남 아산시 음봉면 산동로 246-89</t>
        </is>
      </c>
    </row>
    <row r="1183" ht="19.2" customHeight="1" s="1">
      <c r="A1183" t="inlineStr">
        <is>
          <t>NICE:PK0853</t>
        </is>
      </c>
      <c r="B1183" t="inlineStr">
        <is>
          <t>비즈테크온</t>
        </is>
      </c>
      <c r="C1183" t="inlineStr">
        <is>
          <t>송정훈</t>
        </is>
      </c>
      <c r="D1183" t="inlineStr">
        <is>
          <t>02-2033-5802</t>
        </is>
      </c>
      <c r="E1183" t="inlineStr">
        <is>
          <t>02-2033-1442</t>
        </is>
      </c>
      <c r="F1183" s="3">
        <f>HYPERLINK("http://www.biztechon.com", "http://www.biztechon.com")</f>
        <v/>
      </c>
      <c r="G1183" t="inlineStr">
        <is>
          <t>4408102530</t>
        </is>
      </c>
      <c r="H1183" t="inlineStr">
        <is>
          <t>1101118355178</t>
        </is>
      </c>
      <c r="I1183" t="inlineStr">
        <is>
          <t>대상아님</t>
        </is>
      </c>
      <c r="J1183" t="inlineStr">
        <is>
          <t>일반법인</t>
        </is>
      </c>
      <c r="K1183" t="inlineStr">
        <is>
          <t>대기업</t>
        </is>
      </c>
      <c r="L1183" t="inlineStr">
        <is>
          <t>외부감사대상</t>
        </is>
      </c>
      <c r="M1183" s="6" t="inlineStr">
        <is>
          <t>2022-07-05</t>
        </is>
      </c>
      <c r="N1183" t="inlineStr">
        <is>
          <t>KRI:10P8570900</t>
        </is>
      </c>
      <c r="O1183" t="inlineStr">
        <is>
          <t>기타 교육지원 서비스업</t>
        </is>
      </c>
      <c r="P1183" t="inlineStr">
        <is>
          <t>인사(HR) 컨설팅</t>
        </is>
      </c>
      <c r="Q1183" t="inlineStr">
        <is>
          <t>서울 강서구 마곡동 776-6번지 8층</t>
        </is>
      </c>
      <c r="R1183" t="inlineStr">
        <is>
          <t>서울 강서구 강서로 463, 8층</t>
        </is>
      </c>
    </row>
    <row r="1184" ht="19.2" customHeight="1" s="1">
      <c r="A1184" t="inlineStr">
        <is>
          <t>NICE:PK3667</t>
        </is>
      </c>
      <c r="B1184" t="inlineStr">
        <is>
          <t>유비씨플러스</t>
        </is>
      </c>
      <c r="C1184" t="inlineStr">
        <is>
          <t>이정환</t>
        </is>
      </c>
      <c r="D1184" t="inlineStr">
        <is>
          <t>052-228-6193</t>
        </is>
      </c>
      <c r="E1184" t="inlineStr">
        <is>
          <t>052-228-6140</t>
        </is>
      </c>
      <c r="F1184" s="3">
        <f>HYPERLINK("http://www.ubcplus.co.kr", "http://www.ubcplus.co.kr")</f>
        <v/>
      </c>
      <c r="G1184" t="inlineStr">
        <is>
          <t>6508702629</t>
        </is>
      </c>
      <c r="H1184" t="inlineStr">
        <is>
          <t>2301110377042</t>
        </is>
      </c>
      <c r="I1184" t="inlineStr">
        <is>
          <t>대상아님</t>
        </is>
      </c>
      <c r="J1184" t="inlineStr">
        <is>
          <t>일반법인</t>
        </is>
      </c>
      <c r="K1184" t="inlineStr">
        <is>
          <t>대기업</t>
        </is>
      </c>
      <c r="L1184" t="inlineStr">
        <is>
          <t>외부감사대상</t>
        </is>
      </c>
      <c r="M1184" s="6" t="inlineStr">
        <is>
          <t>2022-07-13</t>
        </is>
      </c>
      <c r="N1184" t="inlineStr">
        <is>
          <t>KRI:10L6812100</t>
        </is>
      </c>
      <c r="O1184" t="inlineStr">
        <is>
          <t>주거용 건물 개발 및 공급업</t>
        </is>
      </c>
      <c r="P1184" t="inlineStr">
        <is>
          <t>주택 분양,공사/대지조성공사</t>
        </is>
      </c>
      <c r="Q1184" t="inlineStr">
        <is>
          <t>울산 중구 학산동 47-20번지</t>
        </is>
      </c>
      <c r="R1184" t="inlineStr">
        <is>
          <t>울산 중구 구교로 41</t>
        </is>
      </c>
    </row>
    <row r="1185">
      <c r="A1185" t="inlineStr">
        <is>
          <t>NICE:PQ3246</t>
        </is>
      </c>
      <c r="B1185" t="inlineStr">
        <is>
          <t>현진세미텍</t>
        </is>
      </c>
      <c r="C1185" t="inlineStr">
        <is>
          <t>김영건</t>
        </is>
      </c>
      <c r="D1185" t="inlineStr">
        <is>
          <t>031-428-2500</t>
        </is>
      </c>
      <c r="E1185" t="inlineStr">
        <is>
          <t>031-454-1172</t>
        </is>
      </c>
      <c r="G1185" t="inlineStr">
        <is>
          <t>7808102573</t>
        </is>
      </c>
      <c r="H1185" t="inlineStr">
        <is>
          <t>1314110545883</t>
        </is>
      </c>
      <c r="I1185" t="inlineStr">
        <is>
          <t>대상아님</t>
        </is>
      </c>
      <c r="J1185" t="inlineStr">
        <is>
          <t>일반법인</t>
        </is>
      </c>
      <c r="K1185" t="inlineStr">
        <is>
          <t>중소기업</t>
        </is>
      </c>
      <c r="L1185" t="inlineStr">
        <is>
          <t>외부감사대상</t>
        </is>
      </c>
      <c r="M1185" s="6" t="inlineStr">
        <is>
          <t>2022-12-02</t>
        </is>
      </c>
      <c r="N1185" t="inlineStr">
        <is>
          <t>KRI:10C2612900</t>
        </is>
      </c>
      <c r="O1185" t="inlineStr">
        <is>
          <t>기타 반도체소자 제조업</t>
        </is>
      </c>
      <c r="P1185" t="inlineStr">
        <is>
          <t>반도체 제조</t>
        </is>
      </c>
      <c r="Q1185" t="inlineStr">
        <is>
          <t>경기 안산시 단원구 원시동 816-1번지</t>
        </is>
      </c>
      <c r="R1185" t="inlineStr">
        <is>
          <t>경기 안산시 단원구 산단로 283</t>
        </is>
      </c>
    </row>
    <row r="1186">
      <c r="A1186" t="inlineStr">
        <is>
          <t>NICE:PQ3796</t>
        </is>
      </c>
      <c r="B1186" t="inlineStr">
        <is>
          <t>티더블유씨</t>
        </is>
      </c>
      <c r="C1186" t="inlineStr">
        <is>
          <t>박민수</t>
        </is>
      </c>
      <c r="D1186" t="inlineStr">
        <is>
          <t>070-4155-0333</t>
        </is>
      </c>
      <c r="G1186" t="inlineStr">
        <is>
          <t>4318702862</t>
        </is>
      </c>
      <c r="H1186" t="inlineStr">
        <is>
          <t>1101118493358</t>
        </is>
      </c>
      <c r="I1186" t="inlineStr">
        <is>
          <t>대상아님</t>
        </is>
      </c>
      <c r="J1186" t="inlineStr">
        <is>
          <t>일반법인</t>
        </is>
      </c>
      <c r="K1186" t="inlineStr">
        <is>
          <t>중소기업</t>
        </is>
      </c>
      <c r="L1186" t="inlineStr">
        <is>
          <t>외부감사대상</t>
        </is>
      </c>
      <c r="M1186" s="6" t="inlineStr">
        <is>
          <t>2022-12-05</t>
        </is>
      </c>
      <c r="N1186" t="inlineStr">
        <is>
          <t>KRI:10G4721700</t>
        </is>
      </c>
      <c r="O1186" t="inlineStr">
        <is>
          <t>건강보조식품 소매업</t>
        </is>
      </c>
      <c r="P1186" t="inlineStr">
        <is>
          <t>건강보조식품 소매</t>
        </is>
      </c>
      <c r="Q1186" t="inlineStr">
        <is>
          <t>서울 서초구 방배동 750-20번지 인시그니아반포 102동 1802호</t>
        </is>
      </c>
      <c r="R1186" t="inlineStr">
        <is>
          <t>서울 서초구 사평대로 12, 102동 1802호 (방배동,인시그니아반포)</t>
        </is>
      </c>
    </row>
    <row r="1187" ht="19.2" customHeight="1" s="1">
      <c r="A1187" t="inlineStr">
        <is>
          <t>NICE:PQ4289</t>
        </is>
      </c>
      <c r="B1187" t="inlineStr">
        <is>
          <t>모윰</t>
        </is>
      </c>
      <c r="C1187" t="inlineStr">
        <is>
          <t>김명성</t>
        </is>
      </c>
      <c r="D1187" t="inlineStr">
        <is>
          <t>1533-9084</t>
        </is>
      </c>
      <c r="E1187" t="inlineStr">
        <is>
          <t>070-4009-2633</t>
        </is>
      </c>
      <c r="F1187" s="3">
        <f>HYPERLINK("https://www.moyuum.com", "https://www.moyuum.com")</f>
        <v/>
      </c>
      <c r="G1187" t="inlineStr">
        <is>
          <t>2698102891</t>
        </is>
      </c>
      <c r="H1187" t="inlineStr">
        <is>
          <t>1101118491154</t>
        </is>
      </c>
      <c r="I1187" t="inlineStr">
        <is>
          <t>대상아님</t>
        </is>
      </c>
      <c r="J1187" t="inlineStr">
        <is>
          <t>일반법인</t>
        </is>
      </c>
      <c r="K1187" t="inlineStr">
        <is>
          <t>중소기업</t>
        </is>
      </c>
      <c r="L1187" t="inlineStr">
        <is>
          <t>외부감사대상</t>
        </is>
      </c>
      <c r="M1187" s="6" t="inlineStr">
        <is>
          <t>2022-12-01</t>
        </is>
      </c>
      <c r="N1187" t="inlineStr">
        <is>
          <t>KRI:10C1419400</t>
        </is>
      </c>
      <c r="O1187" t="inlineStr">
        <is>
          <t>유아용 의복 제조업</t>
        </is>
      </c>
      <c r="P1187" t="inlineStr">
        <is>
          <t>의류,유아용품 제조,도소매</t>
        </is>
      </c>
      <c r="Q1187" t="inlineStr">
        <is>
          <t>서울 서초구 서초동 1556-3번지 서초안빌딩 4층</t>
        </is>
      </c>
      <c r="R1187" t="inlineStr">
        <is>
          <t>서울 서초구 서초대로46길 19-12, 4층 (서초동,서초안빌딩)</t>
        </is>
      </c>
    </row>
    <row r="1188" ht="19.2" customHeight="1" s="1">
      <c r="A1188" t="inlineStr">
        <is>
          <t>NICE:PR5985</t>
        </is>
      </c>
      <c r="B1188" t="inlineStr">
        <is>
          <t>디엔코스메틱스</t>
        </is>
      </c>
      <c r="C1188" t="inlineStr">
        <is>
          <t>심미진</t>
        </is>
      </c>
      <c r="D1188" t="inlineStr">
        <is>
          <t>02-2059-1516</t>
        </is>
      </c>
      <c r="F1188" s="3">
        <f>HYPERLINK("http://www.easydew.co.kr", "http://www.easydew.co.kr")</f>
        <v/>
      </c>
      <c r="G1188" t="inlineStr">
        <is>
          <t>3578602849</t>
        </is>
      </c>
      <c r="H1188" t="inlineStr">
        <is>
          <t>1101118517215</t>
        </is>
      </c>
      <c r="I1188" t="inlineStr">
        <is>
          <t>대상아님</t>
        </is>
      </c>
      <c r="J1188" t="inlineStr">
        <is>
          <t>일반법인</t>
        </is>
      </c>
      <c r="K1188" t="inlineStr">
        <is>
          <t>중소기업</t>
        </is>
      </c>
      <c r="L1188" t="inlineStr">
        <is>
          <t>외부감사대상</t>
        </is>
      </c>
      <c r="M1188" s="6" t="inlineStr">
        <is>
          <t>2023-01-02</t>
        </is>
      </c>
      <c r="N1188" t="inlineStr">
        <is>
          <t>KRI:10G4644300</t>
        </is>
      </c>
      <c r="O1188" t="inlineStr">
        <is>
          <t>화장품 및 화장용품 도매업</t>
        </is>
      </c>
      <c r="P1188" t="inlineStr">
        <is>
          <t>화장품 도소매,무역,무역 대리,전자상거래/경영컨설팅/교육서비스</t>
        </is>
      </c>
      <c r="Q1188" t="inlineStr">
        <is>
          <t>서울 강남구 삼성동 163-1번지 대웅제약 별관 2층</t>
        </is>
      </c>
      <c r="R1188" t="inlineStr">
        <is>
          <t>서울 강남구 봉은사로 644, 2층 (삼성동,대웅제약 별관)</t>
        </is>
      </c>
    </row>
    <row r="1189" ht="19.2" customHeight="1" s="1">
      <c r="A1189" t="inlineStr">
        <is>
          <t>NICE:PR7758</t>
        </is>
      </c>
      <c r="B1189" t="inlineStr">
        <is>
          <t>지엠디소프트</t>
        </is>
      </c>
      <c r="C1189" t="inlineStr">
        <is>
          <t>김현수</t>
        </is>
      </c>
      <c r="D1189" t="inlineStr">
        <is>
          <t>031-778-3514</t>
        </is>
      </c>
      <c r="E1189" t="inlineStr">
        <is>
          <t>031-778-3509</t>
        </is>
      </c>
      <c r="F1189" s="3">
        <f>HYPERLINK("http://www.gmdsoft.com", "http://www.gmdsoft.com")</f>
        <v/>
      </c>
      <c r="G1189" t="inlineStr">
        <is>
          <t>5998702703</t>
        </is>
      </c>
      <c r="H1189" t="inlineStr">
        <is>
          <t>1311110693159</t>
        </is>
      </c>
      <c r="I1189" t="inlineStr">
        <is>
          <t>대상아님</t>
        </is>
      </c>
      <c r="J1189" t="inlineStr">
        <is>
          <t>일반법인</t>
        </is>
      </c>
      <c r="K1189" t="inlineStr">
        <is>
          <t>중소기업</t>
        </is>
      </c>
      <c r="L1189" t="inlineStr">
        <is>
          <t>외부감사대상</t>
        </is>
      </c>
      <c r="M1189" s="6" t="inlineStr">
        <is>
          <t>2023-01-10</t>
        </is>
      </c>
      <c r="N1189" t="inlineStr">
        <is>
          <t>KRI:10J5822200</t>
        </is>
      </c>
      <c r="O1189" t="inlineStr">
        <is>
          <t>응용 소프트웨어 개발 및 공급업</t>
        </is>
      </c>
      <c r="P1189" t="inlineStr">
        <is>
          <t>응용소프트웨어 개발,공급/일반통신공사/컴퓨터,주변장치,소프트웨어 도소매,전자상거래/부동산 임대</t>
        </is>
      </c>
      <c r="Q1189" t="inlineStr">
        <is>
          <t>경기 성남시 분당구 삼평동 681번지 에이치스퀘어 N동 2층</t>
        </is>
      </c>
      <c r="R1189" t="inlineStr">
        <is>
          <t>경기 성남시 분당구 판교역로 235, N동 2층 (삼평동,에이치스퀘어)</t>
        </is>
      </c>
    </row>
    <row r="1190">
      <c r="A1190" t="inlineStr">
        <is>
          <t>NICE:PV0737</t>
        </is>
      </c>
      <c r="B1190" t="inlineStr">
        <is>
          <t>썬텍</t>
        </is>
      </c>
      <c r="C1190" t="inlineStr">
        <is>
          <t>김경태</t>
        </is>
      </c>
      <c r="D1190" t="inlineStr">
        <is>
          <t>02-2627-3300</t>
        </is>
      </c>
      <c r="G1190" t="inlineStr">
        <is>
          <t>4268103076</t>
        </is>
      </c>
      <c r="H1190" t="inlineStr">
        <is>
          <t>1101118587052</t>
        </is>
      </c>
      <c r="I1190" t="inlineStr">
        <is>
          <t>대상아님</t>
        </is>
      </c>
      <c r="J1190" t="inlineStr">
        <is>
          <t>일반법인</t>
        </is>
      </c>
      <c r="K1190" t="inlineStr">
        <is>
          <t>중소기업</t>
        </is>
      </c>
      <c r="L1190" t="inlineStr">
        <is>
          <t>외부감사대상</t>
        </is>
      </c>
      <c r="M1190" s="6" t="inlineStr">
        <is>
          <t>2023-03-20</t>
        </is>
      </c>
      <c r="N1190" t="inlineStr">
        <is>
          <t>KRI:10C3039900</t>
        </is>
      </c>
      <c r="O1190" t="inlineStr">
        <is>
          <t>그 외 자동차용 신품 부품 제조업</t>
        </is>
      </c>
      <c r="P1190" t="inlineStr">
        <is>
          <t>자동차부품 제조</t>
        </is>
      </c>
      <c r="Q1190" t="inlineStr">
        <is>
          <t>서울 금천구 가산동 481-4번지 벽산디지털밸리6차 1010호</t>
        </is>
      </c>
      <c r="R1190" t="inlineStr">
        <is>
          <t>서울 금천구 가산디지털1로 219, 1010호 (가산동,벽산디지털밸리6차)</t>
        </is>
      </c>
    </row>
    <row r="1191" ht="19.2" customHeight="1" s="1">
      <c r="A1191" t="inlineStr">
        <is>
          <t>NICE:QF5372</t>
        </is>
      </c>
      <c r="B1191" t="inlineStr">
        <is>
          <t>맨텍솔루션</t>
        </is>
      </c>
      <c r="C1191" t="inlineStr">
        <is>
          <t>김형일/김윤원</t>
        </is>
      </c>
      <c r="D1191" t="inlineStr">
        <is>
          <t>02-2136-6900</t>
        </is>
      </c>
      <c r="E1191" t="inlineStr">
        <is>
          <t>02-575-4858</t>
        </is>
      </c>
      <c r="F1191" s="3">
        <f>HYPERLINK("http://www.mantech.co.kr", "http://www.mantech.co.kr")</f>
        <v/>
      </c>
      <c r="G1191" t="inlineStr">
        <is>
          <t>8198603079</t>
        </is>
      </c>
      <c r="H1191" t="inlineStr">
        <is>
          <t>1101118652102</t>
        </is>
      </c>
      <c r="I1191" t="inlineStr">
        <is>
          <t>대상아님</t>
        </is>
      </c>
      <c r="J1191" t="inlineStr">
        <is>
          <t>일반법인</t>
        </is>
      </c>
      <c r="K1191" t="inlineStr">
        <is>
          <t>중소기업</t>
        </is>
      </c>
      <c r="L1191" t="inlineStr">
        <is>
          <t>외부감사대상</t>
        </is>
      </c>
      <c r="M1191" s="6" t="inlineStr">
        <is>
          <t>2023-06-01</t>
        </is>
      </c>
      <c r="N1191" t="inlineStr">
        <is>
          <t>KRI:10J5822100</t>
        </is>
      </c>
      <c r="O1191" t="inlineStr">
        <is>
          <t>시스템 소프트웨어 개발 및 공급업</t>
        </is>
      </c>
      <c r="P1191" t="inlineStr">
        <is>
          <t>시스템소프트웨어 개발,공급/컴퓨터,주변기기 도소매</t>
        </is>
      </c>
      <c r="Q1191" t="inlineStr">
        <is>
          <t>서울 성동구 성수동2가 308-4번지 서울숲코오롱디지털타워 12층</t>
        </is>
      </c>
      <c r="R1191" t="inlineStr">
        <is>
          <t>서울 성동구 성수일로4길 25, 12층 (성수동2가,서울숲코오롱디지털타워)</t>
        </is>
      </c>
    </row>
    <row r="1192">
      <c r="A1192" t="inlineStr">
        <is>
          <t>NICE:QG2405</t>
        </is>
      </c>
      <c r="B1192" t="inlineStr">
        <is>
          <t>클린인더스트리얼위탁관리부동산투자회사</t>
        </is>
      </c>
      <c r="C1192" t="inlineStr">
        <is>
          <t>에스케이리츠운용(주)</t>
        </is>
      </c>
      <c r="D1192" t="inlineStr">
        <is>
          <t>02-6353-7033</t>
        </is>
      </c>
      <c r="E1192" t="inlineStr">
        <is>
          <t>02-6353-7099</t>
        </is>
      </c>
      <c r="G1192" t="inlineStr">
        <is>
          <t>4028803007</t>
        </is>
      </c>
      <c r="H1192" t="inlineStr">
        <is>
          <t>1101118665840</t>
        </is>
      </c>
      <c r="I1192" t="inlineStr">
        <is>
          <t>대상아님</t>
        </is>
      </c>
      <c r="J1192" t="inlineStr">
        <is>
          <t>일반법인</t>
        </is>
      </c>
      <c r="K1192" t="inlineStr">
        <is>
          <t>대기업</t>
        </is>
      </c>
      <c r="L1192" t="inlineStr">
        <is>
          <t>외부감사대상</t>
        </is>
      </c>
      <c r="M1192" s="6" t="inlineStr">
        <is>
          <t>2023-06-16</t>
        </is>
      </c>
      <c r="N1192" t="inlineStr">
        <is>
          <t>KRI:10L6811200</t>
        </is>
      </c>
      <c r="O1192" t="inlineStr">
        <is>
          <t>비주거용 건물 임대업</t>
        </is>
      </c>
      <c r="P1192" t="inlineStr">
        <is>
          <t>부동산 임대,개발</t>
        </is>
      </c>
      <c r="Q1192" t="inlineStr">
        <is>
          <t>서울 중구 태평로1가 84번지 서울파이낸스빌딩 15층</t>
        </is>
      </c>
      <c r="R1192" t="inlineStr">
        <is>
          <t>서울 중구 세종대로 136, 15층 (태평로1가,서울파이낸스빌딩)</t>
        </is>
      </c>
    </row>
    <row r="1193">
      <c r="A1193" t="inlineStr">
        <is>
          <t>NICE:QG9827</t>
        </is>
      </c>
      <c r="B1193" t="inlineStr">
        <is>
          <t>코지하우스코리아</t>
        </is>
      </c>
      <c r="C1193" t="inlineStr">
        <is>
          <t>안병대</t>
        </is>
      </c>
      <c r="G1193" t="inlineStr">
        <is>
          <t>4968102979</t>
        </is>
      </c>
      <c r="H1193" t="inlineStr">
        <is>
          <t>1801111511088</t>
        </is>
      </c>
      <c r="I1193" t="inlineStr">
        <is>
          <t>대상아님</t>
        </is>
      </c>
      <c r="J1193" t="inlineStr">
        <is>
          <t>일반법인</t>
        </is>
      </c>
      <c r="K1193" t="inlineStr">
        <is>
          <t>중소기업</t>
        </is>
      </c>
      <c r="L1193" t="inlineStr">
        <is>
          <t>외부감사대상</t>
        </is>
      </c>
      <c r="M1193" s="6" t="inlineStr">
        <is>
          <t>2023-06-21</t>
        </is>
      </c>
      <c r="N1193" t="inlineStr">
        <is>
          <t>KRI:10M7153100</t>
        </is>
      </c>
      <c r="O1193" t="inlineStr">
        <is>
          <t>경영 컨설팅업</t>
        </is>
      </c>
      <c r="P1193" t="inlineStr">
        <is>
          <t>프랜차이즈, 경영컨설팅업,식품,도배, 실내 장식 및 내장 목공사업,축산물유통전문판매업,육류 가공식품 도매업,유통 전문 판매업,임시 및 일용 인력 공급업</t>
        </is>
      </c>
      <c r="Q1193" t="inlineStr">
        <is>
          <t>부산 해운대구 재송동 1212번지 큐비이센텀 20층 2003호</t>
        </is>
      </c>
      <c r="R1193" t="inlineStr">
        <is>
          <t>부산 해운대구 센텀중앙로 90, 20층 2003호 (재송동,큐비이센텀)</t>
        </is>
      </c>
    </row>
    <row r="1194" ht="19.2" customHeight="1" s="1">
      <c r="A1194" t="inlineStr">
        <is>
          <t>NICE:QH3637</t>
        </is>
      </c>
      <c r="B1194" t="inlineStr">
        <is>
          <t>더편한샵</t>
        </is>
      </c>
      <c r="C1194" t="inlineStr">
        <is>
          <t>박은경</t>
        </is>
      </c>
      <c r="D1194" t="inlineStr">
        <is>
          <t>02-550-8700</t>
        </is>
      </c>
      <c r="F1194" s="3">
        <f>HYPERLINK("http://www.shop.co.kr/front/intro/login", "http://www.shop.co.kr/front/intro/login")</f>
        <v/>
      </c>
      <c r="G1194" t="inlineStr">
        <is>
          <t>4908103043</t>
        </is>
      </c>
      <c r="H1194" t="inlineStr">
        <is>
          <t>1101118679437</t>
        </is>
      </c>
      <c r="I1194" t="inlineStr">
        <is>
          <t>대상아님</t>
        </is>
      </c>
      <c r="J1194" t="inlineStr">
        <is>
          <t>일반법인</t>
        </is>
      </c>
      <c r="K1194" t="inlineStr">
        <is>
          <t>중소기업</t>
        </is>
      </c>
      <c r="L1194" t="inlineStr">
        <is>
          <t>외부감사대상</t>
        </is>
      </c>
      <c r="M1194" s="6" t="inlineStr">
        <is>
          <t>2023-07-03</t>
        </is>
      </c>
      <c r="N1194" t="inlineStr">
        <is>
          <t>KRI:10G4791100</t>
        </is>
      </c>
      <c r="O1194" t="inlineStr">
        <is>
          <t>전자상거래 소매 중개업</t>
        </is>
      </c>
      <c r="P1194" t="inlineStr">
        <is>
          <t>전자상거래</t>
        </is>
      </c>
      <c r="Q1194" t="inlineStr">
        <is>
          <t>서울 강남구 삼성동 163-3번지 지하 1층, 6층</t>
        </is>
      </c>
      <c r="R1194" t="inlineStr">
        <is>
          <t>서울 강남구 봉은사로114길 12, 지하 1층, 6층</t>
        </is>
      </c>
    </row>
    <row r="1195" ht="19.2" customHeight="1" s="1">
      <c r="A1195" t="inlineStr">
        <is>
          <t>NICE:QL3102</t>
        </is>
      </c>
      <c r="B1195" t="inlineStr">
        <is>
          <t>오에이치엠씨</t>
        </is>
      </c>
      <c r="C1195" t="inlineStr">
        <is>
          <t>최영철</t>
        </is>
      </c>
      <c r="D1195" t="inlineStr">
        <is>
          <t>02-540-0967</t>
        </is>
      </c>
      <c r="E1195" t="inlineStr">
        <is>
          <t>02-540-0974</t>
        </is>
      </c>
      <c r="F1195" s="3">
        <f>HYPERLINK("http://ohmckorea.com", "http://ohmckorea.com")</f>
        <v/>
      </c>
      <c r="G1195" t="inlineStr">
        <is>
          <t>1858703162</t>
        </is>
      </c>
      <c r="H1195" t="inlineStr">
        <is>
          <t>1101118734512</t>
        </is>
      </c>
      <c r="I1195" t="inlineStr">
        <is>
          <t>대상아님</t>
        </is>
      </c>
      <c r="J1195" t="inlineStr">
        <is>
          <t>일반법인</t>
        </is>
      </c>
      <c r="K1195" t="inlineStr">
        <is>
          <t>중소기업</t>
        </is>
      </c>
      <c r="L1195" t="inlineStr">
        <is>
          <t>외부감사대상</t>
        </is>
      </c>
      <c r="M1195" s="6" t="inlineStr">
        <is>
          <t>2023-09-05</t>
        </is>
      </c>
      <c r="N1195" t="inlineStr">
        <is>
          <t>KRI:10N7599900</t>
        </is>
      </c>
      <c r="O1195" t="inlineStr">
        <is>
          <t>그 외 기타 분류 안된 사업지원 서비스업</t>
        </is>
      </c>
      <c r="P1195" t="inlineStr">
        <is>
          <t>호텔 위탁경영,컨설팅</t>
        </is>
      </c>
      <c r="Q1195" t="inlineStr">
        <is>
          <t>서울 강남구 삼성동 75-6번지 수당빌딩 2층</t>
        </is>
      </c>
      <c r="R1195" t="inlineStr">
        <is>
          <t>서울 강남구 봉은사로 509, 2층 (삼성동,수당빌딩)</t>
        </is>
      </c>
    </row>
    <row r="1196">
      <c r="A1196" t="inlineStr">
        <is>
          <t>NICE:QM8423</t>
        </is>
      </c>
      <c r="B1196" t="inlineStr">
        <is>
          <t>일지</t>
        </is>
      </c>
      <c r="C1196" t="inlineStr">
        <is>
          <t>최민호</t>
        </is>
      </c>
      <c r="D1196" t="inlineStr">
        <is>
          <t>041-531-8220</t>
        </is>
      </c>
      <c r="E1196" t="inlineStr">
        <is>
          <t>041-531-8222</t>
        </is>
      </c>
      <c r="G1196" t="inlineStr">
        <is>
          <t>1708803037</t>
        </is>
      </c>
      <c r="H1196" t="inlineStr">
        <is>
          <t>1648110174130</t>
        </is>
      </c>
      <c r="I1196" t="inlineStr">
        <is>
          <t>대상아님</t>
        </is>
      </c>
      <c r="J1196" t="inlineStr">
        <is>
          <t>일반법인</t>
        </is>
      </c>
      <c r="K1196" t="inlineStr">
        <is>
          <t>중소기업</t>
        </is>
      </c>
      <c r="L1196" t="inlineStr">
        <is>
          <t>외부감사대상</t>
        </is>
      </c>
      <c r="M1196" s="6" t="inlineStr">
        <is>
          <t>2023-10-25</t>
        </is>
      </c>
      <c r="N1196" t="inlineStr">
        <is>
          <t>KRI:10C3039900</t>
        </is>
      </c>
      <c r="O1196" t="inlineStr">
        <is>
          <t>그 외 자동차용 신품 부품 제조업</t>
        </is>
      </c>
      <c r="P1196" t="inlineStr">
        <is>
          <t>자동차부품,부직포,펠트 제조/자동차 신품 부품,내장품 도소매</t>
        </is>
      </c>
      <c r="Q1196" t="inlineStr">
        <is>
          <t>충남 아산시 둔포면 석곡리 1328번지</t>
        </is>
      </c>
      <c r="R1196" t="inlineStr">
        <is>
          <t>충남 아산시 둔포면 아산밸리북로 125</t>
        </is>
      </c>
    </row>
    <row r="1197">
      <c r="A1197" t="inlineStr">
        <is>
          <t>NICE:QN1071</t>
        </is>
      </c>
      <c r="B1197" t="inlineStr">
        <is>
          <t>코람코가치투자제4의6호위탁관리자부동산투자회사</t>
        </is>
      </c>
      <c r="C1197" t="inlineStr">
        <is>
          <t>(주)코람코자산신탁</t>
        </is>
      </c>
      <c r="D1197" t="inlineStr">
        <is>
          <t>02-2251-7471</t>
        </is>
      </c>
      <c r="E1197" t="inlineStr">
        <is>
          <t>02-787-0142</t>
        </is>
      </c>
      <c r="G1197" t="inlineStr">
        <is>
          <t>4968703062</t>
        </is>
      </c>
      <c r="H1197" t="inlineStr">
        <is>
          <t>1101118777372</t>
        </is>
      </c>
      <c r="I1197" t="inlineStr">
        <is>
          <t>대상아님</t>
        </is>
      </c>
      <c r="J1197" t="inlineStr">
        <is>
          <t>일반법인</t>
        </is>
      </c>
      <c r="K1197" t="inlineStr">
        <is>
          <t>중소기업</t>
        </is>
      </c>
      <c r="L1197" t="inlineStr">
        <is>
          <t>외부감사대상</t>
        </is>
      </c>
      <c r="M1197" s="6" t="inlineStr">
        <is>
          <t>2023-10-27</t>
        </is>
      </c>
      <c r="N1197" t="inlineStr">
        <is>
          <t>KRI:10L6812200</t>
        </is>
      </c>
      <c r="O1197" t="inlineStr">
        <is>
          <t>비주거용 건물 개발 및 공급업</t>
        </is>
      </c>
      <c r="P1197" t="inlineStr">
        <is>
          <t>부동산 개발</t>
        </is>
      </c>
      <c r="Q1197" t="inlineStr">
        <is>
          <t>서울 강남구 삼성동 144-17번지 아이콘삼성 4층</t>
        </is>
      </c>
      <c r="R1197" t="inlineStr">
        <is>
          <t>서울 강남구 삼성로 511, 4층 (삼성동,아이콘삼성)</t>
        </is>
      </c>
    </row>
    <row r="1198" ht="19.2" customHeight="1" s="1">
      <c r="A1198" t="inlineStr">
        <is>
          <t>NICE:QP2219</t>
        </is>
      </c>
      <c r="B1198" t="inlineStr">
        <is>
          <t>이노션에스</t>
        </is>
      </c>
      <c r="C1198" t="inlineStr">
        <is>
          <t>이윤경</t>
        </is>
      </c>
      <c r="D1198" t="inlineStr">
        <is>
          <t>02-2052-2363</t>
        </is>
      </c>
      <c r="E1198" t="inlineStr">
        <is>
          <t>02-2052-2364</t>
        </is>
      </c>
      <c r="F1198" s="3">
        <f>HYPERLINK("https://innocean-s.com", "https://innocean-s.com")</f>
        <v/>
      </c>
      <c r="G1198" t="inlineStr">
        <is>
          <t>2468802956</t>
        </is>
      </c>
      <c r="H1198" t="inlineStr">
        <is>
          <t>1101118806246</t>
        </is>
      </c>
      <c r="I1198" t="inlineStr">
        <is>
          <t>대상아님</t>
        </is>
      </c>
      <c r="J1198" t="inlineStr">
        <is>
          <t>일반법인</t>
        </is>
      </c>
      <c r="K1198" t="inlineStr">
        <is>
          <t>대기업</t>
        </is>
      </c>
      <c r="L1198" t="inlineStr">
        <is>
          <t>외부감사대상</t>
        </is>
      </c>
      <c r="M1198" s="6" t="inlineStr">
        <is>
          <t>2023-11-30</t>
        </is>
      </c>
      <c r="N1198" t="inlineStr">
        <is>
          <t>KRI:10M7131000</t>
        </is>
      </c>
      <c r="O1198" t="inlineStr">
        <is>
          <t>광고 대행업</t>
        </is>
      </c>
      <c r="P1198" t="inlineStr">
        <is>
          <t>광고 대행/무형재산권 임대,중개/인쇄,출판/부동산 임대,공급</t>
        </is>
      </c>
      <c r="Q1198" t="inlineStr">
        <is>
          <t>서울 강남구 역삼동 648번지 7층</t>
        </is>
      </c>
      <c r="R1198" t="inlineStr">
        <is>
          <t>서울 강남구 테헤란로7길 12, 7층</t>
        </is>
      </c>
    </row>
    <row r="1199" ht="19.2" customHeight="1" s="1">
      <c r="A1199" t="inlineStr">
        <is>
          <t>NICE:QP8990</t>
        </is>
      </c>
      <c r="B1199" t="inlineStr">
        <is>
          <t>코리아테크윈</t>
        </is>
      </c>
      <c r="C1199" t="inlineStr">
        <is>
          <t>송낙현</t>
        </is>
      </c>
      <c r="D1199" t="inlineStr">
        <is>
          <t>031-781-0033</t>
        </is>
      </c>
      <c r="E1199" t="inlineStr">
        <is>
          <t>031-781-0032</t>
        </is>
      </c>
      <c r="F1199" s="3">
        <f>HYPERLINK("http://www.ktsemi.co.kr", "http://www.ktsemi.co.kr")</f>
        <v/>
      </c>
      <c r="G1199" t="inlineStr">
        <is>
          <t>8978702650</t>
        </is>
      </c>
      <c r="H1199" t="inlineStr">
        <is>
          <t>1342110289804</t>
        </is>
      </c>
      <c r="I1199" t="inlineStr">
        <is>
          <t>대상아님</t>
        </is>
      </c>
      <c r="J1199" t="inlineStr">
        <is>
          <t>일반법인</t>
        </is>
      </c>
      <c r="K1199" t="inlineStr">
        <is>
          <t>중소기업</t>
        </is>
      </c>
      <c r="L1199" t="inlineStr">
        <is>
          <t>외부감사대상</t>
        </is>
      </c>
      <c r="M1199" s="6" t="inlineStr">
        <is>
          <t>2024-01-02</t>
        </is>
      </c>
      <c r="N1199" t="inlineStr">
        <is>
          <t>KRI:10G4659500</t>
        </is>
      </c>
      <c r="O1199" t="inlineStr">
        <is>
          <t>전기용 기계ㆍ장비 및 관련 기자재 도매업</t>
        </is>
      </c>
      <c r="P1199" t="inlineStr">
        <is>
          <t>반도체장비,부품 도소매</t>
        </is>
      </c>
      <c r="Q1199" t="inlineStr">
        <is>
          <t>경기 광주시 추자동 364-1번지</t>
        </is>
      </c>
      <c r="R1199" t="inlineStr">
        <is>
          <t>경기 광주시 오포로 677</t>
        </is>
      </c>
    </row>
    <row r="1200">
      <c r="A1200" t="inlineStr">
        <is>
          <t>NICE:QW8638</t>
        </is>
      </c>
      <c r="B1200" t="inlineStr">
        <is>
          <t>덕인</t>
        </is>
      </c>
      <c r="C1200" t="inlineStr">
        <is>
          <t>장남인/장보영</t>
        </is>
      </c>
      <c r="G1200" t="inlineStr">
        <is>
          <t>1418150004</t>
        </is>
      </c>
      <c r="H1200" t="inlineStr">
        <is>
          <t>2341110142706</t>
        </is>
      </c>
      <c r="I1200" t="inlineStr">
        <is>
          <t>대상아님</t>
        </is>
      </c>
      <c r="J1200" t="inlineStr">
        <is>
          <t>일반법인</t>
        </is>
      </c>
      <c r="K1200" t="inlineStr">
        <is>
          <t>중소기업</t>
        </is>
      </c>
      <c r="L1200" t="inlineStr">
        <is>
          <t>외부감사대상</t>
        </is>
      </c>
      <c r="M1200" s="6" t="inlineStr">
        <is>
          <t>2024-04-17</t>
        </is>
      </c>
      <c r="N1200" t="inlineStr">
        <is>
          <t>KRI:10C2219900</t>
        </is>
      </c>
      <c r="O1200" t="inlineStr">
        <is>
          <t>그 외 기타 고무제품 제조업</t>
        </is>
      </c>
      <c r="P1200" t="inlineStr">
        <is>
          <t>고무제품,자동차부품,전장부품 제조,도매</t>
        </is>
      </c>
      <c r="Q1200" t="inlineStr">
        <is>
          <t>경남 양산시 교동 49번지</t>
        </is>
      </c>
      <c r="R1200" t="inlineStr">
        <is>
          <t>경남 양산시 유산공단3길 33</t>
        </is>
      </c>
    </row>
    <row r="1201">
      <c r="A1201" t="inlineStr">
        <is>
          <t>NICE:RD0264</t>
        </is>
      </c>
      <c r="B1201" t="inlineStr">
        <is>
          <t>진약사몰</t>
        </is>
      </c>
      <c r="C1201" t="inlineStr">
        <is>
          <t>진정주/박찬선</t>
        </is>
      </c>
      <c r="G1201" t="inlineStr">
        <is>
          <t>2948603552</t>
        </is>
      </c>
      <c r="H1201" t="inlineStr">
        <is>
          <t>1314110583346</t>
        </is>
      </c>
      <c r="I1201" t="inlineStr">
        <is>
          <t>대상아님</t>
        </is>
      </c>
      <c r="J1201" t="inlineStr">
        <is>
          <t>일반법인</t>
        </is>
      </c>
      <c r="K1201" t="inlineStr">
        <is>
          <t>중소기업</t>
        </is>
      </c>
      <c r="L1201" t="inlineStr">
        <is>
          <t>외부감사대상</t>
        </is>
      </c>
      <c r="M1201" s="6" t="inlineStr">
        <is>
          <t>2024-06-20</t>
        </is>
      </c>
      <c r="N1201" t="inlineStr">
        <is>
          <t>KRI:10G4791200</t>
        </is>
      </c>
      <c r="O1201" t="inlineStr">
        <is>
          <t>전자상거래 소매업</t>
        </is>
      </c>
      <c r="P1201" t="inlineStr">
        <is>
          <t>전자상거래 소매업</t>
        </is>
      </c>
      <c r="Q1201" t="inlineStr">
        <is>
          <t>경기 안산시 단원구 고잔동 681-6번지 슈마프라자 115호</t>
        </is>
      </c>
      <c r="R1201" t="inlineStr">
        <is>
          <t>경기 안산시 단원구 광덕4로 112, 115호 (고잔동,슈마프라자)</t>
        </is>
      </c>
    </row>
    <row r="1202">
      <c r="A1202" t="inlineStr">
        <is>
          <t>NICE:T40292</t>
        </is>
      </c>
      <c r="B1202" t="inlineStr">
        <is>
          <t>신화로직스</t>
        </is>
      </c>
      <c r="C1202" t="inlineStr">
        <is>
          <t>박해광</t>
        </is>
      </c>
      <c r="D1202" t="inlineStr">
        <is>
          <t>031-686-5739</t>
        </is>
      </c>
      <c r="E1202" t="inlineStr">
        <is>
          <t>031-686-5730</t>
        </is>
      </c>
      <c r="G1202" t="inlineStr">
        <is>
          <t>1248183835</t>
        </is>
      </c>
      <c r="H1202" t="inlineStr">
        <is>
          <t>1348110052332</t>
        </is>
      </c>
      <c r="I1202" t="inlineStr">
        <is>
          <t>대상아님</t>
        </is>
      </c>
      <c r="J1202" t="inlineStr">
        <is>
          <t>일반법인</t>
        </is>
      </c>
      <c r="K1202" t="inlineStr">
        <is>
          <t>중견기업</t>
        </is>
      </c>
      <c r="L1202" t="inlineStr">
        <is>
          <t>외부감사대상</t>
        </is>
      </c>
      <c r="M1202" s="6" t="inlineStr">
        <is>
          <t>2000-07-28</t>
        </is>
      </c>
      <c r="N1202" t="inlineStr">
        <is>
          <t>KRI:10S9521100</t>
        </is>
      </c>
      <c r="O1202" t="inlineStr">
        <is>
          <t>자동차 종합 수리업</t>
        </is>
      </c>
      <c r="P1202" t="inlineStr">
        <is>
          <t>자동차 종합정비/화물운송,보관,창고,화물 취급,운송 주선,국제물류 주선/철강 도소매/부동산 임대</t>
        </is>
      </c>
      <c r="Q1202" t="inlineStr">
        <is>
          <t>경기 평택시 포승읍 신영리 944번지</t>
        </is>
      </c>
      <c r="R1202" t="inlineStr">
        <is>
          <t>경기 평택시 포승읍 서동대로 437-207</t>
        </is>
      </c>
    </row>
    <row r="1203" ht="19.2" customHeight="1" s="1">
      <c r="A1203" t="inlineStr">
        <is>
          <t>NICE:T44024</t>
        </is>
      </c>
      <c r="B1203" t="inlineStr">
        <is>
          <t>지엔텍</t>
        </is>
      </c>
      <c r="C1203" t="inlineStr">
        <is>
          <t>윤영선</t>
        </is>
      </c>
      <c r="D1203" t="inlineStr">
        <is>
          <t>02-2684-6522</t>
        </is>
      </c>
      <c r="E1203" t="inlineStr">
        <is>
          <t>02-2684-6523</t>
        </is>
      </c>
      <c r="F1203" s="3">
        <f>HYPERLINK("http://www.zanca.co.kr/", "http://www.zanca.co.kr/")</f>
        <v/>
      </c>
      <c r="G1203" t="inlineStr">
        <is>
          <t>1408132380</t>
        </is>
      </c>
      <c r="H1203" t="inlineStr">
        <is>
          <t>1349110039536</t>
        </is>
      </c>
      <c r="I1203" t="inlineStr">
        <is>
          <t>대상아님</t>
        </is>
      </c>
      <c r="J1203" t="inlineStr">
        <is>
          <t>일반법인</t>
        </is>
      </c>
      <c r="K1203" t="inlineStr">
        <is>
          <t>중소기업</t>
        </is>
      </c>
      <c r="L1203" t="inlineStr">
        <is>
          <t>외부감사대상</t>
        </is>
      </c>
      <c r="M1203" s="6" t="inlineStr">
        <is>
          <t>2008-11-20</t>
        </is>
      </c>
      <c r="N1203" t="inlineStr">
        <is>
          <t>KRI:10C3330900</t>
        </is>
      </c>
      <c r="O1203" t="inlineStr">
        <is>
          <t>기타 운동 및 경기용구 제조업</t>
        </is>
      </c>
      <c r="P1203" t="inlineStr">
        <is>
          <t>스포츠용품,안전장비 제조/부동산 임대,비주거용건물 개발,공급</t>
        </is>
      </c>
      <c r="Q1203" t="inlineStr">
        <is>
          <t>경기 광명시 노온사동 572-109번지</t>
        </is>
      </c>
      <c r="R1203" t="inlineStr">
        <is>
          <t>경기 광명시 사들로68번길 1</t>
        </is>
      </c>
    </row>
    <row r="1204" ht="19.2" customHeight="1" s="1">
      <c r="A1204" t="inlineStr">
        <is>
          <t>NICE:T46518</t>
        </is>
      </c>
      <c r="B1204" t="inlineStr">
        <is>
          <t>창성종합건설</t>
        </is>
      </c>
      <c r="C1204" t="inlineStr">
        <is>
          <t>이한철</t>
        </is>
      </c>
      <c r="D1204" t="inlineStr">
        <is>
          <t>031-323-0491</t>
        </is>
      </c>
      <c r="E1204" t="inlineStr">
        <is>
          <t>031-624-4484</t>
        </is>
      </c>
      <c r="F1204" s="3">
        <f>HYPERLINK("http://www.cscst.co.kr", "http://www.cscst.co.kr")</f>
        <v/>
      </c>
      <c r="G1204" t="inlineStr">
        <is>
          <t>1348635693</t>
        </is>
      </c>
      <c r="H1204" t="inlineStr">
        <is>
          <t>1314110190878</t>
        </is>
      </c>
      <c r="I1204" t="inlineStr">
        <is>
          <t>대상아님</t>
        </is>
      </c>
      <c r="J1204" t="inlineStr">
        <is>
          <t>일반법인</t>
        </is>
      </c>
      <c r="K1204" t="inlineStr">
        <is>
          <t>중소기업</t>
        </is>
      </c>
      <c r="L1204" t="inlineStr">
        <is>
          <t>외부감사대상</t>
        </is>
      </c>
      <c r="M1204" s="6" t="inlineStr">
        <is>
          <t>2006-12-28</t>
        </is>
      </c>
      <c r="N1204" t="inlineStr">
        <is>
          <t>KRI:10F4212100</t>
        </is>
      </c>
      <c r="O1204" t="inlineStr">
        <is>
          <t>토공사업</t>
        </is>
      </c>
      <c r="P1204" t="inlineStr">
        <is>
          <t>토건공사,LED 제조,건축공사,토목공사,철근콘크리트공사업,상하수도설비공사업,시설물유지관리업,비주거용 건물 임대업(점포, 자기땅)</t>
        </is>
      </c>
      <c r="Q1204" t="inlineStr">
        <is>
          <t>경기 용인시 처인구 유방동 699-2번지 4층</t>
        </is>
      </c>
      <c r="R1204" t="inlineStr">
        <is>
          <t>경기 용인시 처인구 성산로 327-19, 4층</t>
        </is>
      </c>
    </row>
    <row r="1205">
      <c r="A1205" t="inlineStr">
        <is>
          <t>NICE:T46942</t>
        </is>
      </c>
      <c r="B1205" t="inlineStr">
        <is>
          <t>케이티에스해운</t>
        </is>
      </c>
      <c r="C1205" t="inlineStr">
        <is>
          <t>조경국</t>
        </is>
      </c>
      <c r="D1205" t="inlineStr">
        <is>
          <t>02-711-6901</t>
        </is>
      </c>
      <c r="E1205" t="inlineStr">
        <is>
          <t>02-711-6903</t>
        </is>
      </c>
      <c r="G1205" t="inlineStr">
        <is>
          <t>1058668537</t>
        </is>
      </c>
      <c r="H1205" t="inlineStr">
        <is>
          <t>1101113034660</t>
        </is>
      </c>
      <c r="I1205" t="inlineStr">
        <is>
          <t>대상아님</t>
        </is>
      </c>
      <c r="J1205" t="inlineStr">
        <is>
          <t>일반법인</t>
        </is>
      </c>
      <c r="K1205" t="inlineStr">
        <is>
          <t>중소기업</t>
        </is>
      </c>
      <c r="L1205" t="inlineStr">
        <is>
          <t>외부감사대상</t>
        </is>
      </c>
      <c r="M1205" s="6" t="inlineStr">
        <is>
          <t>2004-06-22</t>
        </is>
      </c>
      <c r="N1205" t="inlineStr">
        <is>
          <t>KRI:10H5012200</t>
        </is>
      </c>
      <c r="O1205" t="inlineStr">
        <is>
          <t>내항 화물 운송업</t>
        </is>
      </c>
      <c r="P1205" t="inlineStr">
        <is>
          <t>내항화물 운송</t>
        </is>
      </c>
      <c r="Q1205" t="inlineStr">
        <is>
          <t>부산 영도구 남항동3가 141-170번지 케이티에스빌딩 402호</t>
        </is>
      </c>
      <c r="R1205" t="inlineStr">
        <is>
          <t>부산 영도구 남항서로 48, 402호 (남항동3가,케이티에스빌딩)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96</dc:creator>
  <dcterms:created xmlns:dcterms="http://purl.org/dc/terms/" xmlns:xsi="http://www.w3.org/2001/XMLSchema-instance" xsi:type="dcterms:W3CDTF">2026-04-15T11:14:07Z</dcterms:created>
  <dcterms:modified xmlns:dcterms="http://purl.org/dc/terms/" xmlns:xsi="http://www.w3.org/2001/XMLSchema-instance" xsi:type="dcterms:W3CDTF">2026-04-15T11:31:53Z</dcterms:modified>
  <cp:lastModifiedBy>96</cp:lastModifiedBy>
</cp:coreProperties>
</file>